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Fof Domestic" sheetId="3" state="visible" r:id="rId3"/>
    <sheet name="Fof Overseas" sheetId="4" state="visible" r:id="rId4"/>
    <sheet name="Gold Etf" sheetId="5" state="visible" r:id="rId5"/>
    <sheet name="Index Funds" sheetId="6" state="visible" r:id="rId6"/>
    <sheet name="Other  Etfs" sheetId="7" state="visible" r:id="rId7"/>
    <sheet name="📊 CONSOLIDATED" sheetId="8" state="visible" r:id="rId8"/>
  </sheets>
  <definedNames>
    <definedName name="_xlnm._FilterDatabase" localSheetId="0" hidden="1">'🏆 SUMMARY'!$A$4:$Q$18</definedName>
    <definedName name="_xlnm._FilterDatabase" localSheetId="2" hidden="1">'Fof Domestic'!$A$4:$Q$125</definedName>
    <definedName name="_xlnm._FilterDatabase" localSheetId="3" hidden="1">'Fof Overseas'!$A$4:$Q$50</definedName>
    <definedName name="_xlnm._FilterDatabase" localSheetId="4" hidden="1">'Gold Etf'!$A$4:$Q$27</definedName>
    <definedName name="_xlnm._FilterDatabase" localSheetId="5" hidden="1">'Index Funds'!$A$4:$Q$346</definedName>
    <definedName name="_xlnm._FilterDatabase" localSheetId="6" hidden="1">'Other  Etfs'!$A$4:$Q$267</definedName>
    <definedName name="_xlnm._FilterDatabase" localSheetId="7" hidden="1">'📊 CONSOLIDATED'!$A$4:$U$799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color rgb="00C0392B"/>
      <sz val="9"/>
    </font>
    <font>
      <name val="Arial"/>
      <b val="1"/>
      <color rgb="00E67E00"/>
      <sz val="9"/>
    </font>
    <font>
      <name val="Arial"/>
      <b val="1"/>
      <color rgb="00C0392B"/>
      <sz val="9"/>
    </font>
    <font>
      <name val="Arial"/>
      <b val="1"/>
      <sz val="8"/>
    </font>
    <font>
      <name val="Arial"/>
      <b val="1"/>
      <color rgb="001E7A4B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FF9800"/>
      <sz val="8"/>
    </font>
    <font>
      <name val="Arial"/>
      <b val="1"/>
      <color rgb="009E9E9E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E8E8E8"/>
        <bgColor rgb="00E8E8E8"/>
      </patternFill>
    </fill>
    <fill>
      <patternFill patternType="solid">
        <fgColor rgb="00F5F8FC"/>
        <bgColor rgb="00F5F8FC"/>
      </patternFill>
    </fill>
    <fill>
      <patternFill patternType="solid">
        <fgColor rgb="00D4956A"/>
        <bgColor rgb="00D4956A"/>
      </patternFill>
    </fill>
    <fill>
      <patternFill patternType="solid">
        <fgColor rgb="00FFD700"/>
        <bgColor rgb="00FFD700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5" fillId="13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2" fontId="5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2" fontId="5" fillId="15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2" fontId="5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12" fillId="24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 wrapText="1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9" fontId="13" fillId="18" borderId="1" applyAlignment="1" pivotButton="0" quotePrefix="0" xfId="0">
      <alignment horizontal="center"/>
    </xf>
    <xf numFmtId="0" fontId="13" fillId="19" borderId="1" pivotButton="0" quotePrefix="0" xfId="0"/>
    <xf numFmtId="0" fontId="14" fillId="19" borderId="1" applyAlignment="1" pivotButton="0" quotePrefix="0" xfId="0">
      <alignment horizontal="center"/>
    </xf>
    <xf numFmtId="165" fontId="13" fillId="19" borderId="1" applyAlignment="1" pivotButton="0" quotePrefix="0" xfId="0">
      <alignment horizontal="center"/>
    </xf>
    <xf numFmtId="0" fontId="13" fillId="20" borderId="1" pivotButton="0" quotePrefix="0" xfId="0"/>
    <xf numFmtId="0" fontId="14" fillId="20" borderId="1" applyAlignment="1" pivotButton="0" quotePrefix="0" xfId="0">
      <alignment horizontal="center"/>
    </xf>
    <xf numFmtId="165" fontId="13" fillId="20" borderId="1" applyAlignment="1" pivotButton="0" quotePrefix="0" xfId="0">
      <alignment horizontal="center"/>
    </xf>
    <xf numFmtId="0" fontId="13" fillId="21" borderId="1" pivotButton="0" quotePrefix="0" xfId="0"/>
    <xf numFmtId="0" fontId="14" fillId="21" borderId="1" applyAlignment="1" pivotButton="0" quotePrefix="0" xfId="0">
      <alignment horizontal="center"/>
    </xf>
    <xf numFmtId="165" fontId="13" fillId="21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2" fontId="10" fillId="16" borderId="1" applyAlignment="1" pivotButton="0" quotePrefix="0" xfId="0">
      <alignment horizontal="center" vertical="center"/>
    </xf>
    <xf numFmtId="2" fontId="8" fillId="16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2" fontId="10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2" fontId="10" fillId="15" borderId="1" applyAlignment="1" pivotButton="0" quotePrefix="0" xfId="0">
      <alignment horizontal="center" vertical="center"/>
    </xf>
    <xf numFmtId="2" fontId="8" fillId="15" borderId="1" applyAlignment="1" pivotButton="0" quotePrefix="0" xfId="0">
      <alignment horizontal="center" vertical="center"/>
    </xf>
    <xf numFmtId="2" fontId="6" fillId="14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2" fontId="5" fillId="20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2" fontId="6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2" fontId="5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2" fontId="6" fillId="21" borderId="1" applyAlignment="1" pivotButton="0" quotePrefix="0" xfId="0">
      <alignment horizontal="center" vertical="center"/>
    </xf>
    <xf numFmtId="2" fontId="8" fillId="13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pivotButton="0" quotePrefix="0" xfId="0"/>
    <xf numFmtId="1" fontId="15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"&amp;COUNTA(B5:B18)&amp;" | ⭐ Strong Buy+: "&amp;COUNTIF(Q5:Q18,"*Strong*")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Banking/Financial</t>
        </is>
      </c>
      <c r="C5" s="14" t="inlineStr">
        <is>
          <t>DSP Nifty PSU Bank ETF</t>
        </is>
      </c>
      <c r="D5" s="14" t="inlineStr">
        <is>
          <t>DSP Mutual Fund</t>
        </is>
      </c>
      <c r="E5" s="14" t="inlineStr">
        <is>
          <t>Other  Etfs</t>
        </is>
      </c>
      <c r="F5" s="15" t="n">
        <v>2.81</v>
      </c>
      <c r="G5" s="15" t="n">
        <v>8.630000000000001</v>
      </c>
      <c r="H5" s="16" t="n">
        <v>-9.91</v>
      </c>
      <c r="I5" s="15" t="n">
        <v>23.42</v>
      </c>
      <c r="J5" s="15" t="n">
        <v>12.73863579093015</v>
      </c>
      <c r="K5" s="15" t="n">
        <v>89.58</v>
      </c>
      <c r="L5" s="17" t="n">
        <v>61.9</v>
      </c>
      <c r="M5" s="18" t="n">
        <v>31.9</v>
      </c>
      <c r="N5" s="19" t="n">
        <v>48.4</v>
      </c>
      <c r="O5" s="20" t="inlineStr">
        <is>
          <t>📈 Good</t>
        </is>
      </c>
      <c r="P5" s="20" t="inlineStr">
        <is>
          <t>⚠️ Below Avg</t>
        </is>
      </c>
      <c r="Q5" s="20" t="inlineStr">
        <is>
          <t>⚠️ Watch</t>
        </is>
      </c>
    </row>
    <row r="6" ht="18" customHeight="1">
      <c r="A6" s="21" t="n">
        <v>2</v>
      </c>
      <c r="B6" s="22" t="inlineStr">
        <is>
          <t>Commodities</t>
        </is>
      </c>
      <c r="C6" s="22" t="inlineStr">
        <is>
          <t>ICICI Prudential Strategic Metal and Energy Equity Fund of Fund - Growth</t>
        </is>
      </c>
      <c r="D6" s="22" t="inlineStr">
        <is>
          <t>ICICI Prudential Mutual Fund</t>
        </is>
      </c>
      <c r="E6" s="22" t="inlineStr">
        <is>
          <t>Fof Overseas</t>
        </is>
      </c>
      <c r="F6" s="23" t="n">
        <v>13.94</v>
      </c>
      <c r="G6" s="23" t="n">
        <v>4.49</v>
      </c>
      <c r="H6" s="23" t="n">
        <v>14.37</v>
      </c>
      <c r="I6" s="23" t="n">
        <v>74.53</v>
      </c>
      <c r="J6" s="23" t="n">
        <v>45.14131045295133</v>
      </c>
      <c r="K6" s="23" t="n">
        <v>145.47</v>
      </c>
      <c r="L6" s="24" t="n">
        <v>80.2</v>
      </c>
      <c r="M6" s="25" t="n">
        <v>94.90000000000001</v>
      </c>
      <c r="N6" s="26" t="n">
        <v>86.8</v>
      </c>
      <c r="O6" s="27" t="inlineStr">
        <is>
          <t>⭐ Strong</t>
        </is>
      </c>
      <c r="P6" s="27" t="inlineStr">
        <is>
          <t>🏆 Elite</t>
        </is>
      </c>
      <c r="Q6" s="27" t="inlineStr">
        <is>
          <t>⭐ Strong Buy</t>
        </is>
      </c>
    </row>
    <row r="7" ht="18" customHeight="1">
      <c r="A7" s="13" t="n">
        <v>3</v>
      </c>
      <c r="B7" s="14" t="inlineStr">
        <is>
          <t>G-SEC</t>
        </is>
      </c>
      <c r="C7" s="14" t="inlineStr">
        <is>
          <t>HDFC Nifty G-Sec Sep 2032 Index Fund - Growth Option</t>
        </is>
      </c>
      <c r="D7" s="14" t="inlineStr">
        <is>
          <t>HDFC Mutual Fund</t>
        </is>
      </c>
      <c r="E7" s="14" t="inlineStr">
        <is>
          <t>Index Funds</t>
        </is>
      </c>
      <c r="F7" s="15" t="n">
        <v>0.62</v>
      </c>
      <c r="G7" s="15" t="n">
        <v>3.92</v>
      </c>
      <c r="H7" s="15" t="n">
        <v>3.25</v>
      </c>
      <c r="I7" s="15" t="n">
        <v>5.66</v>
      </c>
      <c r="J7" s="15" t="n">
        <v>7.396461766670881</v>
      </c>
      <c r="K7" s="15" t="n">
        <v>25.72</v>
      </c>
      <c r="L7" s="17" t="n">
        <v>62.2</v>
      </c>
      <c r="M7" s="18" t="n">
        <v>0</v>
      </c>
      <c r="N7" s="19" t="n">
        <v>34.2</v>
      </c>
      <c r="O7" s="20" t="inlineStr">
        <is>
          <t>📈 Good</t>
        </is>
      </c>
      <c r="P7" s="20" t="inlineStr">
        <is>
          <t>🔴 Not Qualified</t>
        </is>
      </c>
      <c r="Q7" s="20" t="inlineStr">
        <is>
          <t>🔴 Avoid</t>
        </is>
      </c>
    </row>
    <row r="8" ht="18" customHeight="1">
      <c r="A8" s="28" t="n">
        <v>4</v>
      </c>
      <c r="B8" s="29" t="inlineStr">
        <is>
          <t>GILT</t>
        </is>
      </c>
      <c r="C8" s="29" t="inlineStr">
        <is>
          <t>BANDHAN CRISIL IBX GILT APRIL 2032 INDEX FUND - REGULAR GROWTH</t>
        </is>
      </c>
      <c r="D8" s="29" t="inlineStr">
        <is>
          <t>Bandhan Mutual Fund</t>
        </is>
      </c>
      <c r="E8" s="29" t="inlineStr">
        <is>
          <t>Index Funds</t>
        </is>
      </c>
      <c r="F8" s="30" t="n">
        <v>0.49</v>
      </c>
      <c r="G8" s="30" t="n">
        <v>3.76</v>
      </c>
      <c r="H8" s="30" t="n">
        <v>3.03</v>
      </c>
      <c r="I8" s="30" t="n">
        <v>5.61</v>
      </c>
      <c r="J8" s="30" t="n">
        <v>7.280007457121296</v>
      </c>
      <c r="K8" s="30" t="n">
        <v>25.39</v>
      </c>
      <c r="L8" s="17" t="n">
        <v>57.7</v>
      </c>
      <c r="M8" s="18" t="n">
        <v>0</v>
      </c>
      <c r="N8" s="19" t="n">
        <v>31.7</v>
      </c>
      <c r="O8" s="31" t="inlineStr">
        <is>
          <t>➡️ Neutral</t>
        </is>
      </c>
      <c r="P8" s="31" t="inlineStr">
        <is>
          <t>🔴 Not Qualified</t>
        </is>
      </c>
      <c r="Q8" s="31" t="inlineStr">
        <is>
          <t>🔴 Avoid</t>
        </is>
      </c>
    </row>
    <row r="9" ht="18" customHeight="1">
      <c r="A9" s="13" t="n">
        <v>5</v>
      </c>
      <c r="B9" s="14" t="inlineStr">
        <is>
          <t>Gold</t>
        </is>
      </c>
      <c r="C9" s="14" t="inlineStr">
        <is>
          <t>DSP World Gold Mining Overseas Equity Omni FoF - Regular Plan - Growth</t>
        </is>
      </c>
      <c r="D9" s="14" t="inlineStr">
        <is>
          <t>DSP Mutual Fund</t>
        </is>
      </c>
      <c r="E9" s="14" t="inlineStr">
        <is>
          <t>Fof Overseas</t>
        </is>
      </c>
      <c r="F9" s="15" t="n">
        <v>26.45</v>
      </c>
      <c r="G9" s="15" t="n">
        <v>6.81</v>
      </c>
      <c r="H9" s="16" t="n">
        <v>-4.09</v>
      </c>
      <c r="I9" s="15" t="n">
        <v>77.12</v>
      </c>
      <c r="J9" s="15" t="n">
        <v>68.1279274838062</v>
      </c>
      <c r="K9" s="15" t="n">
        <v>287.35</v>
      </c>
      <c r="L9" s="17" t="n">
        <v>64.2</v>
      </c>
      <c r="M9" s="25" t="n">
        <v>99.40000000000001</v>
      </c>
      <c r="N9" s="26" t="n">
        <v>80</v>
      </c>
      <c r="O9" s="20" t="inlineStr">
        <is>
          <t>📈 Good</t>
        </is>
      </c>
      <c r="P9" s="20" t="inlineStr">
        <is>
          <t>🏆 Elite</t>
        </is>
      </c>
      <c r="Q9" s="20" t="inlineStr">
        <is>
          <t>⭐ Strong Buy</t>
        </is>
      </c>
    </row>
    <row r="10" ht="18" customHeight="1">
      <c r="A10" s="32" t="n">
        <v>6</v>
      </c>
      <c r="B10" s="33" t="inlineStr">
        <is>
          <t>Index Fund</t>
        </is>
      </c>
      <c r="C10" s="33" t="inlineStr">
        <is>
          <t>Motilal Oswal Nifty Microcap 250 Index Fund- Regular- Growth Option</t>
        </is>
      </c>
      <c r="D10" s="33" t="inlineStr">
        <is>
          <t>Motilal Oswal Mutual Fund</t>
        </is>
      </c>
      <c r="E10" s="33" t="inlineStr">
        <is>
          <t>Index Funds</t>
        </is>
      </c>
      <c r="F10" s="34" t="n">
        <v>4.94</v>
      </c>
      <c r="G10" s="34" t="n">
        <v>14.96</v>
      </c>
      <c r="H10" s="34" t="n">
        <v>18.85</v>
      </c>
      <c r="I10" s="34" t="n">
        <v>12.52</v>
      </c>
      <c r="J10" s="34" t="n">
        <v>2.718060729357608</v>
      </c>
      <c r="K10" s="34" t="n">
        <v>69.86</v>
      </c>
      <c r="L10" s="24" t="n">
        <v>100</v>
      </c>
      <c r="M10" s="18" t="n">
        <v>0</v>
      </c>
      <c r="N10" s="35" t="n">
        <v>55</v>
      </c>
      <c r="O10" s="36" t="inlineStr">
        <is>
          <t>🔥 Hot</t>
        </is>
      </c>
      <c r="P10" s="36" t="inlineStr">
        <is>
          <t>🔴 Not Qualified</t>
        </is>
      </c>
      <c r="Q10" s="36" t="inlineStr">
        <is>
          <t>✅ Buy</t>
        </is>
      </c>
    </row>
    <row r="11" ht="18" customHeight="1">
      <c r="A11" s="13" t="n">
        <v>7</v>
      </c>
      <c r="B11" s="14" t="inlineStr">
        <is>
          <t>Infrastructure</t>
        </is>
      </c>
      <c r="C11" s="14" t="inlineStr">
        <is>
          <t>ICICI Prudential Nifty Infrastructure ETF</t>
        </is>
      </c>
      <c r="D11" s="14" t="inlineStr">
        <is>
          <t>ICICI Prudential Mutual Fund</t>
        </is>
      </c>
      <c r="E11" s="14" t="inlineStr">
        <is>
          <t>Other  Etfs</t>
        </is>
      </c>
      <c r="F11" s="15" t="n">
        <v>0.19</v>
      </c>
      <c r="G11" s="15" t="n">
        <v>1.48</v>
      </c>
      <c r="H11" s="16" t="n">
        <v>-3.37</v>
      </c>
      <c r="I11" s="15" t="n">
        <v>4.61</v>
      </c>
      <c r="J11" s="15" t="n">
        <v>1.528321171976432</v>
      </c>
      <c r="K11" s="15" t="n">
        <v>58.4</v>
      </c>
      <c r="L11" s="37" t="n">
        <v>40.7</v>
      </c>
      <c r="M11" s="18" t="n">
        <v>0</v>
      </c>
      <c r="N11" s="19" t="n">
        <v>22.4</v>
      </c>
      <c r="O11" s="20" t="inlineStr">
        <is>
          <t>➡️ Neutral</t>
        </is>
      </c>
      <c r="P11" s="20" t="inlineStr">
        <is>
          <t>🔴 Not Qualified</t>
        </is>
      </c>
      <c r="Q11" s="20" t="inlineStr">
        <is>
          <t>🔴 Avoid</t>
        </is>
      </c>
    </row>
    <row r="12" ht="18" customHeight="1">
      <c r="A12" s="38" t="n">
        <v>8</v>
      </c>
      <c r="B12" s="39" t="inlineStr">
        <is>
          <t>International</t>
        </is>
      </c>
      <c r="C12" s="39" t="inlineStr">
        <is>
          <t>Mirae Asset Global X Artificial Intelligence &amp; Technology ETF Fund of Fund - Regular Plan - Growth</t>
        </is>
      </c>
      <c r="D12" s="39" t="inlineStr">
        <is>
          <t>Mirae Asset Mutual Fund</t>
        </is>
      </c>
      <c r="E12" s="39" t="inlineStr">
        <is>
          <t>Fof Overseas</t>
        </is>
      </c>
      <c r="F12" s="40" t="n">
        <v>8.140000000000001</v>
      </c>
      <c r="G12" s="40" t="n">
        <v>5.08</v>
      </c>
      <c r="H12" s="40" t="n">
        <v>35.91</v>
      </c>
      <c r="I12" s="40" t="n">
        <v>54.1</v>
      </c>
      <c r="J12" s="40" t="n">
        <v>43.44336861632885</v>
      </c>
      <c r="K12" s="40" t="n">
        <v>171.88</v>
      </c>
      <c r="L12" s="24" t="n">
        <v>91.40000000000001</v>
      </c>
      <c r="M12" s="25" t="n">
        <v>93.3</v>
      </c>
      <c r="N12" s="26" t="n">
        <v>92.2</v>
      </c>
      <c r="O12" s="41" t="inlineStr">
        <is>
          <t>🔥 Hot</t>
        </is>
      </c>
      <c r="P12" s="41" t="inlineStr">
        <is>
          <t>🏆 Elite</t>
        </is>
      </c>
      <c r="Q12" s="41" t="inlineStr">
        <is>
          <t>⭐ Strong Buy</t>
        </is>
      </c>
    </row>
    <row r="13" ht="18" customHeight="1">
      <c r="A13" s="38" t="n">
        <v>9</v>
      </c>
      <c r="B13" s="39" t="inlineStr">
        <is>
          <t>NASDAQ</t>
        </is>
      </c>
      <c r="C13" s="39" t="inlineStr">
        <is>
          <t>ICICI Prudential NASDAQ 100 Index Fund - Growth</t>
        </is>
      </c>
      <c r="D13" s="39" t="inlineStr">
        <is>
          <t>ICICI Prudential Mutual Fund</t>
        </is>
      </c>
      <c r="E13" s="39" t="inlineStr">
        <is>
          <t>Index Funds</t>
        </is>
      </c>
      <c r="F13" s="40" t="n">
        <v>4</v>
      </c>
      <c r="G13" s="40" t="n">
        <v>3.08</v>
      </c>
      <c r="H13" s="40" t="n">
        <v>26.6</v>
      </c>
      <c r="I13" s="40" t="n">
        <v>36.72</v>
      </c>
      <c r="J13" s="40" t="n">
        <v>31.68902763708143</v>
      </c>
      <c r="K13" s="40" t="n">
        <v>131.73</v>
      </c>
      <c r="L13" s="24" t="n">
        <v>89.7</v>
      </c>
      <c r="M13" s="25" t="n">
        <v>100</v>
      </c>
      <c r="N13" s="26" t="n">
        <v>94.3</v>
      </c>
      <c r="O13" s="41" t="inlineStr">
        <is>
          <t>⭐ Strong</t>
        </is>
      </c>
      <c r="P13" s="41" t="inlineStr">
        <is>
          <t>🏆 Elite</t>
        </is>
      </c>
      <c r="Q13" s="41" t="inlineStr">
        <is>
          <t>⭐ Strong Buy</t>
        </is>
      </c>
    </row>
    <row r="14" ht="18" customHeight="1">
      <c r="A14" s="28" t="n">
        <v>10</v>
      </c>
      <c r="B14" s="29" t="inlineStr">
        <is>
          <t>Pharma/Healthcare</t>
        </is>
      </c>
      <c r="C14" s="29" t="inlineStr">
        <is>
          <t>Motilal Oswal BSE Healthcare ETF</t>
        </is>
      </c>
      <c r="D14" s="29" t="inlineStr">
        <is>
          <t>Motilal Oswal Mutual Fund</t>
        </is>
      </c>
      <c r="E14" s="29" t="inlineStr">
        <is>
          <t>Other  Etfs</t>
        </is>
      </c>
      <c r="F14" s="30" t="n">
        <v>2.14</v>
      </c>
      <c r="G14" s="30" t="n">
        <v>7.15</v>
      </c>
      <c r="H14" s="30" t="n">
        <v>17.57</v>
      </c>
      <c r="I14" s="30" t="n">
        <v>14.67</v>
      </c>
      <c r="J14" s="30" t="n">
        <v>11.43608033307704</v>
      </c>
      <c r="K14" s="30" t="n">
        <v>84.33</v>
      </c>
      <c r="L14" s="24" t="n">
        <v>87.09999999999999</v>
      </c>
      <c r="M14" s="18" t="n">
        <v>13.1</v>
      </c>
      <c r="N14" s="35" t="n">
        <v>53.8</v>
      </c>
      <c r="O14" s="31" t="inlineStr">
        <is>
          <t>⭐ Strong</t>
        </is>
      </c>
      <c r="P14" s="31" t="inlineStr">
        <is>
          <t>⚠️ Below Avg</t>
        </is>
      </c>
      <c r="Q14" s="31" t="inlineStr">
        <is>
          <t>⚠️ Watch</t>
        </is>
      </c>
    </row>
    <row r="15" ht="18" customHeight="1">
      <c r="A15" s="21" t="n">
        <v>11</v>
      </c>
      <c r="B15" s="22" t="inlineStr">
        <is>
          <t>S&amp;P 500</t>
        </is>
      </c>
      <c r="C15" s="22" t="inlineStr">
        <is>
          <t>Motilal Oswal S&amp;P 500 Index Fund - Regular Plan Growth</t>
        </is>
      </c>
      <c r="D15" s="22" t="inlineStr">
        <is>
          <t>Motilal Oswal Mutual Fund</t>
        </is>
      </c>
      <c r="E15" s="22" t="inlineStr">
        <is>
          <t>Index Funds</t>
        </is>
      </c>
      <c r="F15" s="23" t="n">
        <v>3.08</v>
      </c>
      <c r="G15" s="23" t="n">
        <v>4.25</v>
      </c>
      <c r="H15" s="23" t="n">
        <v>18.48</v>
      </c>
      <c r="I15" s="23" t="n">
        <v>30.38</v>
      </c>
      <c r="J15" s="23" t="n">
        <v>25.61050911448453</v>
      </c>
      <c r="K15" s="23" t="n">
        <v>102.13</v>
      </c>
      <c r="L15" s="24" t="n">
        <v>93</v>
      </c>
      <c r="M15" s="42" t="n">
        <v>50</v>
      </c>
      <c r="N15" s="35" t="n">
        <v>73.7</v>
      </c>
      <c r="O15" s="27" t="inlineStr">
        <is>
          <t>🔥 Hot</t>
        </is>
      </c>
      <c r="P15" s="27" t="inlineStr">
        <is>
          <t>➡️ Average</t>
        </is>
      </c>
      <c r="Q15" s="27" t="inlineStr">
        <is>
          <t>📈 Momentum Play</t>
        </is>
      </c>
    </row>
    <row r="16" ht="18" customHeight="1">
      <c r="A16" s="21" t="n">
        <v>12</v>
      </c>
      <c r="B16" s="22" t="inlineStr">
        <is>
          <t>Silver</t>
        </is>
      </c>
      <c r="C16" s="22" t="inlineStr">
        <is>
          <t>ICICI PRUDENTIAL SILVER ETF</t>
        </is>
      </c>
      <c r="D16" s="22" t="inlineStr">
        <is>
          <t>ICICI Prudential Mutual Fund</t>
        </is>
      </c>
      <c r="E16" s="22" t="inlineStr">
        <is>
          <t>Other  Etfs</t>
        </is>
      </c>
      <c r="F16" s="23" t="n">
        <v>8.18</v>
      </c>
      <c r="G16" s="43" t="n">
        <v>-12.91</v>
      </c>
      <c r="H16" s="43" t="n">
        <v>-1.6</v>
      </c>
      <c r="I16" s="23" t="n">
        <v>100.58</v>
      </c>
      <c r="J16" s="23" t="n">
        <v>67.11971756797578</v>
      </c>
      <c r="K16" s="23" t="n">
        <v>220.82</v>
      </c>
      <c r="L16" s="17" t="n">
        <v>66.40000000000001</v>
      </c>
      <c r="M16" s="25" t="n">
        <v>97.2</v>
      </c>
      <c r="N16" s="26" t="n">
        <v>80.3</v>
      </c>
      <c r="O16" s="27" t="inlineStr">
        <is>
          <t>📈 Good</t>
        </is>
      </c>
      <c r="P16" s="27" t="inlineStr">
        <is>
          <t>🏆 Elite</t>
        </is>
      </c>
      <c r="Q16" s="27" t="inlineStr">
        <is>
          <t>⭐ Strong Buy</t>
        </is>
      </c>
    </row>
    <row r="17" ht="18" customHeight="1">
      <c r="A17" s="13" t="n">
        <v>13</v>
      </c>
      <c r="B17" s="14" t="inlineStr">
        <is>
          <t>Standard Equity/Debt</t>
        </is>
      </c>
      <c r="C17" s="14" t="inlineStr">
        <is>
          <t>Kotak US Specific Equity Passive FOF - Regular Plan - Growth</t>
        </is>
      </c>
      <c r="D17" s="14" t="inlineStr">
        <is>
          <t>Kotak Mahindra Mutual Fund</t>
        </is>
      </c>
      <c r="E17" s="14" t="inlineStr">
        <is>
          <t>Fof Overseas</t>
        </is>
      </c>
      <c r="F17" s="15" t="n">
        <v>4.71</v>
      </c>
      <c r="G17" s="15" t="n">
        <v>4.11</v>
      </c>
      <c r="H17" s="15" t="n">
        <v>26.74</v>
      </c>
      <c r="I17" s="15" t="n">
        <v>37.91</v>
      </c>
      <c r="J17" s="15" t="n">
        <v>32.33291351738614</v>
      </c>
      <c r="K17" s="15" t="n">
        <v>134.72</v>
      </c>
      <c r="L17" s="24" t="n">
        <v>77</v>
      </c>
      <c r="M17" s="25" t="n">
        <v>79.90000000000001</v>
      </c>
      <c r="N17" s="26" t="n">
        <v>78.3</v>
      </c>
      <c r="O17" s="20" t="inlineStr">
        <is>
          <t>⭐ Strong</t>
        </is>
      </c>
      <c r="P17" s="20" t="inlineStr">
        <is>
          <t>⭐ Strong</t>
        </is>
      </c>
      <c r="Q17" s="20" t="inlineStr">
        <is>
          <t>⭐ Strong Buy</t>
        </is>
      </c>
    </row>
    <row r="18" ht="18" customHeight="1">
      <c r="A18" s="28" t="n">
        <v>14</v>
      </c>
      <c r="B18" s="29" t="inlineStr">
        <is>
          <t>Technology</t>
        </is>
      </c>
      <c r="C18" s="29" t="inlineStr">
        <is>
          <t>Edelweiss US Technology Equity Fund of Fund- Regular Plan- Growth</t>
        </is>
      </c>
      <c r="D18" s="29" t="inlineStr">
        <is>
          <t>Edelweiss Mutual Fund</t>
        </is>
      </c>
      <c r="E18" s="29" t="inlineStr">
        <is>
          <t>Fof Overseas</t>
        </is>
      </c>
      <c r="F18" s="30" t="n">
        <v>5.76</v>
      </c>
      <c r="G18" s="30" t="n">
        <v>2.9</v>
      </c>
      <c r="H18" s="30" t="n">
        <v>27.78</v>
      </c>
      <c r="I18" s="30" t="n">
        <v>30.92</v>
      </c>
      <c r="J18" s="30" t="n">
        <v>31.21356637177424</v>
      </c>
      <c r="K18" s="30" t="n">
        <v>129.92</v>
      </c>
      <c r="L18" s="17" t="n">
        <v>72.2</v>
      </c>
      <c r="M18" s="42" t="n">
        <v>68.2</v>
      </c>
      <c r="N18" s="35" t="n">
        <v>70.40000000000001</v>
      </c>
      <c r="O18" s="31" t="inlineStr">
        <is>
          <t>📈 Good</t>
        </is>
      </c>
      <c r="P18" s="31" t="inlineStr">
        <is>
          <t>🏛️ Solid</t>
        </is>
      </c>
      <c r="Q18" s="31" t="inlineStr">
        <is>
          <t>📈 Momentum Play</t>
        </is>
      </c>
    </row>
  </sheetData>
  <autoFilter ref="A4:Q18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44" t="inlineStr">
        <is>
          <t>DUAL ENGINE MODEL — COMPLETE METHODOLOGY &amp; ASSUMPTIONS</t>
        </is>
      </c>
    </row>
    <row r="2" ht="16" customHeight="1">
      <c r="A2" s="2" t="inlineStr">
        <is>
          <t>Generated: 2026-10-02 23:57:43 | Comprehensive Documentation | All Values Numeric (0 = Missing)</t>
        </is>
      </c>
    </row>
    <row r="4" ht="22" customHeight="1">
      <c r="A4" s="45" t="inlineStr">
        <is>
          <t>🔍  DATA FILTERS (Pre-Processing)</t>
        </is>
      </c>
    </row>
    <row r="5" ht="20" customHeight="1">
      <c r="A5" s="46" t="inlineStr">
        <is>
          <t>Filter Parameter</t>
        </is>
      </c>
      <c r="B5" s="46" t="inlineStr">
        <is>
          <t>Value</t>
        </is>
      </c>
      <c r="C5" s="46" t="inlineStr">
        <is>
          <t>Description</t>
        </is>
      </c>
      <c r="D5" s="46" t="inlineStr">
        <is>
          <t>Python Logic</t>
        </is>
      </c>
    </row>
    <row r="6" ht="18" customHeight="1">
      <c r="A6" s="47" t="inlineStr">
        <is>
          <t>cat_level_1</t>
        </is>
      </c>
      <c r="B6" s="48" t="inlineStr">
        <is>
          <t>Open Ended Schemes</t>
        </is>
      </c>
      <c r="C6" s="47" t="inlineStr">
        <is>
          <t>Scheme category level 1</t>
        </is>
      </c>
      <c r="D6" s="47" t="inlineStr">
        <is>
          <t>df[col] == value</t>
        </is>
      </c>
    </row>
    <row r="7" ht="18" customHeight="1">
      <c r="A7" s="47" t="inlineStr">
        <is>
          <t>cat_level_2</t>
        </is>
      </c>
      <c r="B7" s="48" t="inlineStr">
        <is>
          <t>Other Scheme</t>
        </is>
      </c>
      <c r="C7" s="47" t="inlineStr">
        <is>
          <t>Scheme category level 2</t>
        </is>
      </c>
      <c r="D7" s="47" t="inlineStr">
        <is>
          <t>df[col] == value</t>
        </is>
      </c>
    </row>
    <row r="8" ht="18" customHeight="1">
      <c r="A8" s="47" t="inlineStr">
        <is>
          <t>plan_type</t>
        </is>
      </c>
      <c r="B8" s="48" t="inlineStr">
        <is>
          <t>Regular</t>
        </is>
      </c>
      <c r="C8" s="47" t="inlineStr">
        <is>
          <t>Regular plans only (not Direct)</t>
        </is>
      </c>
      <c r="D8" s="47" t="inlineStr">
        <is>
          <t>df[col] == value</t>
        </is>
      </c>
    </row>
    <row r="9" ht="18" customHeight="1">
      <c r="A9" s="47" t="inlineStr">
        <is>
          <t>option_type</t>
        </is>
      </c>
      <c r="B9" s="48" t="inlineStr">
        <is>
          <t>Growth</t>
        </is>
      </c>
      <c r="C9" s="47" t="inlineStr">
        <is>
          <t>Growth option only</t>
        </is>
      </c>
      <c r="D9" s="47" t="inlineStr">
        <is>
          <t>df[col] == value</t>
        </is>
      </c>
    </row>
    <row r="11" ht="22" customHeight="1">
      <c r="A11" s="45" t="inlineStr">
        <is>
          <t>📋  COLUMN MAPPING (Source → Internal)</t>
        </is>
      </c>
    </row>
    <row r="12" ht="20" customHeight="1">
      <c r="A12" s="46" t="inlineStr">
        <is>
          <t>Internal Name</t>
        </is>
      </c>
      <c r="B12" s="46" t="inlineStr">
        <is>
          <t>Source Column</t>
        </is>
      </c>
      <c r="C12" s="46" t="inlineStr">
        <is>
          <t>Data Type</t>
        </is>
      </c>
      <c r="D12" s="46" t="inlineStr">
        <is>
          <t>Notes</t>
        </is>
      </c>
    </row>
    <row r="13" ht="18" customHeight="1">
      <c r="A13" s="47" t="inlineStr">
        <is>
          <t>scheme_name</t>
        </is>
      </c>
      <c r="B13" s="48" t="inlineStr">
        <is>
          <t>scheme_name</t>
        </is>
      </c>
      <c r="C13" s="47" t="inlineStr">
        <is>
          <t>String</t>
        </is>
      </c>
      <c r="D13" s="47" t="inlineStr">
        <is>
          <t>Fund name for display</t>
        </is>
      </c>
    </row>
    <row r="14" ht="18" customHeight="1">
      <c r="A14" s="47" t="inlineStr">
        <is>
          <t>category</t>
        </is>
      </c>
      <c r="B14" s="48" t="inlineStr">
        <is>
          <t>cat_level_3</t>
        </is>
      </c>
      <c r="C14" s="47" t="inlineStr">
        <is>
          <t>String</t>
        </is>
      </c>
      <c r="D14" s="47" t="inlineStr">
        <is>
          <t>Category for grouping</t>
        </is>
      </c>
    </row>
    <row r="15" ht="18" customHeight="1">
      <c r="A15" s="47" t="inlineStr">
        <is>
          <t>amc</t>
        </is>
      </c>
      <c r="B15" s="48" t="inlineStr">
        <is>
          <t>amc_name</t>
        </is>
      </c>
      <c r="C15" s="47" t="inlineStr">
        <is>
          <t>String</t>
        </is>
      </c>
      <c r="D15" s="47" t="inlineStr">
        <is>
          <t>Asset Management Company</t>
        </is>
      </c>
    </row>
    <row r="16" ht="18" customHeight="1">
      <c r="A16" s="47" t="inlineStr">
        <is>
          <t>return_1m</t>
        </is>
      </c>
      <c r="B16" s="48" t="inlineStr">
        <is>
          <t>return_30d</t>
        </is>
      </c>
      <c r="C16" s="47" t="inlineStr">
        <is>
          <t>Numeric %</t>
        </is>
      </c>
      <c r="D16" s="47" t="inlineStr">
        <is>
          <t>30-day return</t>
        </is>
      </c>
    </row>
    <row r="17" ht="18" customHeight="1">
      <c r="A17" s="47" t="inlineStr">
        <is>
          <t>return_3m</t>
        </is>
      </c>
      <c r="B17" s="48" t="inlineStr">
        <is>
          <t>return_90d</t>
        </is>
      </c>
      <c r="C17" s="47" t="inlineStr">
        <is>
          <t>Numeric %</t>
        </is>
      </c>
      <c r="D17" s="47" t="inlineStr">
        <is>
          <t>90-day return</t>
        </is>
      </c>
    </row>
    <row r="18" ht="18" customHeight="1">
      <c r="A18" s="47" t="inlineStr">
        <is>
          <t>return_6m</t>
        </is>
      </c>
      <c r="B18" s="48" t="inlineStr">
        <is>
          <t>return_180d</t>
        </is>
      </c>
      <c r="C18" s="47" t="inlineStr">
        <is>
          <t>Numeric %</t>
        </is>
      </c>
      <c r="D18" s="47" t="inlineStr">
        <is>
          <t>180-day return</t>
        </is>
      </c>
    </row>
    <row r="19" ht="18" customHeight="1">
      <c r="A19" s="47" t="inlineStr">
        <is>
          <t>return_1y</t>
        </is>
      </c>
      <c r="B19" s="48" t="inlineStr">
        <is>
          <t>return_365d</t>
        </is>
      </c>
      <c r="C19" s="47" t="inlineStr">
        <is>
          <t>Numeric %</t>
        </is>
      </c>
      <c r="D19" s="47" t="inlineStr">
        <is>
          <t>365-day return</t>
        </is>
      </c>
    </row>
    <row r="20" ht="18" customHeight="1">
      <c r="A20" s="47" t="inlineStr">
        <is>
          <t>return_2y</t>
        </is>
      </c>
      <c r="B20" s="48" t="inlineStr">
        <is>
          <t>return_730d</t>
        </is>
      </c>
      <c r="C20" s="47" t="inlineStr">
        <is>
          <t>Numeric %</t>
        </is>
      </c>
      <c r="D20" s="47" t="inlineStr">
        <is>
          <t>730-day cumulative → CAGR</t>
        </is>
      </c>
    </row>
    <row r="21" ht="18" customHeight="1">
      <c r="A21" s="47" t="inlineStr">
        <is>
          <t>return_3y</t>
        </is>
      </c>
      <c r="B21" s="48" t="inlineStr">
        <is>
          <t>return_1095d</t>
        </is>
      </c>
      <c r="C21" s="47" t="inlineStr">
        <is>
          <t>Numeric %</t>
        </is>
      </c>
      <c r="D21" s="47" t="inlineStr">
        <is>
          <t>1095-day CAGR</t>
        </is>
      </c>
    </row>
    <row r="23" ht="22" customHeight="1">
      <c r="A23" s="49" t="inlineStr">
        <is>
          <t>📊  DATA STATUS CLASSIFICATION</t>
        </is>
      </c>
    </row>
    <row r="24" ht="20" customHeight="1">
      <c r="A24" s="50" t="inlineStr">
        <is>
          <t>Status</t>
        </is>
      </c>
      <c r="B24" s="50" t="inlineStr">
        <is>
          <t>Condition</t>
        </is>
      </c>
      <c r="C24" s="50" t="inlineStr">
        <is>
          <t>Visual Style</t>
        </is>
      </c>
      <c r="D24" s="50" t="inlineStr">
        <is>
          <t>Scoring Impact</t>
        </is>
      </c>
    </row>
    <row r="25" ht="18" customHeight="1">
      <c r="A25" s="51" t="inlineStr">
        <is>
          <t>✅ FULL</t>
        </is>
      </c>
      <c r="B25" s="52" t="inlineStr">
        <is>
          <t>All 1M/3M/6M + 2Y/3Y present</t>
        </is>
      </c>
      <c r="C25" s="51" t="inlineStr">
        <is>
          <t>White/Ranked Colors</t>
        </is>
      </c>
      <c r="D25" s="51" t="inlineStr">
        <is>
          <t>Both E1 and E2 calculated</t>
        </is>
      </c>
    </row>
    <row r="26" ht="18" customHeight="1">
      <c r="A26" s="53" t="inlineStr">
        <is>
          <t>⚠️ MOMENTUM_ONLY</t>
        </is>
      </c>
      <c r="B26" s="54" t="inlineStr">
        <is>
          <t>1M/3M/6M present, 2Y/3Y missing</t>
        </is>
      </c>
      <c r="C26" s="53" t="inlineStr">
        <is>
          <t>Light Amber + Italic</t>
        </is>
      </c>
      <c r="D26" s="53" t="inlineStr">
        <is>
          <t>Only E1 calculated, E2=0</t>
        </is>
      </c>
    </row>
    <row r="27" ht="18" customHeight="1">
      <c r="A27" s="55" t="inlineStr">
        <is>
          <t>❌ MISSING</t>
        </is>
      </c>
      <c r="B27" s="56" t="inlineStr">
        <is>
          <t>Missing any of 1M/3M/6M</t>
        </is>
      </c>
      <c r="C27" s="55" t="inlineStr">
        <is>
          <t>Light Gray + Italic</t>
        </is>
      </c>
      <c r="D27" s="55" t="inlineStr">
        <is>
          <t>E1=0, E2=0, Comp=0</t>
        </is>
      </c>
    </row>
    <row r="29" ht="22" customHeight="1">
      <c r="A29" s="57" t="inlineStr">
        <is>
          <t>🚦  QUALITY GATES (Engine 2 Eligibility)</t>
        </is>
      </c>
    </row>
    <row r="30" ht="20" customHeight="1">
      <c r="A30" s="58" t="inlineStr">
        <is>
          <t>Gate</t>
        </is>
      </c>
      <c r="B30" s="58" t="inlineStr">
        <is>
          <t>Threshold</t>
        </is>
      </c>
      <c r="C30" s="58" t="inlineStr">
        <is>
          <t>Formula</t>
        </is>
      </c>
      <c r="D30" s="58" t="inlineStr">
        <is>
          <t>Purpose</t>
        </is>
      </c>
    </row>
    <row r="31" ht="18" customHeight="1">
      <c r="A31" s="47" t="inlineStr">
        <is>
          <t>Min 2Y CAGR</t>
        </is>
      </c>
      <c r="B31" s="48" t="inlineStr">
        <is>
          <t>10%</t>
        </is>
      </c>
      <c r="C31" s="47" t="inlineStr">
        <is>
          <t>r2y_cagr &gt; 10%</t>
        </is>
      </c>
      <c r="D31" s="47" t="inlineStr">
        <is>
          <t>Filter low long-term performers</t>
        </is>
      </c>
    </row>
    <row r="32" ht="18" customHeight="1">
      <c r="A32" s="47" t="inlineStr">
        <is>
          <t>Min 3Y CAGR</t>
        </is>
      </c>
      <c r="B32" s="48" t="inlineStr">
        <is>
          <t>12%</t>
        </is>
      </c>
      <c r="C32" s="47" t="inlineStr">
        <is>
          <t>r3y &gt; 12%</t>
        </is>
      </c>
      <c r="D32" s="47" t="inlineStr">
        <is>
          <t>Filter inconsistent performers</t>
        </is>
      </c>
    </row>
    <row r="33" ht="18" customHeight="1">
      <c r="A33" s="47" t="inlineStr">
        <is>
          <t>Drawdown Tolerance</t>
        </is>
      </c>
      <c r="B33" s="48" t="inlineStr">
        <is>
          <t>-30%</t>
        </is>
      </c>
      <c r="C33" s="47" t="inlineStr">
        <is>
          <t>r1y &gt; -30%</t>
        </is>
      </c>
      <c r="D33" s="47" t="inlineStr">
        <is>
          <t>Exclude extreme losers</t>
        </is>
      </c>
    </row>
    <row r="34" ht="18" customHeight="1">
      <c r="A34" s="47" t="inlineStr">
        <is>
          <t>Data Status</t>
        </is>
      </c>
      <c r="B34" s="48" t="inlineStr">
        <is>
          <t>FULL only</t>
        </is>
      </c>
      <c r="C34" s="47" t="inlineStr">
        <is>
          <t>data_status == 'FULL'</t>
        </is>
      </c>
      <c r="D34" s="47" t="inlineStr">
        <is>
          <t>Only complete data qualifies</t>
        </is>
      </c>
    </row>
    <row r="36" ht="22" customHeight="1">
      <c r="A36" s="59" t="inlineStr">
        <is>
          <t>📈  ENGINE 1: MOMENTUM SCORE (Short-Term)</t>
        </is>
      </c>
    </row>
    <row r="37" ht="20" customHeight="1">
      <c r="A37" s="60" t="inlineStr">
        <is>
          <t>Component</t>
        </is>
      </c>
      <c r="B37" s="60" t="inlineStr">
        <is>
          <t>Weight</t>
        </is>
      </c>
      <c r="C37" s="60" t="inlineStr">
        <is>
          <t>Formula</t>
        </is>
      </c>
      <c r="D37" s="60" t="inlineStr">
        <is>
          <t>Description</t>
        </is>
      </c>
    </row>
    <row r="38" ht="18" customHeight="1">
      <c r="A38" s="47" t="inlineStr">
        <is>
          <t>6M Return Rank</t>
        </is>
      </c>
      <c r="B38" s="48" t="inlineStr">
        <is>
          <t>30%</t>
        </is>
      </c>
      <c r="C38" s="47" t="inlineStr">
        <is>
          <t>pct_rank(r6m) × 0.30</t>
        </is>
      </c>
      <c r="D38" s="47" t="inlineStr">
        <is>
          <t>6-month percentile within category</t>
        </is>
      </c>
    </row>
    <row r="39" ht="18" customHeight="1">
      <c r="A39" s="47" t="inlineStr">
        <is>
          <t>3M Return Rank</t>
        </is>
      </c>
      <c r="B39" s="48" t="inlineStr">
        <is>
          <t>20%</t>
        </is>
      </c>
      <c r="C39" s="47" t="inlineStr">
        <is>
          <t>pct_rank(r3m) × 0.20</t>
        </is>
      </c>
      <c r="D39" s="47" t="inlineStr">
        <is>
          <t>3-month percentile within category</t>
        </is>
      </c>
    </row>
    <row r="40" ht="18" customHeight="1">
      <c r="A40" s="47" t="inlineStr">
        <is>
          <t>1Y Return Rank</t>
        </is>
      </c>
      <c r="B40" s="48" t="inlineStr">
        <is>
          <t>25%</t>
        </is>
      </c>
      <c r="C40" s="47" t="inlineStr">
        <is>
          <t>pct_rank(r1y) × 0.25</t>
        </is>
      </c>
      <c r="D40" s="47" t="inlineStr">
        <is>
          <t>1-year percentile within category</t>
        </is>
      </c>
    </row>
    <row r="41" ht="18" customHeight="1">
      <c r="A41" s="47" t="inlineStr">
        <is>
          <t>1M Return Rank</t>
        </is>
      </c>
      <c r="B41" s="48" t="inlineStr">
        <is>
          <t>25%</t>
        </is>
      </c>
      <c r="C41" s="47" t="inlineStr">
        <is>
          <t>pct_rank(r1m) × 0.25</t>
        </is>
      </c>
      <c r="D41" s="47" t="inlineStr">
        <is>
          <t>1-month percentile within category</t>
        </is>
      </c>
    </row>
    <row r="42" ht="18" customHeight="1">
      <c r="A42" s="47" t="inlineStr">
        <is>
          <t>Trend Bonus</t>
        </is>
      </c>
      <c r="B42" s="48" t="inlineStr">
        <is>
          <t>+5.0</t>
        </is>
      </c>
      <c r="C42" s="47" t="inlineStr">
        <is>
          <t>If r6m &gt; r3m &gt; r1m</t>
        </is>
      </c>
      <c r="D42" s="47" t="inlineStr">
        <is>
          <t>📈 Uptrend bonus (0 to 5 pts)</t>
        </is>
      </c>
    </row>
    <row r="43" ht="18" customHeight="1">
      <c r="A43" s="47" t="inlineStr">
        <is>
          <t>Final E1</t>
        </is>
      </c>
      <c r="B43" s="48" t="inlineStr">
        <is>
          <t>0-100</t>
        </is>
      </c>
      <c r="C43" s="47" t="inlineStr">
        <is>
          <t>clip(sum + trend, 0, 100)</t>
        </is>
      </c>
      <c r="D43" s="47" t="inlineStr">
        <is>
          <t>Capped percentile score</t>
        </is>
      </c>
    </row>
    <row r="45" ht="22" customHeight="1">
      <c r="A45" s="61" t="inlineStr">
        <is>
          <t>🏛️  ENGINE 2: QUALITY SCORE (Long-Term)</t>
        </is>
      </c>
    </row>
    <row r="46" ht="20" customHeight="1">
      <c r="A46" s="62" t="inlineStr">
        <is>
          <t>Component</t>
        </is>
      </c>
      <c r="B46" s="62" t="inlineStr">
        <is>
          <t>Weight</t>
        </is>
      </c>
      <c r="C46" s="62" t="inlineStr">
        <is>
          <t>Formula</t>
        </is>
      </c>
      <c r="D46" s="62" t="inlineStr">
        <is>
          <t>Description</t>
        </is>
      </c>
    </row>
    <row r="47" ht="18" customHeight="1">
      <c r="A47" s="47" t="inlineStr">
        <is>
          <t>1Y Return Rank</t>
        </is>
      </c>
      <c r="B47" s="48" t="inlineStr">
        <is>
          <t>25%</t>
        </is>
      </c>
      <c r="C47" s="47" t="inlineStr">
        <is>
          <t>pct_rank(r1y) × 0.25</t>
        </is>
      </c>
      <c r="D47" s="47" t="inlineStr">
        <is>
          <t>1-year percentile (qualified only)</t>
        </is>
      </c>
    </row>
    <row r="48" ht="18" customHeight="1">
      <c r="A48" s="47" t="inlineStr">
        <is>
          <t>2Y CAGR Rank</t>
        </is>
      </c>
      <c r="B48" s="48" t="inlineStr">
        <is>
          <t>30%</t>
        </is>
      </c>
      <c r="C48" s="47" t="inlineStr">
        <is>
          <t>pct_rank(r2y_cagr) × 0.30</t>
        </is>
      </c>
      <c r="D48" s="47" t="inlineStr">
        <is>
          <t>2-year CAGR percentile</t>
        </is>
      </c>
    </row>
    <row r="49" ht="18" customHeight="1">
      <c r="A49" s="47" t="inlineStr">
        <is>
          <t>3Y CAGR Rank</t>
        </is>
      </c>
      <c r="B49" s="48" t="inlineStr">
        <is>
          <t>45%</t>
        </is>
      </c>
      <c r="C49" s="47" t="inlineStr">
        <is>
          <t>pct_rank(r3y) × 0.45</t>
        </is>
      </c>
      <c r="D49" s="47" t="inlineStr">
        <is>
          <t>3-year CAGR percentile (highest weight)</t>
        </is>
      </c>
    </row>
    <row r="50" ht="18" customHeight="1">
      <c r="A50" s="47" t="inlineStr">
        <is>
          <t>Final E2</t>
        </is>
      </c>
      <c r="B50" s="48" t="inlineStr">
        <is>
          <t>0-100</t>
        </is>
      </c>
      <c r="C50" s="47" t="inlineStr">
        <is>
          <t>sum of weighted ranks</t>
        </is>
      </c>
      <c r="D50" s="47" t="inlineStr">
        <is>
          <t>Only for qualified funds</t>
        </is>
      </c>
    </row>
    <row r="52" ht="22" customHeight="1">
      <c r="A52" s="49" t="inlineStr">
        <is>
          <t>🎯  COMPOSITE SCORE CALCULATION</t>
        </is>
      </c>
    </row>
    <row r="53" ht="20" customHeight="1">
      <c r="A53" s="50" t="inlineStr">
        <is>
          <t>Component</t>
        </is>
      </c>
      <c r="B53" s="50" t="inlineStr">
        <is>
          <t>Weight</t>
        </is>
      </c>
      <c r="C53" s="50" t="inlineStr">
        <is>
          <t>Formula</t>
        </is>
      </c>
      <c r="D53" s="50" t="inlineStr">
        <is>
          <t>Description</t>
        </is>
      </c>
    </row>
    <row r="54" ht="18" customHeight="1">
      <c r="A54" s="47" t="inlineStr">
        <is>
          <t>Engine 1 Contribution</t>
        </is>
      </c>
      <c r="B54" s="48" t="inlineStr">
        <is>
          <t>55%</t>
        </is>
      </c>
      <c r="C54" s="47" t="inlineStr">
        <is>
          <t>E1 × 0.55</t>
        </is>
      </c>
      <c r="D54" s="47" t="inlineStr">
        <is>
          <t>Momentum component</t>
        </is>
      </c>
    </row>
    <row r="55" ht="18" customHeight="1">
      <c r="A55" s="47" t="inlineStr">
        <is>
          <t>Engine 2 Contribution</t>
        </is>
      </c>
      <c r="B55" s="48" t="inlineStr">
        <is>
          <t>45%</t>
        </is>
      </c>
      <c r="C55" s="47" t="inlineStr">
        <is>
          <t>E2 × 0.45</t>
        </is>
      </c>
      <c r="D55" s="47" t="inlineStr">
        <is>
          <t>Quality component</t>
        </is>
      </c>
    </row>
    <row r="56" ht="18" customHeight="1">
      <c r="A56" s="47" t="inlineStr">
        <is>
          <t>Final Composite</t>
        </is>
      </c>
      <c r="B56" s="48" t="inlineStr">
        <is>
          <t>0-100</t>
        </is>
      </c>
      <c r="C56" s="47" t="inlineStr">
        <is>
          <t>E1×0.55 + E2×0.45</t>
        </is>
      </c>
      <c r="D56" s="47" t="inlineStr">
        <is>
          <t>Blended score for ranking</t>
        </is>
      </c>
    </row>
    <row r="58" ht="22" customHeight="1">
      <c r="A58" s="63" t="inlineStr">
        <is>
          <t>🏆  RANKING METHODOLOGY</t>
        </is>
      </c>
    </row>
    <row r="59" ht="20" customHeight="1">
      <c r="A59" s="64" t="inlineStr">
        <is>
          <t>Step</t>
        </is>
      </c>
      <c r="B59" s="64" t="inlineStr">
        <is>
          <t>Logic</t>
        </is>
      </c>
      <c r="C59" s="64" t="inlineStr">
        <is>
          <t>Scope</t>
        </is>
      </c>
      <c r="D59" s="64" t="inlineStr">
        <is>
          <t>Result</t>
        </is>
      </c>
    </row>
    <row r="60" ht="18" customHeight="1">
      <c r="A60" s="47" t="inlineStr">
        <is>
          <t>1. Group by Category</t>
        </is>
      </c>
      <c r="B60" s="48" t="inlineStr">
        <is>
          <t>df.groupby('_cat')</t>
        </is>
      </c>
      <c r="C60" s="47" t="inlineStr">
        <is>
          <t>Within each category</t>
        </is>
      </c>
      <c r="D60" s="47" t="inlineStr">
        <is>
          <t>Separate ranking pools</t>
        </is>
      </c>
    </row>
    <row r="61" ht="18" customHeight="1">
      <c r="A61" s="47" t="inlineStr">
        <is>
          <t>2. Sort by Composite</t>
        </is>
      </c>
      <c r="B61" s="48" t="inlineStr">
        <is>
          <t>descending order</t>
        </is>
      </c>
      <c r="C61" s="47" t="inlineStr">
        <is>
          <t>Highest score = Rank 1</t>
        </is>
      </c>
      <c r="D61" s="47" t="inlineStr">
        <is>
          <t>FULL data prioritized</t>
        </is>
      </c>
    </row>
    <row r="62" ht="18" customHeight="1">
      <c r="A62" s="47" t="inlineStr">
        <is>
          <t>3. Handle Ties</t>
        </is>
      </c>
      <c r="B62" s="48" t="inlineStr">
        <is>
          <t>method='min'</t>
        </is>
      </c>
      <c r="C62" s="47" t="inlineStr">
        <is>
          <t>Same score = same rank</t>
        </is>
      </c>
      <c r="D62" s="47" t="inlineStr">
        <is>
          <t>Preserves order stability</t>
        </is>
      </c>
    </row>
    <row r="63" ht="18" customHeight="1">
      <c r="A63" s="47" t="inlineStr">
        <is>
          <t>4. Data Status Sort</t>
        </is>
      </c>
      <c r="B63" s="48" t="inlineStr">
        <is>
          <t>FULL → MOMENTUM → MISSING</t>
        </is>
      </c>
      <c r="C63" s="47" t="inlineStr">
        <is>
          <t>Global consolidated view</t>
        </is>
      </c>
      <c r="D63" s="47" t="inlineStr">
        <is>
          <t>Best data quality first</t>
        </is>
      </c>
    </row>
    <row r="65" ht="22" customHeight="1">
      <c r="A65" s="65" t="inlineStr">
        <is>
          <t>🏅  RANK IN ASSET CLASS (Consolidated Sheet — Dynamic)</t>
        </is>
      </c>
    </row>
    <row r="66" ht="20" customHeight="1">
      <c r="A66" s="66" t="inlineStr">
        <is>
          <t>Column</t>
        </is>
      </c>
      <c r="B66" s="66" t="inlineStr">
        <is>
          <t>Excel Formula (whole-column)</t>
        </is>
      </c>
      <c r="C66" s="66" t="inlineStr">
        <is>
          <t>Meaning</t>
        </is>
      </c>
      <c r="D66" s="66" t="inlineStr">
        <is>
          <t>How to Use</t>
        </is>
      </c>
    </row>
    <row r="67" ht="18" customHeight="1">
      <c r="A67" s="47" t="inlineStr">
        <is>
          <t>E1 Rank (in Asset)</t>
        </is>
      </c>
      <c r="B67" s="48">
        <f>COUNTIFS($E:$E,$E5,$L:$L,"&gt;"&amp;$L5)+1</f>
        <v/>
      </c>
      <c r="C67" s="47" t="inlineStr">
        <is>
          <t>Rank by Engine 1 within same Asset Class</t>
        </is>
      </c>
      <c r="D67" s="47" t="inlineStr">
        <is>
          <t>Filter by Asset Class, sort ascending</t>
        </is>
      </c>
    </row>
    <row r="68" ht="18" customHeight="1">
      <c r="A68" s="47" t="inlineStr">
        <is>
          <t>E2 Rank (in Asset)</t>
        </is>
      </c>
      <c r="B68" s="48">
        <f>COUNTIFS($E:$E,$E5,$M:$M,"&gt;"&amp;$M5)+1</f>
        <v/>
      </c>
      <c r="C68" s="47" t="inlineStr">
        <is>
          <t>Rank by Engine 2 within same Asset Class</t>
        </is>
      </c>
      <c r="D68" s="47" t="inlineStr">
        <is>
          <t>Filter by Asset Class, sort ascending</t>
        </is>
      </c>
    </row>
    <row r="69" ht="18" customHeight="1">
      <c r="A69" s="47" t="inlineStr">
        <is>
          <t>Comp Rank (in Asset)</t>
        </is>
      </c>
      <c r="B69" s="48">
        <f>COUNTIFS($E:$E,$E5,$N:$N,"&gt;"&amp;$N5)+1</f>
        <v/>
      </c>
      <c r="C69" s="47" t="inlineStr">
        <is>
          <t>Rank by Composite within same Asset Class</t>
        </is>
      </c>
      <c r="D69" s="47" t="inlineStr">
        <is>
          <t>Rank 1 = best fund in that Asset Class</t>
        </is>
      </c>
    </row>
    <row r="70" ht="18" customHeight="1">
      <c r="A70" s="51" t="inlineStr">
        <is>
          <t>Note</t>
        </is>
      </c>
      <c r="B70" s="52" t="inlineStr">
        <is>
          <t>Whole-column refs ($E:$E)</t>
        </is>
      </c>
      <c r="C70" s="51" t="inlineStr">
        <is>
          <t>Fully dynamic — auto-expands with new rows</t>
        </is>
      </c>
      <c r="D70" s="51" t="inlineStr">
        <is>
          <t>Replaces the old Asset Class Analysis sheet</t>
        </is>
      </c>
    </row>
    <row r="72" ht="22" customHeight="1">
      <c r="A72" s="45" t="inlineStr">
        <is>
          <t>🏷️  ASSET CLASS TAGGING (Priority Order)</t>
        </is>
      </c>
    </row>
    <row r="73" ht="20" customHeight="1">
      <c r="A73" s="46" t="inlineStr">
        <is>
          <t>Priority</t>
        </is>
      </c>
      <c r="B73" s="46" t="inlineStr">
        <is>
          <t>Asset Class</t>
        </is>
      </c>
      <c r="C73" s="46" t="inlineStr">
        <is>
          <t>Keywords</t>
        </is>
      </c>
      <c r="D73" s="46" t="inlineStr">
        <is>
          <t>Example Match</t>
        </is>
      </c>
    </row>
    <row r="74" ht="18" customHeight="1">
      <c r="A74" s="47" t="inlineStr">
        <is>
          <t>1</t>
        </is>
      </c>
      <c r="B74" s="48" t="inlineStr">
        <is>
          <t>Silver</t>
        </is>
      </c>
      <c r="C74" s="47" t="inlineStr">
        <is>
          <t>silver</t>
        </is>
      </c>
      <c r="D74" s="47" t="inlineStr">
        <is>
          <t>scheme_name.lower().contains()</t>
        </is>
      </c>
    </row>
    <row r="75" ht="18" customHeight="1">
      <c r="A75" s="47" t="inlineStr">
        <is>
          <t>2</t>
        </is>
      </c>
      <c r="B75" s="48" t="inlineStr">
        <is>
          <t>Gold</t>
        </is>
      </c>
      <c r="C75" s="47" t="inlineStr">
        <is>
          <t>gold</t>
        </is>
      </c>
      <c r="D75" s="47" t="inlineStr">
        <is>
          <t>scheme_name.lower().contains()</t>
        </is>
      </c>
    </row>
    <row r="76" ht="18" customHeight="1">
      <c r="A76" s="47" t="inlineStr">
        <is>
          <t>3</t>
        </is>
      </c>
      <c r="B76" s="48" t="inlineStr">
        <is>
          <t>G-SEC</t>
        </is>
      </c>
      <c r="C76" s="47" t="inlineStr">
        <is>
          <t>g-sec, gsec</t>
        </is>
      </c>
      <c r="D76" s="47" t="inlineStr">
        <is>
          <t>scheme_name.lower().contains()</t>
        </is>
      </c>
    </row>
    <row r="77" ht="18" customHeight="1">
      <c r="A77" s="47" t="inlineStr">
        <is>
          <t>4</t>
        </is>
      </c>
      <c r="B77" s="48" t="inlineStr">
        <is>
          <t>GILT</t>
        </is>
      </c>
      <c r="C77" s="47" t="inlineStr">
        <is>
          <t>gilt</t>
        </is>
      </c>
      <c r="D77" s="47" t="inlineStr">
        <is>
          <t>scheme_name.lower().contains()</t>
        </is>
      </c>
    </row>
    <row r="78" ht="18" customHeight="1">
      <c r="A78" s="47" t="inlineStr">
        <is>
          <t>5</t>
        </is>
      </c>
      <c r="B78" s="48" t="inlineStr">
        <is>
          <t>NASDAQ</t>
        </is>
      </c>
      <c r="C78" s="47" t="inlineStr">
        <is>
          <t>nasdaq, nq100, nq 100</t>
        </is>
      </c>
      <c r="D78" s="47" t="inlineStr">
        <is>
          <t>scheme_name.lower().contains()</t>
        </is>
      </c>
    </row>
    <row r="79" ht="18" customHeight="1">
      <c r="A79" s="47" t="inlineStr">
        <is>
          <t>6</t>
        </is>
      </c>
      <c r="B79" s="48" t="inlineStr">
        <is>
          <t>S&amp;P 500</t>
        </is>
      </c>
      <c r="C79" s="47" t="inlineStr">
        <is>
          <t>s&amp;p 500, s&amp;p500, s&amp;p 50</t>
        </is>
      </c>
      <c r="D79" s="47" t="inlineStr">
        <is>
          <t>scheme_name.lower().contains()</t>
        </is>
      </c>
    </row>
    <row r="80" ht="18" customHeight="1">
      <c r="A80" s="47" t="inlineStr">
        <is>
          <t>7</t>
        </is>
      </c>
      <c r="B80" s="48" t="inlineStr">
        <is>
          <t>International</t>
        </is>
      </c>
      <c r="C80" s="47" t="inlineStr">
        <is>
          <t>overseas, global, hang seng...</t>
        </is>
      </c>
      <c r="D80" s="47" t="inlineStr">
        <is>
          <t>scheme_name.lower().contains()</t>
        </is>
      </c>
    </row>
    <row r="81" ht="18" customHeight="1">
      <c r="A81" s="47" t="inlineStr">
        <is>
          <t>8</t>
        </is>
      </c>
      <c r="B81" s="48" t="inlineStr">
        <is>
          <t>Pharma/Healthcare</t>
        </is>
      </c>
      <c r="C81" s="47" t="inlineStr">
        <is>
          <t>pharma, healthcare, health</t>
        </is>
      </c>
      <c r="D81" s="47" t="inlineStr">
        <is>
          <t>scheme_name.lower().contains()</t>
        </is>
      </c>
    </row>
    <row r="82" ht="18" customHeight="1">
      <c r="A82" s="47" t="inlineStr">
        <is>
          <t>9</t>
        </is>
      </c>
      <c r="B82" s="48" t="inlineStr">
        <is>
          <t>Technology</t>
        </is>
      </c>
      <c r="C82" s="47" t="inlineStr">
        <is>
          <t>tech, artificial intelligence, ai ...</t>
        </is>
      </c>
      <c r="D82" s="47" t="inlineStr">
        <is>
          <t>scheme_name.lower().contains()</t>
        </is>
      </c>
    </row>
    <row r="83" ht="18" customHeight="1">
      <c r="A83" s="47" t="inlineStr">
        <is>
          <t>10</t>
        </is>
      </c>
      <c r="B83" s="48" t="inlineStr">
        <is>
          <t>Commodities</t>
        </is>
      </c>
      <c r="C83" s="47" t="inlineStr">
        <is>
          <t>commodit, metal, energy...</t>
        </is>
      </c>
      <c r="D83" s="47" t="inlineStr">
        <is>
          <t>scheme_name.lower().contains()</t>
        </is>
      </c>
    </row>
    <row r="84" ht="18" customHeight="1">
      <c r="A84" s="47" t="inlineStr">
        <is>
          <t>11</t>
        </is>
      </c>
      <c r="B84" s="48" t="inlineStr">
        <is>
          <t>Infrastructure</t>
        </is>
      </c>
      <c r="C84" s="47" t="inlineStr">
        <is>
          <t>infra, infrastructure</t>
        </is>
      </c>
      <c r="D84" s="47" t="inlineStr">
        <is>
          <t>scheme_name.lower().contains()</t>
        </is>
      </c>
    </row>
    <row r="85" ht="18" customHeight="1">
      <c r="A85" s="47" t="inlineStr">
        <is>
          <t>12</t>
        </is>
      </c>
      <c r="B85" s="48" t="inlineStr">
        <is>
          <t>Banking/Financial</t>
        </is>
      </c>
      <c r="C85" s="47" t="inlineStr">
        <is>
          <t>bank, financial, psu bank...</t>
        </is>
      </c>
      <c r="D85" s="47" t="inlineStr">
        <is>
          <t>scheme_name.lower().contains()</t>
        </is>
      </c>
    </row>
    <row r="86" ht="18" customHeight="1">
      <c r="A86" s="47" t="inlineStr">
        <is>
          <t>13</t>
        </is>
      </c>
      <c r="B86" s="48" t="inlineStr">
        <is>
          <t>Index Fund</t>
        </is>
      </c>
      <c r="C86" s="47" t="inlineStr">
        <is>
          <t>index, nifty, sensex...</t>
        </is>
      </c>
      <c r="D86" s="47" t="inlineStr">
        <is>
          <t>scheme_name.lower().contains()</t>
        </is>
      </c>
    </row>
    <row r="87" ht="18" customHeight="1">
      <c r="A87" s="47" t="inlineStr">
        <is>
          <t>99</t>
        </is>
      </c>
      <c r="B87" s="48" t="inlineStr">
        <is>
          <t>Standard Equity/Debt</t>
        </is>
      </c>
      <c r="C87" s="47" t="inlineStr">
        <is>
          <t>(default)</t>
        </is>
      </c>
      <c r="D87" s="47" t="inlineStr">
        <is>
          <t>No keyword match</t>
        </is>
      </c>
    </row>
    <row r="89" ht="22" customHeight="1">
      <c r="A89" s="59" t="inlineStr">
        <is>
          <t>📈  MOMENTUM SIGNAL (Engine 1)</t>
        </is>
      </c>
    </row>
    <row r="90" ht="20" customHeight="1">
      <c r="A90" s="60" t="inlineStr">
        <is>
          <t>Signal</t>
        </is>
      </c>
      <c r="B90" s="60" t="inlineStr">
        <is>
          <t>E1 Range</t>
        </is>
      </c>
      <c r="C90" s="60" t="inlineStr">
        <is>
          <t>Meaning</t>
        </is>
      </c>
      <c r="D90" s="60" t="inlineStr">
        <is>
          <t>Action</t>
        </is>
      </c>
    </row>
    <row r="91" ht="18" customHeight="1">
      <c r="A91" s="47" t="inlineStr">
        <is>
          <t>🔥 Hot</t>
        </is>
      </c>
      <c r="B91" s="48" t="inlineStr">
        <is>
          <t>90-100</t>
        </is>
      </c>
      <c r="C91" s="47" t="inlineStr">
        <is>
          <t>Exceptional momentum</t>
        </is>
      </c>
      <c r="D91" s="47" t="inlineStr">
        <is>
          <t>Strong short-term performer</t>
        </is>
      </c>
    </row>
    <row r="92" ht="18" customHeight="1">
      <c r="A92" s="47" t="inlineStr">
        <is>
          <t>⭐ Strong</t>
        </is>
      </c>
      <c r="B92" s="48" t="inlineStr">
        <is>
          <t>75-89</t>
        </is>
      </c>
      <c r="C92" s="47" t="inlineStr">
        <is>
          <t>Above average momentum</t>
        </is>
      </c>
      <c r="D92" s="47" t="inlineStr">
        <is>
          <t>Good entry point</t>
        </is>
      </c>
    </row>
    <row r="93" ht="18" customHeight="1">
      <c r="A93" s="47" t="inlineStr">
        <is>
          <t>📈 Good</t>
        </is>
      </c>
      <c r="B93" s="48" t="inlineStr">
        <is>
          <t>60-74</t>
        </is>
      </c>
      <c r="C93" s="47" t="inlineStr">
        <is>
          <t>Decent momentum</t>
        </is>
      </c>
      <c r="D93" s="47" t="inlineStr">
        <is>
          <t>Monitor for improvement</t>
        </is>
      </c>
    </row>
    <row r="94" ht="18" customHeight="1">
      <c r="A94" s="47" t="inlineStr">
        <is>
          <t>➡️ Neutral</t>
        </is>
      </c>
      <c r="B94" s="48" t="inlineStr">
        <is>
          <t>40-59</t>
        </is>
      </c>
      <c r="C94" s="47" t="inlineStr">
        <is>
          <t>Average performance</t>
        </is>
      </c>
      <c r="D94" s="47" t="inlineStr">
        <is>
          <t>No clear direction</t>
        </is>
      </c>
    </row>
    <row r="95" ht="18" customHeight="1">
      <c r="A95" s="47" t="inlineStr">
        <is>
          <t>📉 Weak</t>
        </is>
      </c>
      <c r="B95" s="48" t="inlineStr">
        <is>
          <t>&lt;40</t>
        </is>
      </c>
      <c r="C95" s="47" t="inlineStr">
        <is>
          <t>Below average</t>
        </is>
      </c>
      <c r="D95" s="47" t="inlineStr">
        <is>
          <t>Caution advised</t>
        </is>
      </c>
    </row>
    <row r="97" ht="22" customHeight="1">
      <c r="A97" s="61" t="inlineStr">
        <is>
          <t>🏛️  QUALITY SIGNAL (Engine 2)</t>
        </is>
      </c>
    </row>
    <row r="98" ht="20" customHeight="1">
      <c r="A98" s="62" t="inlineStr">
        <is>
          <t>Signal</t>
        </is>
      </c>
      <c r="B98" s="62" t="inlineStr">
        <is>
          <t>E2 Range</t>
        </is>
      </c>
      <c r="C98" s="62" t="inlineStr">
        <is>
          <t>Meaning</t>
        </is>
      </c>
      <c r="D98" s="62" t="inlineStr">
        <is>
          <t>Action</t>
        </is>
      </c>
    </row>
    <row r="99" ht="18" customHeight="1">
      <c r="A99" s="47" t="inlineStr">
        <is>
          <t>🏆 Elite</t>
        </is>
      </c>
      <c r="B99" s="48" t="inlineStr">
        <is>
          <t>90-100</t>
        </is>
      </c>
      <c r="C99" s="47" t="inlineStr">
        <is>
          <t>Top-tier quality</t>
        </is>
      </c>
      <c r="D99" s="47" t="inlineStr">
        <is>
          <t>Core holding candidate</t>
        </is>
      </c>
    </row>
    <row r="100" ht="18" customHeight="1">
      <c r="A100" s="47" t="inlineStr">
        <is>
          <t>⭐ Strong</t>
        </is>
      </c>
      <c r="B100" s="48" t="inlineStr">
        <is>
          <t>75-89</t>
        </is>
      </c>
      <c r="C100" s="47" t="inlineStr">
        <is>
          <t>Strong fundamentals</t>
        </is>
      </c>
      <c r="D100" s="47" t="inlineStr">
        <is>
          <t>Solid long-term choice</t>
        </is>
      </c>
    </row>
    <row r="101" ht="18" customHeight="1">
      <c r="A101" s="47" t="inlineStr">
        <is>
          <t>🏛️ Solid</t>
        </is>
      </c>
      <c r="B101" s="48" t="inlineStr">
        <is>
          <t>60-74</t>
        </is>
      </c>
      <c r="C101" s="47" t="inlineStr">
        <is>
          <t>Good quality metrics</t>
        </is>
      </c>
      <c r="D101" s="47" t="inlineStr">
        <is>
          <t>Reliable performer</t>
        </is>
      </c>
    </row>
    <row r="102" ht="18" customHeight="1">
      <c r="A102" s="47" t="inlineStr">
        <is>
          <t>➡️ Average</t>
        </is>
      </c>
      <c r="B102" s="48" t="inlineStr">
        <is>
          <t>40-59</t>
        </is>
      </c>
      <c r="C102" s="47" t="inlineStr">
        <is>
          <t>Market average</t>
        </is>
      </c>
      <c r="D102" s="47" t="inlineStr">
        <is>
          <t>No standout quality</t>
        </is>
      </c>
    </row>
    <row r="103" ht="18" customHeight="1">
      <c r="A103" s="47" t="inlineStr">
        <is>
          <t>⚠️ Below Avg</t>
        </is>
      </c>
      <c r="B103" s="48" t="inlineStr">
        <is>
          <t>1-39</t>
        </is>
      </c>
      <c r="C103" s="47" t="inlineStr">
        <is>
          <t>Below market average</t>
        </is>
      </c>
      <c r="D103" s="47" t="inlineStr">
        <is>
          <t>Review before investing</t>
        </is>
      </c>
    </row>
    <row r="104" ht="18" customHeight="1">
      <c r="A104" s="47" t="inlineStr">
        <is>
          <t>🔴 Not Qualified</t>
        </is>
      </c>
      <c r="B104" s="48" t="inlineStr">
        <is>
          <t>0</t>
        </is>
      </c>
      <c r="C104" s="47" t="inlineStr">
        <is>
          <t>Failed quality gates</t>
        </is>
      </c>
      <c r="D104" s="47" t="inlineStr">
        <is>
          <t>Does not meet criteria</t>
        </is>
      </c>
    </row>
    <row r="105" ht="18" customHeight="1">
      <c r="A105" s="53" t="inlineStr">
        <is>
          <t>⏳ New Fund</t>
        </is>
      </c>
      <c r="B105" s="54" t="inlineStr">
        <is>
          <t>N/A</t>
        </is>
      </c>
      <c r="C105" s="53" t="inlineStr">
        <is>
          <t>Insufficient history</t>
        </is>
      </c>
      <c r="D105" s="53" t="inlineStr">
        <is>
          <t>Wait for track record</t>
        </is>
      </c>
    </row>
    <row r="107" ht="22" customHeight="1">
      <c r="A107" s="49" t="inlineStr">
        <is>
          <t>🎯  COMPOSITE SIGNAL (Combined)</t>
        </is>
      </c>
    </row>
    <row r="108" ht="20" customHeight="1">
      <c r="A108" s="50" t="inlineStr">
        <is>
          <t>Signal</t>
        </is>
      </c>
      <c r="B108" s="50" t="inlineStr">
        <is>
          <t>Condition</t>
        </is>
      </c>
      <c r="C108" s="50" t="inlineStr">
        <is>
          <t>Meaning</t>
        </is>
      </c>
      <c r="D108" s="50" t="inlineStr">
        <is>
          <t>Action</t>
        </is>
      </c>
    </row>
    <row r="109" ht="18" customHeight="1">
      <c r="A109" s="47" t="inlineStr">
        <is>
          <t>🚀 Strong Conviction</t>
        </is>
      </c>
      <c r="B109" s="48" t="inlineStr">
        <is>
          <t>≥85 + Uptrend</t>
        </is>
      </c>
      <c r="C109" s="47" t="inlineStr">
        <is>
          <t>Best of both engines</t>
        </is>
      </c>
      <c r="D109" s="47" t="inlineStr">
        <is>
          <t>Top pick</t>
        </is>
      </c>
    </row>
    <row r="110" ht="18" customHeight="1">
      <c r="A110" s="47" t="inlineStr">
        <is>
          <t>⭐ Strong Buy</t>
        </is>
      </c>
      <c r="B110" s="48" t="inlineStr">
        <is>
          <t>75-84</t>
        </is>
      </c>
      <c r="C110" s="47" t="inlineStr">
        <is>
          <t>High composite score</t>
        </is>
      </c>
      <c r="D110" s="47" t="inlineStr">
        <is>
          <t>Recommended buy</t>
        </is>
      </c>
    </row>
    <row r="111" ht="18" customHeight="1">
      <c r="A111" s="47" t="inlineStr">
        <is>
          <t>📈 Momentum Play</t>
        </is>
      </c>
      <c r="B111" s="48" t="inlineStr">
        <is>
          <t>60-74 (E1&gt;E2)</t>
        </is>
      </c>
      <c r="C111" s="47" t="inlineStr">
        <is>
          <t>Momentum-driven</t>
        </is>
      </c>
      <c r="D111" s="47" t="inlineStr">
        <is>
          <t>Short-term opportunity</t>
        </is>
      </c>
    </row>
    <row r="112" ht="18" customHeight="1">
      <c r="A112" s="47" t="inlineStr">
        <is>
          <t>🏛️ Quality Hold</t>
        </is>
      </c>
      <c r="B112" s="48" t="inlineStr">
        <is>
          <t>60-74 (E2&gt;E1)</t>
        </is>
      </c>
      <c r="C112" s="47" t="inlineStr">
        <is>
          <t>Quality-driven</t>
        </is>
      </c>
      <c r="D112" s="47" t="inlineStr">
        <is>
          <t>Long-term hold</t>
        </is>
      </c>
    </row>
    <row r="113" ht="18" customHeight="1">
      <c r="A113" s="47" t="inlineStr">
        <is>
          <t>✅ Buy</t>
        </is>
      </c>
      <c r="B113" s="48" t="inlineStr">
        <is>
          <t>55-59</t>
        </is>
      </c>
      <c r="C113" s="47" t="inlineStr">
        <is>
          <t>Moderate confidence</t>
        </is>
      </c>
      <c r="D113" s="47" t="inlineStr">
        <is>
          <t>Consider buying</t>
        </is>
      </c>
    </row>
    <row r="114" ht="18" customHeight="1">
      <c r="A114" s="47" t="inlineStr">
        <is>
          <t>⚠️ Watch</t>
        </is>
      </c>
      <c r="B114" s="48" t="inlineStr">
        <is>
          <t>40-54</t>
        </is>
      </c>
      <c r="C114" s="47" t="inlineStr">
        <is>
          <t>Below average</t>
        </is>
      </c>
      <c r="D114" s="47" t="inlineStr">
        <is>
          <t>Monitor closely</t>
        </is>
      </c>
    </row>
    <row r="115" ht="18" customHeight="1">
      <c r="A115" s="47" t="inlineStr">
        <is>
          <t>🔴 Avoid</t>
        </is>
      </c>
      <c r="B115" s="48" t="inlineStr">
        <is>
          <t>&lt;40</t>
        </is>
      </c>
      <c r="C115" s="47" t="inlineStr">
        <is>
          <t>Poor performance</t>
        </is>
      </c>
      <c r="D115" s="47" t="inlineStr">
        <is>
          <t>Not recommended</t>
        </is>
      </c>
    </row>
    <row r="116" ht="18" customHeight="1">
      <c r="A116" s="53" t="inlineStr">
        <is>
          <t>🔥 Hot Momentum</t>
        </is>
      </c>
      <c r="B116" s="54" t="inlineStr">
        <is>
          <t>E1≥80 (Mom. Only)</t>
        </is>
      </c>
      <c r="C116" s="53" t="inlineStr">
        <is>
          <t>Strong momentum, no history</t>
        </is>
      </c>
      <c r="D116" s="53" t="inlineStr">
        <is>
          <t>Speculative</t>
        </is>
      </c>
    </row>
    <row r="118" ht="22" customHeight="1">
      <c r="A118" s="49" t="inlineStr">
        <is>
          <t>📈  DATA STATISTICS (Live)</t>
        </is>
      </c>
    </row>
    <row r="119" ht="20" customHeight="1">
      <c r="A119" s="50" t="inlineStr">
        <is>
          <t>Metric</t>
        </is>
      </c>
      <c r="B119" s="50" t="inlineStr">
        <is>
          <t>Count</t>
        </is>
      </c>
      <c r="C119" s="50" t="inlineStr">
        <is>
          <t>Share</t>
        </is>
      </c>
      <c r="D119" s="50" t="inlineStr">
        <is>
          <t>Notes</t>
        </is>
      </c>
    </row>
    <row r="120" ht="18" customHeight="1">
      <c r="A120" s="67" t="inlineStr">
        <is>
          <t>Total Funds</t>
        </is>
      </c>
      <c r="B120" s="68">
        <f>COUNTA('📊 CONSOLIDATED'!$B:$B)-4</f>
        <v/>
      </c>
      <c r="C120" s="69" t="n">
        <v>1</v>
      </c>
      <c r="D120" s="67" t="inlineStr">
        <is>
          <t>All funds in analysis</t>
        </is>
      </c>
    </row>
    <row r="121" ht="18" customHeight="1">
      <c r="A121" s="70" t="inlineStr">
        <is>
          <t>✅ Full Data</t>
        </is>
      </c>
      <c r="B121" s="71">
        <f>COUNTIF('📊 CONSOLIDATED'!$U:$U,"FULL")</f>
        <v/>
      </c>
      <c r="C121" s="72">
        <f>=COUNTIF('📊 CONSOLIDATED'!$U:$U,"FULL")/=COUNTA('📊 CONSOLIDATED'!$B:$B)-4</f>
        <v/>
      </c>
      <c r="D121" s="70" t="inlineStr">
        <is>
          <t>Complete data for scoring</t>
        </is>
      </c>
    </row>
    <row r="122" ht="18" customHeight="1">
      <c r="A122" s="73" t="inlineStr">
        <is>
          <t>⚠️ Momentum Only</t>
        </is>
      </c>
      <c r="B122" s="74">
        <f>COUNTIF('📊 CONSOLIDATED'!$U:$U,"MOMENTUM_ONLY")</f>
        <v/>
      </c>
      <c r="C122" s="75">
        <f>=COUNTIF('📊 CONSOLIDATED'!$U:$U,"MOMENTUM_ONLY")/=COUNTA('📊 CONSOLIDATED'!$B:$B)-4</f>
        <v/>
      </c>
      <c r="D122" s="73" t="inlineStr">
        <is>
          <t>New funds, E2=0</t>
        </is>
      </c>
    </row>
    <row r="123" ht="18" customHeight="1">
      <c r="A123" s="76" t="inlineStr">
        <is>
          <t>❌ Missing Data</t>
        </is>
      </c>
      <c r="B123" s="77">
        <f>COUNTIF('📊 CONSOLIDATED'!$U:$U,"MISSING")</f>
        <v/>
      </c>
      <c r="C123" s="78">
        <f>=COUNTIF('📊 CONSOLIDATED'!$U:$U,"MISSING")/=COUNTA('📊 CONSOLIDATED'!$B:$B)-4</f>
        <v/>
      </c>
      <c r="D123" s="76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4" t="inlineStr">
        <is>
          <t>✦  FOF DOMESTIC  ✦</t>
        </is>
      </c>
    </row>
    <row r="2" ht="16" customHeight="1">
      <c r="A2" s="2">
        <f>"Dual Engine: 55% Momentum + 45% Quality | ✅ Full: "&amp;COUNTIF(Q5:Q125,"FULL")&amp;" | ⚠️ Momentum: "&amp;COUNTIF(Q5:Q125,"MOMENTUM_ONLY")&amp;" | ❌ Missing: "&amp;COUNTIF(Q5:Q125,"MISSING")&amp;" | Total: "&amp;COUNTA(B5:B125)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9" t="n">
        <v>1</v>
      </c>
      <c r="B5" s="80" t="inlineStr">
        <is>
          <t>UTI Silver ETF Fund of Fund - Regular Plan - Growth Option</t>
        </is>
      </c>
      <c r="C5" s="80" t="inlineStr">
        <is>
          <t>UTI Mutual Fund</t>
        </is>
      </c>
      <c r="D5" s="80" t="inlineStr">
        <is>
          <t>Silver</t>
        </is>
      </c>
      <c r="E5" s="81" t="n">
        <v>8.06</v>
      </c>
      <c r="F5" s="82" t="n">
        <v>-12.55</v>
      </c>
      <c r="G5" s="82" t="n">
        <v>-0.96</v>
      </c>
      <c r="H5" s="81" t="n">
        <v>97.72</v>
      </c>
      <c r="I5" s="81" t="n">
        <v>65.00303027520434</v>
      </c>
      <c r="J5" s="81" t="n">
        <v>213.16</v>
      </c>
      <c r="K5" s="37" t="n">
        <v>48.5</v>
      </c>
      <c r="L5" s="25" t="n">
        <v>97.8</v>
      </c>
      <c r="M5" s="35" t="n">
        <v>70.7</v>
      </c>
      <c r="N5" s="41" t="inlineStr">
        <is>
          <t>➡️ Neutral</t>
        </is>
      </c>
      <c r="O5" s="41" t="inlineStr">
        <is>
          <t>🏆 Elite</t>
        </is>
      </c>
      <c r="P5" s="41" t="inlineStr">
        <is>
          <t>🏛️ Quality Hold</t>
        </is>
      </c>
      <c r="Q5" s="83" t="inlineStr">
        <is>
          <t>FULL</t>
        </is>
      </c>
    </row>
    <row r="6" ht="16" customHeight="1">
      <c r="A6" s="84" t="n">
        <v>2</v>
      </c>
      <c r="B6" s="85" t="inlineStr">
        <is>
          <t>Motilal Oswal Nasdaq 100 Fund of Fund- Regular Plan Growth</t>
        </is>
      </c>
      <c r="C6" s="85" t="inlineStr">
        <is>
          <t>Motilal Oswal Mutual Fund</t>
        </is>
      </c>
      <c r="D6" s="85" t="inlineStr">
        <is>
          <t>NASDAQ</t>
        </is>
      </c>
      <c r="E6" s="86" t="n">
        <v>0.99</v>
      </c>
      <c r="F6" s="86" t="n">
        <v>2.65</v>
      </c>
      <c r="G6" s="86" t="n">
        <v>47.22</v>
      </c>
      <c r="H6" s="86" t="n">
        <v>63.25</v>
      </c>
      <c r="I6" s="86" t="n">
        <v>43.96527359054336</v>
      </c>
      <c r="J6" s="86" t="n">
        <v>176.58</v>
      </c>
      <c r="K6" s="24" t="n">
        <v>77.40000000000001</v>
      </c>
      <c r="L6" s="42" t="n">
        <v>57.6</v>
      </c>
      <c r="M6" s="35" t="n">
        <v>68.5</v>
      </c>
      <c r="N6" s="27" t="inlineStr">
        <is>
          <t>⭐ Strong</t>
        </is>
      </c>
      <c r="O6" s="27" t="inlineStr">
        <is>
          <t>➡️ Average</t>
        </is>
      </c>
      <c r="P6" s="27" t="inlineStr">
        <is>
          <t>📈 Momentum Play</t>
        </is>
      </c>
      <c r="Q6" s="83" t="inlineStr">
        <is>
          <t>FULL</t>
        </is>
      </c>
    </row>
    <row r="7" ht="16" customHeight="1">
      <c r="A7" s="87" t="n">
        <v>3</v>
      </c>
      <c r="B7" s="88" t="inlineStr">
        <is>
          <t>Kotak Silver ETF Fund of Fund - Regular Plan - Growth Option</t>
        </is>
      </c>
      <c r="C7" s="88" t="inlineStr">
        <is>
          <t>Kotak Mahindra Mutual Fund</t>
        </is>
      </c>
      <c r="D7" s="88" t="inlineStr">
        <is>
          <t>Silver</t>
        </is>
      </c>
      <c r="E7" s="89" t="n">
        <v>7.95</v>
      </c>
      <c r="F7" s="90" t="n">
        <v>-12.43</v>
      </c>
      <c r="G7" s="90" t="n">
        <v>-0.99</v>
      </c>
      <c r="H7" s="89" t="n">
        <v>98.55</v>
      </c>
      <c r="I7" s="89" t="n">
        <v>65.23014252853503</v>
      </c>
      <c r="J7" s="89" t="n">
        <v>209.48</v>
      </c>
      <c r="K7" s="37" t="n">
        <v>48.9</v>
      </c>
      <c r="L7" s="25" t="n">
        <v>91</v>
      </c>
      <c r="M7" s="35" t="n">
        <v>67.90000000000001</v>
      </c>
      <c r="N7" s="36" t="inlineStr">
        <is>
          <t>➡️ Neutral</t>
        </is>
      </c>
      <c r="O7" s="36" t="inlineStr">
        <is>
          <t>🏆 Elite</t>
        </is>
      </c>
      <c r="P7" s="36" t="inlineStr">
        <is>
          <t>🏛️ Quality Hold</t>
        </is>
      </c>
      <c r="Q7" s="83" t="inlineStr">
        <is>
          <t>FULL</t>
        </is>
      </c>
    </row>
    <row r="8" ht="16" customHeight="1">
      <c r="A8" s="28" t="n">
        <v>4</v>
      </c>
      <c r="B8" s="29" t="inlineStr">
        <is>
          <t>ICICI Prudential Silver ETF FOF - Growth</t>
        </is>
      </c>
      <c r="C8" s="29" t="inlineStr">
        <is>
          <t>ICICI Prudential Mutual Fund</t>
        </is>
      </c>
      <c r="D8" s="29" t="inlineStr">
        <is>
          <t>Silver</t>
        </is>
      </c>
      <c r="E8" s="30" t="n">
        <v>8.140000000000001</v>
      </c>
      <c r="F8" s="91" t="n">
        <v>-12.57</v>
      </c>
      <c r="G8" s="91" t="n">
        <v>-0.88</v>
      </c>
      <c r="H8" s="30" t="n">
        <v>97.2</v>
      </c>
      <c r="I8" s="30" t="n">
        <v>64.68758301705688</v>
      </c>
      <c r="J8" s="30" t="n">
        <v>210.94</v>
      </c>
      <c r="K8" s="37" t="n">
        <v>48.4</v>
      </c>
      <c r="L8" s="25" t="n">
        <v>89.59999999999999</v>
      </c>
      <c r="M8" s="35" t="n">
        <v>66.90000000000001</v>
      </c>
      <c r="N8" s="31" t="inlineStr">
        <is>
          <t>➡️ Neutral</t>
        </is>
      </c>
      <c r="O8" s="31" t="inlineStr">
        <is>
          <t>⭐ Strong</t>
        </is>
      </c>
      <c r="P8" s="31" t="inlineStr">
        <is>
          <t>🏛️ Quality Hold</t>
        </is>
      </c>
      <c r="Q8" s="83" t="inlineStr">
        <is>
          <t>FULL</t>
        </is>
      </c>
    </row>
    <row r="9" ht="16" customHeight="1">
      <c r="A9" s="13" t="n">
        <v>5</v>
      </c>
      <c r="B9" s="14" t="inlineStr">
        <is>
          <t>Axis Silver Fund of Fund -Regular Plan- Growth Option</t>
        </is>
      </c>
      <c r="C9" s="14" t="inlineStr">
        <is>
          <t>Axis Mutual Fund</t>
        </is>
      </c>
      <c r="D9" s="14" t="inlineStr">
        <is>
          <t>Silver</t>
        </is>
      </c>
      <c r="E9" s="15" t="n">
        <v>7.94</v>
      </c>
      <c r="F9" s="16" t="n">
        <v>-12.45</v>
      </c>
      <c r="G9" s="16" t="n">
        <v>-0.84</v>
      </c>
      <c r="H9" s="15" t="n">
        <v>97.56</v>
      </c>
      <c r="I9" s="15" t="n">
        <v>64.42323436789583</v>
      </c>
      <c r="J9" s="15" t="n">
        <v>210.68</v>
      </c>
      <c r="K9" s="37" t="n">
        <v>48.9</v>
      </c>
      <c r="L9" s="25" t="n">
        <v>88.40000000000001</v>
      </c>
      <c r="M9" s="35" t="n">
        <v>66.7</v>
      </c>
      <c r="N9" s="20" t="inlineStr">
        <is>
          <t>➡️ Neutral</t>
        </is>
      </c>
      <c r="O9" s="20" t="inlineStr">
        <is>
          <t>⭐ Strong</t>
        </is>
      </c>
      <c r="P9" s="20" t="inlineStr">
        <is>
          <t>🏛️ Quality Hold</t>
        </is>
      </c>
      <c r="Q9" s="83" t="inlineStr">
        <is>
          <t>FULL</t>
        </is>
      </c>
    </row>
    <row r="10" ht="16" customHeight="1">
      <c r="A10" s="28" t="n">
        <v>6</v>
      </c>
      <c r="B10" s="29" t="inlineStr">
        <is>
          <t>Edelweiss Gold and Silver ETF FOF - Regular Plan - Growth</t>
        </is>
      </c>
      <c r="C10" s="29" t="inlineStr">
        <is>
          <t>Edelweiss Mutual Fund</t>
        </is>
      </c>
      <c r="D10" s="29" t="inlineStr">
        <is>
          <t>Silver</t>
        </is>
      </c>
      <c r="E10" s="30" t="n">
        <v>8.94</v>
      </c>
      <c r="F10" s="91" t="n">
        <v>-7.63</v>
      </c>
      <c r="G10" s="30" t="n">
        <v>0.26</v>
      </c>
      <c r="H10" s="30" t="n">
        <v>77.66</v>
      </c>
      <c r="I10" s="30" t="n">
        <v>56.78966802694623</v>
      </c>
      <c r="J10" s="30" t="n">
        <v>185.56</v>
      </c>
      <c r="K10" s="17" t="n">
        <v>56.6</v>
      </c>
      <c r="L10" s="25" t="n">
        <v>76</v>
      </c>
      <c r="M10" s="35" t="n">
        <v>65.3</v>
      </c>
      <c r="N10" s="31" t="inlineStr">
        <is>
          <t>➡️ Neutral</t>
        </is>
      </c>
      <c r="O10" s="31" t="inlineStr">
        <is>
          <t>⭐ Strong</t>
        </is>
      </c>
      <c r="P10" s="31" t="inlineStr">
        <is>
          <t>🏛️ Quality Hold</t>
        </is>
      </c>
      <c r="Q10" s="83" t="inlineStr">
        <is>
          <t>FULL</t>
        </is>
      </c>
    </row>
    <row r="11" ht="16" customHeight="1">
      <c r="A11" s="13" t="n">
        <v>7</v>
      </c>
      <c r="B11" s="14" t="inlineStr">
        <is>
          <t>Nippon India Silver ETF FOF-Regular Plan- Growth Option</t>
        </is>
      </c>
      <c r="C11" s="14" t="inlineStr">
        <is>
          <t>Nippon India Mutual Fund</t>
        </is>
      </c>
      <c r="D11" s="14" t="inlineStr">
        <is>
          <t>Silver</t>
        </is>
      </c>
      <c r="E11" s="15" t="n">
        <v>8.1</v>
      </c>
      <c r="F11" s="16" t="n">
        <v>-12.59</v>
      </c>
      <c r="G11" s="16" t="n">
        <v>-1.23</v>
      </c>
      <c r="H11" s="15" t="n">
        <v>97.26000000000001</v>
      </c>
      <c r="I11" s="15" t="n">
        <v>64.76346682441468</v>
      </c>
      <c r="J11" s="15" t="n">
        <v>210.1</v>
      </c>
      <c r="K11" s="37" t="n">
        <v>47.1</v>
      </c>
      <c r="L11" s="25" t="n">
        <v>87.40000000000001</v>
      </c>
      <c r="M11" s="35" t="n">
        <v>65.2</v>
      </c>
      <c r="N11" s="20" t="inlineStr">
        <is>
          <t>➡️ Neutral</t>
        </is>
      </c>
      <c r="O11" s="20" t="inlineStr">
        <is>
          <t>⭐ Strong</t>
        </is>
      </c>
      <c r="P11" s="20" t="inlineStr">
        <is>
          <t>🏛️ Quality Hold</t>
        </is>
      </c>
      <c r="Q11" s="83" t="inlineStr">
        <is>
          <t>FULL</t>
        </is>
      </c>
    </row>
    <row r="12" ht="16" customHeight="1">
      <c r="A12" s="28" t="n">
        <v>8</v>
      </c>
      <c r="B12" s="29" t="inlineStr">
        <is>
          <t>HDFC Silver ETF Fund of Fund - Growth Option</t>
        </is>
      </c>
      <c r="C12" s="29" t="inlineStr">
        <is>
          <t>HDFC Mutual Fund</t>
        </is>
      </c>
      <c r="D12" s="29" t="inlineStr">
        <is>
          <t>Silver</t>
        </is>
      </c>
      <c r="E12" s="30" t="n">
        <v>8.140000000000001</v>
      </c>
      <c r="F12" s="91" t="n">
        <v>-12.54</v>
      </c>
      <c r="G12" s="91" t="n">
        <v>-1.28</v>
      </c>
      <c r="H12" s="30" t="n">
        <v>97.23</v>
      </c>
      <c r="I12" s="30" t="n">
        <v>64.52355454463049</v>
      </c>
      <c r="J12" s="30" t="n">
        <v>210.58</v>
      </c>
      <c r="K12" s="37" t="n">
        <v>47.3</v>
      </c>
      <c r="L12" s="25" t="n">
        <v>85.8</v>
      </c>
      <c r="M12" s="35" t="n">
        <v>64.59999999999999</v>
      </c>
      <c r="N12" s="31" t="inlineStr">
        <is>
          <t>➡️ Neutral</t>
        </is>
      </c>
      <c r="O12" s="31" t="inlineStr">
        <is>
          <t>⭐ Strong</t>
        </is>
      </c>
      <c r="P12" s="31" t="inlineStr">
        <is>
          <t>🏛️ Quality Hold</t>
        </is>
      </c>
      <c r="Q12" s="83" t="inlineStr">
        <is>
          <t>FULL</t>
        </is>
      </c>
    </row>
    <row r="13" ht="16" customHeight="1">
      <c r="A13" s="13" t="n">
        <v>9</v>
      </c>
      <c r="B13" s="14" t="inlineStr">
        <is>
          <t>Aditya Birla Sun Life Gold Fund-Growth</t>
        </is>
      </c>
      <c r="C13" s="14" t="inlineStr">
        <is>
          <t>Aditya Birla Sun Life Mutual Fund</t>
        </is>
      </c>
      <c r="D13" s="14" t="inlineStr">
        <is>
          <t>Gold</t>
        </is>
      </c>
      <c r="E13" s="15" t="n">
        <v>9.18</v>
      </c>
      <c r="F13" s="16" t="n">
        <v>-3.05</v>
      </c>
      <c r="G13" s="15" t="n">
        <v>1.61</v>
      </c>
      <c r="H13" s="15" t="n">
        <v>51.89</v>
      </c>
      <c r="I13" s="15" t="n">
        <v>45.36505769957235</v>
      </c>
      <c r="J13" s="15" t="n">
        <v>152.18</v>
      </c>
      <c r="K13" s="17" t="n">
        <v>71.5</v>
      </c>
      <c r="L13" s="42" t="n">
        <v>55.2</v>
      </c>
      <c r="M13" s="35" t="n">
        <v>64.2</v>
      </c>
      <c r="N13" s="20" t="inlineStr">
        <is>
          <t>📈 Good</t>
        </is>
      </c>
      <c r="O13" s="20" t="inlineStr">
        <is>
          <t>➡️ Average</t>
        </is>
      </c>
      <c r="P13" s="20" t="inlineStr">
        <is>
          <t>📈 Momentum Play</t>
        </is>
      </c>
      <c r="Q13" s="83" t="inlineStr">
        <is>
          <t>FULL</t>
        </is>
      </c>
    </row>
    <row r="14" ht="16" customHeight="1">
      <c r="A14" s="28" t="n">
        <v>10</v>
      </c>
      <c r="B14" s="29" t="inlineStr">
        <is>
          <t>Quantum Gold ETF FOF - Regular Plan Growth Option</t>
        </is>
      </c>
      <c r="C14" s="29" t="inlineStr">
        <is>
          <t>Quantum Mutual Fund</t>
        </is>
      </c>
      <c r="D14" s="29" t="inlineStr">
        <is>
          <t>Gold</t>
        </is>
      </c>
      <c r="E14" s="30" t="n">
        <v>8.859999999999999</v>
      </c>
      <c r="F14" s="91" t="n">
        <v>-3.56</v>
      </c>
      <c r="G14" s="30" t="n">
        <v>1.35</v>
      </c>
      <c r="H14" s="30" t="n">
        <v>51.98</v>
      </c>
      <c r="I14" s="30" t="n">
        <v>45.70518178843195</v>
      </c>
      <c r="J14" s="30" t="n">
        <v>153.18</v>
      </c>
      <c r="K14" s="17" t="n">
        <v>62.1</v>
      </c>
      <c r="L14" s="42" t="n">
        <v>65.2</v>
      </c>
      <c r="M14" s="35" t="n">
        <v>63.5</v>
      </c>
      <c r="N14" s="31" t="inlineStr">
        <is>
          <t>📈 Good</t>
        </is>
      </c>
      <c r="O14" s="31" t="inlineStr">
        <is>
          <t>🏛️ Solid</t>
        </is>
      </c>
      <c r="P14" s="31" t="inlineStr">
        <is>
          <t>🏛️ Quality Hold</t>
        </is>
      </c>
      <c r="Q14" s="83" t="inlineStr">
        <is>
          <t>FULL</t>
        </is>
      </c>
    </row>
    <row r="15" ht="16" customHeight="1">
      <c r="A15" s="13" t="n">
        <v>11</v>
      </c>
      <c r="B15" s="14" t="inlineStr">
        <is>
          <t>SBI GOLD FUND REGULAR PLAN - GROWTH</t>
        </is>
      </c>
      <c r="C15" s="14" t="inlineStr">
        <is>
          <t>SBI Mutual Fund</t>
        </is>
      </c>
      <c r="D15" s="14" t="inlineStr">
        <is>
          <t>Gold</t>
        </is>
      </c>
      <c r="E15" s="15" t="n">
        <v>9.15</v>
      </c>
      <c r="F15" s="16" t="n">
        <v>-3.33</v>
      </c>
      <c r="G15" s="15" t="n">
        <v>1.45</v>
      </c>
      <c r="H15" s="15" t="n">
        <v>51.84</v>
      </c>
      <c r="I15" s="15" t="n">
        <v>45.47852075134666</v>
      </c>
      <c r="J15" s="15" t="n">
        <v>152.44</v>
      </c>
      <c r="K15" s="17" t="n">
        <v>67.7</v>
      </c>
      <c r="L15" s="42" t="n">
        <v>57.2</v>
      </c>
      <c r="M15" s="35" t="n">
        <v>63</v>
      </c>
      <c r="N15" s="20" t="inlineStr">
        <is>
          <t>📈 Good</t>
        </is>
      </c>
      <c r="O15" s="20" t="inlineStr">
        <is>
          <t>➡️ Average</t>
        </is>
      </c>
      <c r="P15" s="20" t="inlineStr">
        <is>
          <t>📈 Momentum Play</t>
        </is>
      </c>
      <c r="Q15" s="83" t="inlineStr">
        <is>
          <t>FULL</t>
        </is>
      </c>
    </row>
    <row r="16" ht="16" customHeight="1">
      <c r="A16" s="28" t="n">
        <v>12</v>
      </c>
      <c r="B16" s="29" t="inlineStr">
        <is>
          <t>UTI Gold ETF Fund of Fund - Regular Plan - Growth Opton</t>
        </is>
      </c>
      <c r="C16" s="29" t="inlineStr">
        <is>
          <t>UTI Mutual Fund</t>
        </is>
      </c>
      <c r="D16" s="29" t="inlineStr">
        <is>
          <t>Gold</t>
        </is>
      </c>
      <c r="E16" s="30" t="n">
        <v>9.07</v>
      </c>
      <c r="F16" s="91" t="n">
        <v>-3.34</v>
      </c>
      <c r="G16" s="30" t="n">
        <v>1.41</v>
      </c>
      <c r="H16" s="30" t="n">
        <v>51.7</v>
      </c>
      <c r="I16" s="30" t="n">
        <v>45.65369888883701</v>
      </c>
      <c r="J16" s="30" t="n">
        <v>153.12</v>
      </c>
      <c r="K16" s="17" t="n">
        <v>64.3</v>
      </c>
      <c r="L16" s="42" t="n">
        <v>59.2</v>
      </c>
      <c r="M16" s="35" t="n">
        <v>62</v>
      </c>
      <c r="N16" s="31" t="inlineStr">
        <is>
          <t>📈 Good</t>
        </is>
      </c>
      <c r="O16" s="31" t="inlineStr">
        <is>
          <t>➡️ Average</t>
        </is>
      </c>
      <c r="P16" s="31" t="inlineStr">
        <is>
          <t>📈 Momentum Play</t>
        </is>
      </c>
      <c r="Q16" s="83" t="inlineStr">
        <is>
          <t>FULL</t>
        </is>
      </c>
    </row>
    <row r="17" ht="16" customHeight="1">
      <c r="A17" s="13" t="n">
        <v>13</v>
      </c>
      <c r="B17" s="14" t="inlineStr">
        <is>
          <t>Motilal Oswal Gold and Silver Passive Fund of Funds(Regular Plan)</t>
        </is>
      </c>
      <c r="C17" s="14" t="inlineStr">
        <is>
          <t>Motilal Oswal Mutual Fund</t>
        </is>
      </c>
      <c r="D17" s="14" t="inlineStr">
        <is>
          <t>Silver</t>
        </is>
      </c>
      <c r="E17" s="15" t="n">
        <v>8.529999999999999</v>
      </c>
      <c r="F17" s="16" t="n">
        <v>-6.99</v>
      </c>
      <c r="G17" s="15" t="n">
        <v>0.47</v>
      </c>
      <c r="H17" s="15" t="n">
        <v>63.01</v>
      </c>
      <c r="I17" s="15" t="n">
        <v>50.40611689688688</v>
      </c>
      <c r="J17" s="15" t="n">
        <v>165.47</v>
      </c>
      <c r="K17" s="17" t="n">
        <v>55.9</v>
      </c>
      <c r="L17" s="42" t="n">
        <v>69.2</v>
      </c>
      <c r="M17" s="35" t="n">
        <v>61.9</v>
      </c>
      <c r="N17" s="20" t="inlineStr">
        <is>
          <t>➡️ Neutral</t>
        </is>
      </c>
      <c r="O17" s="20" t="inlineStr">
        <is>
          <t>🏛️ Solid</t>
        </is>
      </c>
      <c r="P17" s="20" t="inlineStr">
        <is>
          <t>🏛️ Quality Hold</t>
        </is>
      </c>
      <c r="Q17" s="83" t="inlineStr">
        <is>
          <t>FULL</t>
        </is>
      </c>
    </row>
    <row r="18" ht="16" customHeight="1">
      <c r="A18" s="28" t="n">
        <v>14</v>
      </c>
      <c r="B18" s="29" t="inlineStr">
        <is>
          <t>HDFC Gold ETF Fund of Fund - Growth Option</t>
        </is>
      </c>
      <c r="C18" s="29" t="inlineStr">
        <is>
          <t>HDFC Mutual Fund</t>
        </is>
      </c>
      <c r="D18" s="29" t="inlineStr">
        <is>
          <t>Gold</t>
        </is>
      </c>
      <c r="E18" s="30" t="n">
        <v>9.140000000000001</v>
      </c>
      <c r="F18" s="91" t="n">
        <v>-3.2</v>
      </c>
      <c r="G18" s="30" t="n">
        <v>1.44</v>
      </c>
      <c r="H18" s="30" t="n">
        <v>51.53</v>
      </c>
      <c r="I18" s="30" t="n">
        <v>45.32721699667961</v>
      </c>
      <c r="J18" s="30" t="n">
        <v>151.12</v>
      </c>
      <c r="K18" s="17" t="n">
        <v>68.2</v>
      </c>
      <c r="L18" s="18" t="n">
        <v>42</v>
      </c>
      <c r="M18" s="35" t="n">
        <v>56.4</v>
      </c>
      <c r="N18" s="31" t="inlineStr">
        <is>
          <t>📈 Good</t>
        </is>
      </c>
      <c r="O18" s="31" t="inlineStr">
        <is>
          <t>➡️ Average</t>
        </is>
      </c>
      <c r="P18" s="31" t="inlineStr">
        <is>
          <t>✅ Buy</t>
        </is>
      </c>
      <c r="Q18" s="83" t="inlineStr">
        <is>
          <t>FULL</t>
        </is>
      </c>
    </row>
    <row r="19" ht="16" customHeight="1">
      <c r="A19" s="13" t="n">
        <v>15</v>
      </c>
      <c r="B19" s="14" t="inlineStr">
        <is>
          <t>ICICI Prudential Gold ETF FOF - Growth</t>
        </is>
      </c>
      <c r="C19" s="14" t="inlineStr">
        <is>
          <t>ICICI Prudential Mutual Fund</t>
        </is>
      </c>
      <c r="D19" s="14" t="inlineStr">
        <is>
          <t>Gold</t>
        </is>
      </c>
      <c r="E19" s="15" t="n">
        <v>9.15</v>
      </c>
      <c r="F19" s="16" t="n">
        <v>-3.31</v>
      </c>
      <c r="G19" s="15" t="n">
        <v>1.32</v>
      </c>
      <c r="H19" s="15" t="n">
        <v>51.47</v>
      </c>
      <c r="I19" s="15" t="n">
        <v>45.31345429794173</v>
      </c>
      <c r="J19" s="15" t="n">
        <v>151.89</v>
      </c>
      <c r="K19" s="17" t="n">
        <v>64</v>
      </c>
      <c r="L19" s="18" t="n">
        <v>44</v>
      </c>
      <c r="M19" s="35" t="n">
        <v>55</v>
      </c>
      <c r="N19" s="20" t="inlineStr">
        <is>
          <t>📈 Good</t>
        </is>
      </c>
      <c r="O19" s="20" t="inlineStr">
        <is>
          <t>➡️ Average</t>
        </is>
      </c>
      <c r="P19" s="20" t="inlineStr">
        <is>
          <t>⚠️ Watch</t>
        </is>
      </c>
      <c r="Q19" s="83" t="inlineStr">
        <is>
          <t>FULL</t>
        </is>
      </c>
    </row>
    <row r="20" ht="16" customHeight="1">
      <c r="A20" s="28" t="n">
        <v>16</v>
      </c>
      <c r="B20" s="29" t="inlineStr">
        <is>
          <t>Nippon India Gold Savings Fund-Growth plan- Growth Option</t>
        </is>
      </c>
      <c r="C20" s="29" t="inlineStr">
        <is>
          <t>Nippon India Mutual Fund</t>
        </is>
      </c>
      <c r="D20" s="29" t="inlineStr">
        <is>
          <t>Gold</t>
        </is>
      </c>
      <c r="E20" s="30" t="n">
        <v>9.16</v>
      </c>
      <c r="F20" s="91" t="n">
        <v>-3.28</v>
      </c>
      <c r="G20" s="30" t="n">
        <v>1.29</v>
      </c>
      <c r="H20" s="30" t="n">
        <v>51.49</v>
      </c>
      <c r="I20" s="30" t="n">
        <v>45.26871652217486</v>
      </c>
      <c r="J20" s="30" t="n">
        <v>151.4</v>
      </c>
      <c r="K20" s="17" t="n">
        <v>64.7</v>
      </c>
      <c r="L20" s="18" t="n">
        <v>42</v>
      </c>
      <c r="M20" s="35" t="n">
        <v>54.5</v>
      </c>
      <c r="N20" s="31" t="inlineStr">
        <is>
          <t>📈 Good</t>
        </is>
      </c>
      <c r="O20" s="31" t="inlineStr">
        <is>
          <t>➡️ Average</t>
        </is>
      </c>
      <c r="P20" s="31" t="inlineStr">
        <is>
          <t>⚠️ Watch</t>
        </is>
      </c>
      <c r="Q20" s="83" t="inlineStr">
        <is>
          <t>FULL</t>
        </is>
      </c>
    </row>
    <row r="21" ht="16" customHeight="1">
      <c r="A21" s="13" t="n">
        <v>17</v>
      </c>
      <c r="B21" s="14" t="inlineStr">
        <is>
          <t>Kotak Gold Fund Growth</t>
        </is>
      </c>
      <c r="C21" s="14" t="inlineStr">
        <is>
          <t>Kotak Mahindra Mutual Fund</t>
        </is>
      </c>
      <c r="D21" s="14" t="inlineStr">
        <is>
          <t>Gold</t>
        </is>
      </c>
      <c r="E21" s="15" t="n">
        <v>9.109999999999999</v>
      </c>
      <c r="F21" s="16" t="n">
        <v>-3.3</v>
      </c>
      <c r="G21" s="15" t="n">
        <v>1.42</v>
      </c>
      <c r="H21" s="15" t="n">
        <v>51.51</v>
      </c>
      <c r="I21" s="15" t="n">
        <v>45.24806367039804</v>
      </c>
      <c r="J21" s="15" t="n">
        <v>151.32</v>
      </c>
      <c r="K21" s="17" t="n">
        <v>65.5</v>
      </c>
      <c r="L21" s="18" t="n">
        <v>38.2</v>
      </c>
      <c r="M21" s="35" t="n">
        <v>53.2</v>
      </c>
      <c r="N21" s="20" t="inlineStr">
        <is>
          <t>📈 Good</t>
        </is>
      </c>
      <c r="O21" s="20" t="inlineStr">
        <is>
          <t>⚠️ Below Avg</t>
        </is>
      </c>
      <c r="P21" s="20" t="inlineStr">
        <is>
          <t>⚠️ Watch</t>
        </is>
      </c>
      <c r="Q21" s="83" t="inlineStr">
        <is>
          <t>FULL</t>
        </is>
      </c>
    </row>
    <row r="22" ht="16" customHeight="1">
      <c r="A22" s="28" t="n">
        <v>18</v>
      </c>
      <c r="B22" s="29" t="inlineStr">
        <is>
          <t>ICICI Prudential Global Advantage Fund (FOF) - Growth Option</t>
        </is>
      </c>
      <c r="C22" s="29" t="inlineStr">
        <is>
          <t>ICICI Prudential Mutual Fund</t>
        </is>
      </c>
      <c r="D22" s="29" t="inlineStr">
        <is>
          <t>International</t>
        </is>
      </c>
      <c r="E22" s="30" t="n">
        <v>4.13</v>
      </c>
      <c r="F22" s="30" t="n">
        <v>3.89</v>
      </c>
      <c r="G22" s="30" t="n">
        <v>6.36</v>
      </c>
      <c r="H22" s="30" t="n">
        <v>23.09</v>
      </c>
      <c r="I22" s="30" t="n">
        <v>24.18131904598211</v>
      </c>
      <c r="J22" s="30" t="n">
        <v>75.8</v>
      </c>
      <c r="K22" s="24" t="n">
        <v>80</v>
      </c>
      <c r="L22" s="18" t="n">
        <v>20</v>
      </c>
      <c r="M22" s="35" t="n">
        <v>53</v>
      </c>
      <c r="N22" s="31" t="inlineStr">
        <is>
          <t>⭐ Strong</t>
        </is>
      </c>
      <c r="O22" s="31" t="inlineStr">
        <is>
          <t>⚠️ Below Avg</t>
        </is>
      </c>
      <c r="P22" s="31" t="inlineStr">
        <is>
          <t>⚠️ Watch</t>
        </is>
      </c>
      <c r="Q22" s="83" t="inlineStr">
        <is>
          <t>FULL</t>
        </is>
      </c>
    </row>
    <row r="23" ht="16" customHeight="1">
      <c r="A23" s="13" t="n">
        <v>19</v>
      </c>
      <c r="B23" s="14" t="inlineStr">
        <is>
          <t>Kotak Gold Fund Payout of Income Distribution cum capital withdrawal option</t>
        </is>
      </c>
      <c r="C23" s="14" t="inlineStr">
        <is>
          <t>Kotak Mahindra Mutual Fund</t>
        </is>
      </c>
      <c r="D23" s="14" t="inlineStr">
        <is>
          <t>Gold</t>
        </is>
      </c>
      <c r="E23" s="15" t="n">
        <v>9.109999999999999</v>
      </c>
      <c r="F23" s="16" t="n">
        <v>-3.31</v>
      </c>
      <c r="G23" s="15" t="n">
        <v>1.42</v>
      </c>
      <c r="H23" s="15" t="n">
        <v>51.51</v>
      </c>
      <c r="I23" s="15" t="n">
        <v>45.24462124292246</v>
      </c>
      <c r="J23" s="15" t="n">
        <v>151.32</v>
      </c>
      <c r="K23" s="17" t="n">
        <v>65.09999999999999</v>
      </c>
      <c r="L23" s="18" t="n">
        <v>37</v>
      </c>
      <c r="M23" s="35" t="n">
        <v>52.5</v>
      </c>
      <c r="N23" s="20" t="inlineStr">
        <is>
          <t>📈 Good</t>
        </is>
      </c>
      <c r="O23" s="20" t="inlineStr">
        <is>
          <t>⚠️ Below Avg</t>
        </is>
      </c>
      <c r="P23" s="20" t="inlineStr">
        <is>
          <t>⚠️ Watch</t>
        </is>
      </c>
      <c r="Q23" s="83" t="inlineStr">
        <is>
          <t>FULL</t>
        </is>
      </c>
    </row>
    <row r="24" ht="16" customHeight="1">
      <c r="A24" s="28" t="n">
        <v>20</v>
      </c>
      <c r="B24" s="29" t="inlineStr">
        <is>
          <t>Aditya Birla Sun Life Multi Asset Omni FoF- Regular Plan - Growth Option</t>
        </is>
      </c>
      <c r="C24" s="29" t="inlineStr">
        <is>
          <t>Aditya Birla Sun Life Mutual Fund</t>
        </is>
      </c>
      <c r="D24" s="29" t="inlineStr">
        <is>
          <t>Standard Equity/Debt</t>
        </is>
      </c>
      <c r="E24" s="30" t="n">
        <v>3.28</v>
      </c>
      <c r="F24" s="30" t="n">
        <v>6.1</v>
      </c>
      <c r="G24" s="30" t="n">
        <v>3.6</v>
      </c>
      <c r="H24" s="30" t="n">
        <v>17.69</v>
      </c>
      <c r="I24" s="30" t="n">
        <v>11.40017953306898</v>
      </c>
      <c r="J24" s="30" t="n">
        <v>62.63</v>
      </c>
      <c r="K24" s="24" t="n">
        <v>79.90000000000001</v>
      </c>
      <c r="L24" s="18" t="n">
        <v>16</v>
      </c>
      <c r="M24" s="35" t="n">
        <v>51.2</v>
      </c>
      <c r="N24" s="31" t="inlineStr">
        <is>
          <t>⭐ Strong</t>
        </is>
      </c>
      <c r="O24" s="31" t="inlineStr">
        <is>
          <t>⚠️ Below Avg</t>
        </is>
      </c>
      <c r="P24" s="31" t="inlineStr">
        <is>
          <t>⚠️ Watch</t>
        </is>
      </c>
      <c r="Q24" s="83" t="inlineStr">
        <is>
          <t>FULL</t>
        </is>
      </c>
    </row>
    <row r="25" ht="16" customHeight="1">
      <c r="A25" s="92" t="n">
        <v>21</v>
      </c>
      <c r="B25" s="93" t="inlineStr">
        <is>
          <t>ICICI Prudential Nifty EV &amp; New Age Automotive ETF FOF - Growth</t>
        </is>
      </c>
      <c r="C25" s="93" t="inlineStr">
        <is>
          <t>ICICI Prudential Mutual Fund</t>
        </is>
      </c>
      <c r="D25" s="93" t="inlineStr">
        <is>
          <t>Index Fund</t>
        </is>
      </c>
      <c r="E25" s="94" t="n">
        <v>7.62</v>
      </c>
      <c r="F25" s="94" t="n">
        <v>14.81</v>
      </c>
      <c r="G25" s="94" t="n">
        <v>10.14</v>
      </c>
      <c r="H25" s="94" t="n">
        <v>16.46</v>
      </c>
      <c r="I25" s="94" t="n">
        <v>0</v>
      </c>
      <c r="J25" s="94" t="n">
        <v>0</v>
      </c>
      <c r="K25" s="24" t="n">
        <v>87.3</v>
      </c>
      <c r="L25" s="18" t="n">
        <v>0</v>
      </c>
      <c r="M25" s="19" t="n">
        <v>48</v>
      </c>
      <c r="N25" s="95" t="inlineStr">
        <is>
          <t>⭐ Strong</t>
        </is>
      </c>
      <c r="O25" s="95" t="inlineStr">
        <is>
          <t>⏳ New Fund</t>
        </is>
      </c>
      <c r="P25" s="95" t="inlineStr">
        <is>
          <t>🔥 Hot Momentum</t>
        </is>
      </c>
      <c r="Q25" s="96" t="inlineStr">
        <is>
          <t>MOMENTUM_ONLY</t>
        </is>
      </c>
    </row>
    <row r="26" ht="16" customHeight="1">
      <c r="A26" s="28" t="n">
        <v>22</v>
      </c>
      <c r="B26" s="29" t="inlineStr">
        <is>
          <t>Axis Gold Fund - Regular Plan - Growth Option</t>
        </is>
      </c>
      <c r="C26" s="29" t="inlineStr">
        <is>
          <t>Axis Mutual Fund</t>
        </is>
      </c>
      <c r="D26" s="29" t="inlineStr">
        <is>
          <t>Gold</t>
        </is>
      </c>
      <c r="E26" s="30" t="n">
        <v>9.220000000000001</v>
      </c>
      <c r="F26" s="91" t="n">
        <v>-3.39</v>
      </c>
      <c r="G26" s="30" t="n">
        <v>1.29</v>
      </c>
      <c r="H26" s="30" t="n">
        <v>51.37</v>
      </c>
      <c r="I26" s="30" t="n">
        <v>44.86200329969208</v>
      </c>
      <c r="J26" s="30" t="n">
        <v>149.83</v>
      </c>
      <c r="K26" s="17" t="n">
        <v>62.8</v>
      </c>
      <c r="L26" s="18" t="n">
        <v>27.4</v>
      </c>
      <c r="M26" s="19" t="n">
        <v>46.9</v>
      </c>
      <c r="N26" s="31" t="inlineStr">
        <is>
          <t>📈 Good</t>
        </is>
      </c>
      <c r="O26" s="31" t="inlineStr">
        <is>
          <t>⚠️ Below Avg</t>
        </is>
      </c>
      <c r="P26" s="31" t="inlineStr">
        <is>
          <t>⚠️ Watch</t>
        </is>
      </c>
      <c r="Q26" s="83" t="inlineStr">
        <is>
          <t>FULL</t>
        </is>
      </c>
    </row>
    <row r="27" ht="16" customHeight="1">
      <c r="A27" s="92" t="n">
        <v>23</v>
      </c>
      <c r="B27" s="93" t="inlineStr">
        <is>
          <t>Mirae Asset Nifty Smallcap 250 Momentum Quality 100 ETF Fund of Fund - Regular Plan - Growth</t>
        </is>
      </c>
      <c r="C27" s="93" t="inlineStr">
        <is>
          <t>Mirae Asset Mutual Fund</t>
        </is>
      </c>
      <c r="D27" s="93" t="inlineStr">
        <is>
          <t>Index Fund</t>
        </is>
      </c>
      <c r="E27" s="94" t="n">
        <v>3.5</v>
      </c>
      <c r="F27" s="94" t="n">
        <v>8.65</v>
      </c>
      <c r="G27" s="94" t="n">
        <v>13.93</v>
      </c>
      <c r="H27" s="94" t="n">
        <v>8.970000000000001</v>
      </c>
      <c r="I27" s="97" t="n">
        <v>-3.54793936882426</v>
      </c>
      <c r="J27" s="94" t="n">
        <v>0</v>
      </c>
      <c r="K27" s="24" t="n">
        <v>83.59999999999999</v>
      </c>
      <c r="L27" s="18" t="n">
        <v>0</v>
      </c>
      <c r="M27" s="19" t="n">
        <v>46</v>
      </c>
      <c r="N27" s="95" t="inlineStr">
        <is>
          <t>⭐ Strong</t>
        </is>
      </c>
      <c r="O27" s="95" t="inlineStr">
        <is>
          <t>⏳ New Fund</t>
        </is>
      </c>
      <c r="P27" s="95" t="inlineStr">
        <is>
          <t>🔥 Hot Momentum</t>
        </is>
      </c>
      <c r="Q27" s="96" t="inlineStr">
        <is>
          <t>MOMENTUM_ONLY</t>
        </is>
      </c>
    </row>
    <row r="28" ht="16" customHeight="1">
      <c r="A28" s="28" t="n">
        <v>24</v>
      </c>
      <c r="B28" s="29" t="inlineStr">
        <is>
          <t>Nippon India Nifty Next 50 Junior BeES FoF - Growth Plan - Growth Option</t>
        </is>
      </c>
      <c r="C28" s="29" t="inlineStr">
        <is>
          <t>Nippon India Mutual Fund</t>
        </is>
      </c>
      <c r="D28" s="29" t="inlineStr">
        <is>
          <t>Index Fund</t>
        </is>
      </c>
      <c r="E28" s="30" t="n">
        <v>3.8</v>
      </c>
      <c r="F28" s="30" t="n">
        <v>8.109999999999999</v>
      </c>
      <c r="G28" s="30" t="n">
        <v>6.52</v>
      </c>
      <c r="H28" s="30" t="n">
        <v>12.33</v>
      </c>
      <c r="I28" s="30" t="n">
        <v>1.567711404756977</v>
      </c>
      <c r="J28" s="30" t="n">
        <v>71.94</v>
      </c>
      <c r="K28" s="24" t="n">
        <v>81.90000000000001</v>
      </c>
      <c r="L28" s="18" t="n">
        <v>0</v>
      </c>
      <c r="M28" s="19" t="n">
        <v>45</v>
      </c>
      <c r="N28" s="31" t="inlineStr">
        <is>
          <t>⭐ Strong</t>
        </is>
      </c>
      <c r="O28" s="31" t="inlineStr">
        <is>
          <t>🔴 Not Qualified</t>
        </is>
      </c>
      <c r="P28" s="31" t="inlineStr">
        <is>
          <t>⚠️ Watch</t>
        </is>
      </c>
      <c r="Q28" s="83" t="inlineStr">
        <is>
          <t>FULL</t>
        </is>
      </c>
    </row>
    <row r="29" ht="16" customHeight="1">
      <c r="A29" s="13" t="n">
        <v>25</v>
      </c>
      <c r="B29" s="14" t="inlineStr">
        <is>
          <t>LIC MF Gold ETF Fund of Fund-Regular Plan-Growth</t>
        </is>
      </c>
      <c r="C29" s="14" t="inlineStr">
        <is>
          <t>LIC Mutual Fund</t>
        </is>
      </c>
      <c r="D29" s="14" t="inlineStr">
        <is>
          <t>Gold</t>
        </is>
      </c>
      <c r="E29" s="15" t="n">
        <v>8.75</v>
      </c>
      <c r="F29" s="16" t="n">
        <v>-3.39</v>
      </c>
      <c r="G29" s="15" t="n">
        <v>0.8100000000000001</v>
      </c>
      <c r="H29" s="15" t="n">
        <v>50.49</v>
      </c>
      <c r="I29" s="15" t="n">
        <v>44.84474446799924</v>
      </c>
      <c r="J29" s="15" t="n">
        <v>150.05</v>
      </c>
      <c r="K29" s="17" t="n">
        <v>55.7</v>
      </c>
      <c r="L29" s="18" t="n">
        <v>27</v>
      </c>
      <c r="M29" s="19" t="n">
        <v>42.8</v>
      </c>
      <c r="N29" s="20" t="inlineStr">
        <is>
          <t>➡️ Neutral</t>
        </is>
      </c>
      <c r="O29" s="20" t="inlineStr">
        <is>
          <t>⚠️ Below Avg</t>
        </is>
      </c>
      <c r="P29" s="20" t="inlineStr">
        <is>
          <t>⚠️ Watch</t>
        </is>
      </c>
      <c r="Q29" s="83" t="inlineStr">
        <is>
          <t>FULL</t>
        </is>
      </c>
    </row>
    <row r="30" ht="16" customHeight="1">
      <c r="A30" s="28" t="n">
        <v>26</v>
      </c>
      <c r="B30" s="29" t="inlineStr">
        <is>
          <t>Bandhan Aggressive Hybrid Passive FOF - Regular Plan - Growth</t>
        </is>
      </c>
      <c r="C30" s="29" t="inlineStr">
        <is>
          <t>Bandhan Mutual Fund</t>
        </is>
      </c>
      <c r="D30" s="29" t="inlineStr">
        <is>
          <t>Standard Equity/Debt</t>
        </is>
      </c>
      <c r="E30" s="30" t="n">
        <v>2.25</v>
      </c>
      <c r="F30" s="30" t="n">
        <v>5.08</v>
      </c>
      <c r="G30" s="30" t="n">
        <v>5.17</v>
      </c>
      <c r="H30" s="30" t="n">
        <v>11.13</v>
      </c>
      <c r="I30" s="30" t="n">
        <v>7.126093926736643</v>
      </c>
      <c r="J30" s="30" t="n">
        <v>46.81</v>
      </c>
      <c r="K30" s="24" t="n">
        <v>77.59999999999999</v>
      </c>
      <c r="L30" s="18" t="n">
        <v>0</v>
      </c>
      <c r="M30" s="19" t="n">
        <v>42.7</v>
      </c>
      <c r="N30" s="31" t="inlineStr">
        <is>
          <t>⭐ Strong</t>
        </is>
      </c>
      <c r="O30" s="31" t="inlineStr">
        <is>
          <t>🔴 Not Qualified</t>
        </is>
      </c>
      <c r="P30" s="31" t="inlineStr">
        <is>
          <t>⚠️ Watch</t>
        </is>
      </c>
      <c r="Q30" s="83" t="inlineStr">
        <is>
          <t>FULL</t>
        </is>
      </c>
    </row>
    <row r="31" ht="16" customHeight="1">
      <c r="A31" s="13" t="n">
        <v>27</v>
      </c>
      <c r="B31" s="14" t="inlineStr">
        <is>
          <t>Nippon India Multi - Asset Omni FoF - Regular Plan - Growth Option</t>
        </is>
      </c>
      <c r="C31" s="14" t="inlineStr">
        <is>
          <t>Nippon India Mutual Fund</t>
        </is>
      </c>
      <c r="D31" s="14" t="inlineStr">
        <is>
          <t>Standard Equity/Debt</t>
        </is>
      </c>
      <c r="E31" s="15" t="n">
        <v>2.47</v>
      </c>
      <c r="F31" s="15" t="n">
        <v>2.78</v>
      </c>
      <c r="G31" s="15" t="n">
        <v>2.8</v>
      </c>
      <c r="H31" s="15" t="n">
        <v>13.07</v>
      </c>
      <c r="I31" s="15" t="n">
        <v>11.14405067298925</v>
      </c>
      <c r="J31" s="15" t="n">
        <v>61.36</v>
      </c>
      <c r="K31" s="17" t="n">
        <v>67.90000000000001</v>
      </c>
      <c r="L31" s="18" t="n">
        <v>10.8</v>
      </c>
      <c r="M31" s="19" t="n">
        <v>42.2</v>
      </c>
      <c r="N31" s="20" t="inlineStr">
        <is>
          <t>📈 Good</t>
        </is>
      </c>
      <c r="O31" s="20" t="inlineStr">
        <is>
          <t>⚠️ Below Avg</t>
        </is>
      </c>
      <c r="P31" s="20" t="inlineStr">
        <is>
          <t>⚠️ Watch</t>
        </is>
      </c>
      <c r="Q31" s="83" t="inlineStr">
        <is>
          <t>FULL</t>
        </is>
      </c>
    </row>
    <row r="32" ht="16" customHeight="1">
      <c r="A32" s="92" t="n">
        <v>28</v>
      </c>
      <c r="B32" s="93" t="inlineStr">
        <is>
          <t>Mirae Asset Nifty200 Alpha 30 ETF Fund of Fund - Regular Plan - Growth</t>
        </is>
      </c>
      <c r="C32" s="93" t="inlineStr">
        <is>
          <t>Mirae Asset Mutual Fund</t>
        </is>
      </c>
      <c r="D32" s="93" t="inlineStr">
        <is>
          <t>Index Fund</t>
        </is>
      </c>
      <c r="E32" s="94" t="n">
        <v>3.58</v>
      </c>
      <c r="F32" s="94" t="n">
        <v>5.16</v>
      </c>
      <c r="G32" s="94" t="n">
        <v>3.63</v>
      </c>
      <c r="H32" s="94" t="n">
        <v>6.4</v>
      </c>
      <c r="I32" s="97" t="n">
        <v>-3.786695306730059</v>
      </c>
      <c r="J32" s="94" t="n">
        <v>0</v>
      </c>
      <c r="K32" s="17" t="n">
        <v>74.7</v>
      </c>
      <c r="L32" s="18" t="n">
        <v>0</v>
      </c>
      <c r="M32" s="19" t="n">
        <v>41.1</v>
      </c>
      <c r="N32" s="95" t="inlineStr">
        <is>
          <t>📈 Good</t>
        </is>
      </c>
      <c r="O32" s="95" t="inlineStr">
        <is>
          <t>⏳ New Fund</t>
        </is>
      </c>
      <c r="P32" s="95" t="inlineStr">
        <is>
          <t>📈 Momentum Only</t>
        </is>
      </c>
      <c r="Q32" s="96" t="inlineStr">
        <is>
          <t>MOMENTUM_ONLY</t>
        </is>
      </c>
    </row>
    <row r="33" ht="16" customHeight="1">
      <c r="A33" s="92" t="n">
        <v>29</v>
      </c>
      <c r="B33" s="93" t="inlineStr">
        <is>
          <t>Mirae Asset Nifty MidSmallcap400 Momentum Quality 100 ETF Fund of Fund - Regular Plan - Growth</t>
        </is>
      </c>
      <c r="C33" s="93" t="inlineStr">
        <is>
          <t>Mirae Asset Mutual Fund</t>
        </is>
      </c>
      <c r="D33" s="93" t="inlineStr">
        <is>
          <t>Index Fund</t>
        </is>
      </c>
      <c r="E33" s="94" t="n">
        <v>3.82</v>
      </c>
      <c r="F33" s="94" t="n">
        <v>3.31</v>
      </c>
      <c r="G33" s="94" t="n">
        <v>9.09</v>
      </c>
      <c r="H33" s="94" t="n">
        <v>8.800000000000001</v>
      </c>
      <c r="I33" s="97" t="n">
        <v>-1.684182350956365</v>
      </c>
      <c r="J33" s="94" t="n">
        <v>0</v>
      </c>
      <c r="K33" s="17" t="n">
        <v>74.59999999999999</v>
      </c>
      <c r="L33" s="18" t="n">
        <v>0</v>
      </c>
      <c r="M33" s="19" t="n">
        <v>41</v>
      </c>
      <c r="N33" s="95" t="inlineStr">
        <is>
          <t>📈 Good</t>
        </is>
      </c>
      <c r="O33" s="95" t="inlineStr">
        <is>
          <t>⏳ New Fund</t>
        </is>
      </c>
      <c r="P33" s="95" t="inlineStr">
        <is>
          <t>📈 Momentum Only</t>
        </is>
      </c>
      <c r="Q33" s="96" t="inlineStr">
        <is>
          <t>MOMENTUM_ONLY</t>
        </is>
      </c>
    </row>
    <row r="34" ht="16" customHeight="1">
      <c r="A34" s="28" t="n">
        <v>30</v>
      </c>
      <c r="B34" s="29" t="inlineStr">
        <is>
          <t>Motilal Oswal Asset Allocation FOF- C- Regular Growth</t>
        </is>
      </c>
      <c r="C34" s="29" t="inlineStr">
        <is>
          <t>Motilal Oswal Mutual Fund</t>
        </is>
      </c>
      <c r="D34" s="29" t="inlineStr">
        <is>
          <t>Standard Equity/Debt</t>
        </is>
      </c>
      <c r="E34" s="30" t="n">
        <v>1.77</v>
      </c>
      <c r="F34" s="30" t="n">
        <v>2.92</v>
      </c>
      <c r="G34" s="30" t="n">
        <v>3</v>
      </c>
      <c r="H34" s="30" t="n">
        <v>11.67</v>
      </c>
      <c r="I34" s="30" t="n">
        <v>10.75648965184839</v>
      </c>
      <c r="J34" s="30" t="n">
        <v>47.29</v>
      </c>
      <c r="K34" s="17" t="n">
        <v>68.90000000000001</v>
      </c>
      <c r="L34" s="18" t="n">
        <v>3.2</v>
      </c>
      <c r="M34" s="19" t="n">
        <v>39.3</v>
      </c>
      <c r="N34" s="31" t="inlineStr">
        <is>
          <t>📈 Good</t>
        </is>
      </c>
      <c r="O34" s="31" t="inlineStr">
        <is>
          <t>⚠️ Below Avg</t>
        </is>
      </c>
      <c r="P34" s="31" t="inlineStr">
        <is>
          <t>🔴 Avoid</t>
        </is>
      </c>
      <c r="Q34" s="83" t="inlineStr">
        <is>
          <t>FULL</t>
        </is>
      </c>
    </row>
    <row r="35" ht="16" customHeight="1">
      <c r="A35" s="92" t="n">
        <v>31</v>
      </c>
      <c r="B35" s="93" t="inlineStr">
        <is>
          <t>Mirae Asset Nifty India New Age Consumption ETF Fund of Fund - Regular Plan - Growth</t>
        </is>
      </c>
      <c r="C35" s="93" t="inlineStr">
        <is>
          <t>Mirae Asset Mutual Fund</t>
        </is>
      </c>
      <c r="D35" s="93" t="inlineStr">
        <is>
          <t>Index Fund</t>
        </is>
      </c>
      <c r="E35" s="94" t="n">
        <v>3.59</v>
      </c>
      <c r="F35" s="94" t="n">
        <v>12.58</v>
      </c>
      <c r="G35" s="94" t="n">
        <v>4.71</v>
      </c>
      <c r="H35" s="94" t="n">
        <v>3.85</v>
      </c>
      <c r="I35" s="94" t="n">
        <v>0</v>
      </c>
      <c r="J35" s="94" t="n">
        <v>0</v>
      </c>
      <c r="K35" s="17" t="n">
        <v>70.5</v>
      </c>
      <c r="L35" s="18" t="n">
        <v>0</v>
      </c>
      <c r="M35" s="19" t="n">
        <v>38.8</v>
      </c>
      <c r="N35" s="95" t="inlineStr">
        <is>
          <t>📈 Good</t>
        </is>
      </c>
      <c r="O35" s="95" t="inlineStr">
        <is>
          <t>⏳ New Fund</t>
        </is>
      </c>
      <c r="P35" s="95" t="inlineStr">
        <is>
          <t>📈 Momentum Only</t>
        </is>
      </c>
      <c r="Q35" s="96" t="inlineStr">
        <is>
          <t>MOMENTUM_ONLY</t>
        </is>
      </c>
    </row>
    <row r="36" ht="16" customHeight="1">
      <c r="A36" s="28" t="n">
        <v>32</v>
      </c>
      <c r="B36" s="29" t="inlineStr">
        <is>
          <t>Aditya Birla Sun Life Multi-Asset Passive FOF-Regular Growth</t>
        </is>
      </c>
      <c r="C36" s="29" t="inlineStr">
        <is>
          <t>Aditya Birla Sun Life Mutual Fund</t>
        </is>
      </c>
      <c r="D36" s="29" t="inlineStr">
        <is>
          <t>Standard Equity/Debt</t>
        </is>
      </c>
      <c r="E36" s="30" t="n">
        <v>2.83</v>
      </c>
      <c r="F36" s="30" t="n">
        <v>5.18</v>
      </c>
      <c r="G36" s="30" t="n">
        <v>2.14</v>
      </c>
      <c r="H36" s="30" t="n">
        <v>15.25</v>
      </c>
      <c r="I36" s="30" t="n">
        <v>8.558739860040742</v>
      </c>
      <c r="J36" s="30" t="n">
        <v>62.2</v>
      </c>
      <c r="K36" s="17" t="n">
        <v>69.5</v>
      </c>
      <c r="L36" s="18" t="n">
        <v>0</v>
      </c>
      <c r="M36" s="19" t="n">
        <v>38.2</v>
      </c>
      <c r="N36" s="31" t="inlineStr">
        <is>
          <t>📈 Good</t>
        </is>
      </c>
      <c r="O36" s="31" t="inlineStr">
        <is>
          <t>🔴 Not Qualified</t>
        </is>
      </c>
      <c r="P36" s="31" t="inlineStr">
        <is>
          <t>🔴 Avoid</t>
        </is>
      </c>
      <c r="Q36" s="83" t="inlineStr">
        <is>
          <t>FULL</t>
        </is>
      </c>
    </row>
    <row r="37" ht="16" customHeight="1">
      <c r="A37" s="92" t="n">
        <v>33</v>
      </c>
      <c r="B37" s="93" t="inlineStr">
        <is>
          <t>Mirae Asset BSE 200 Equal Weight ETF Fund of Fund - Regular Plan - Growth</t>
        </is>
      </c>
      <c r="C37" s="93" t="inlineStr">
        <is>
          <t>Mirae Asset Mutual Fund</t>
        </is>
      </c>
      <c r="D37" s="93" t="inlineStr">
        <is>
          <t>Index Fund</t>
        </is>
      </c>
      <c r="E37" s="94" t="n">
        <v>1.68</v>
      </c>
      <c r="F37" s="94" t="n">
        <v>4.85</v>
      </c>
      <c r="G37" s="94" t="n">
        <v>2.91</v>
      </c>
      <c r="H37" s="94" t="n">
        <v>8.83</v>
      </c>
      <c r="I37" s="94" t="n">
        <v>0</v>
      </c>
      <c r="J37" s="94" t="n">
        <v>0</v>
      </c>
      <c r="K37" s="17" t="n">
        <v>68.40000000000001</v>
      </c>
      <c r="L37" s="18" t="n">
        <v>0</v>
      </c>
      <c r="M37" s="19" t="n">
        <v>37.6</v>
      </c>
      <c r="N37" s="95" t="inlineStr">
        <is>
          <t>📈 Good</t>
        </is>
      </c>
      <c r="O37" s="95" t="inlineStr">
        <is>
          <t>⏳ New Fund</t>
        </is>
      </c>
      <c r="P37" s="95" t="inlineStr">
        <is>
          <t>📈 Momentum Only</t>
        </is>
      </c>
      <c r="Q37" s="96" t="inlineStr">
        <is>
          <t>MOMENTUM_ONLY</t>
        </is>
      </c>
    </row>
    <row r="38" ht="16" customHeight="1">
      <c r="A38" s="92" t="n">
        <v>34</v>
      </c>
      <c r="B38" s="93" t="inlineStr">
        <is>
          <t>Mirae Asset BSE Select IPO ETF Fund of Fund - Regular Plan - Growth</t>
        </is>
      </c>
      <c r="C38" s="93" t="inlineStr">
        <is>
          <t>Mirae Asset Mutual Fund</t>
        </is>
      </c>
      <c r="D38" s="93" t="inlineStr">
        <is>
          <t>Index Fund</t>
        </is>
      </c>
      <c r="E38" s="94" t="n">
        <v>3.81</v>
      </c>
      <c r="F38" s="94" t="n">
        <v>13.15</v>
      </c>
      <c r="G38" s="94" t="n">
        <v>9.699999999999999</v>
      </c>
      <c r="H38" s="97" t="n">
        <v>-1</v>
      </c>
      <c r="I38" s="94" t="n">
        <v>0</v>
      </c>
      <c r="J38" s="94" t="n">
        <v>0</v>
      </c>
      <c r="K38" s="17" t="n">
        <v>67.5</v>
      </c>
      <c r="L38" s="18" t="n">
        <v>0</v>
      </c>
      <c r="M38" s="19" t="n">
        <v>37.2</v>
      </c>
      <c r="N38" s="95" t="inlineStr">
        <is>
          <t>📈 Good</t>
        </is>
      </c>
      <c r="O38" s="95" t="inlineStr">
        <is>
          <t>⏳ New Fund</t>
        </is>
      </c>
      <c r="P38" s="95" t="inlineStr">
        <is>
          <t>📈 Momentum Only</t>
        </is>
      </c>
      <c r="Q38" s="96" t="inlineStr">
        <is>
          <t>MOMENTUM_ONLY</t>
        </is>
      </c>
    </row>
    <row r="39" ht="16" customHeight="1">
      <c r="A39" s="92" t="n">
        <v>35</v>
      </c>
      <c r="B39" s="93" t="inlineStr">
        <is>
          <t>Union Diversified Equity All Cap Active FOF - Regular Plan - Growth Option</t>
        </is>
      </c>
      <c r="C39" s="93" t="inlineStr">
        <is>
          <t>Union Mutual Fund</t>
        </is>
      </c>
      <c r="D39" s="93" t="inlineStr">
        <is>
          <t>Standard Equity/Debt</t>
        </is>
      </c>
      <c r="E39" s="94" t="n">
        <v>3.8</v>
      </c>
      <c r="F39" s="94" t="n">
        <v>10.14</v>
      </c>
      <c r="G39" s="94" t="n">
        <v>9.43</v>
      </c>
      <c r="H39" s="94" t="n">
        <v>0</v>
      </c>
      <c r="I39" s="94" t="n">
        <v>0</v>
      </c>
      <c r="J39" s="94" t="n">
        <v>0</v>
      </c>
      <c r="K39" s="17" t="n">
        <v>66.90000000000001</v>
      </c>
      <c r="L39" s="18" t="n">
        <v>0</v>
      </c>
      <c r="M39" s="19" t="n">
        <v>36.8</v>
      </c>
      <c r="N39" s="95" t="inlineStr">
        <is>
          <t>📈 Good</t>
        </is>
      </c>
      <c r="O39" s="95" t="inlineStr">
        <is>
          <t>⏳ New Fund</t>
        </is>
      </c>
      <c r="P39" s="95" t="inlineStr">
        <is>
          <t>📈 Momentum Only</t>
        </is>
      </c>
      <c r="Q39" s="96" t="inlineStr">
        <is>
          <t>MOMENTUM_ONLY</t>
        </is>
      </c>
    </row>
    <row r="40" ht="16" customHeight="1">
      <c r="A40" s="28" t="n">
        <v>36</v>
      </c>
      <c r="B40" s="29" t="inlineStr">
        <is>
          <t>Aditya Birla Sun Life Dynamic Asset Allocation Omni FOF- Regular Plan - Growth Option</t>
        </is>
      </c>
      <c r="C40" s="29" t="inlineStr">
        <is>
          <t>Aditya Birla Sun Life Mutual Fund</t>
        </is>
      </c>
      <c r="D40" s="29" t="inlineStr">
        <is>
          <t>Standard Equity/Debt</t>
        </is>
      </c>
      <c r="E40" s="30" t="n">
        <v>1.5</v>
      </c>
      <c r="F40" s="30" t="n">
        <v>5.89</v>
      </c>
      <c r="G40" s="30" t="n">
        <v>2.76</v>
      </c>
      <c r="H40" s="30" t="n">
        <v>7.27</v>
      </c>
      <c r="I40" s="30" t="n">
        <v>5.20931517693668</v>
      </c>
      <c r="J40" s="30" t="n">
        <v>47.72</v>
      </c>
      <c r="K40" s="17" t="n">
        <v>65.40000000000001</v>
      </c>
      <c r="L40" s="18" t="n">
        <v>0</v>
      </c>
      <c r="M40" s="19" t="n">
        <v>36</v>
      </c>
      <c r="N40" s="31" t="inlineStr">
        <is>
          <t>📈 Good</t>
        </is>
      </c>
      <c r="O40" s="31" t="inlineStr">
        <is>
          <t>🔴 Not Qualified</t>
        </is>
      </c>
      <c r="P40" s="31" t="inlineStr">
        <is>
          <t>🔴 Avoid</t>
        </is>
      </c>
      <c r="Q40" s="83" t="inlineStr">
        <is>
          <t>FULL</t>
        </is>
      </c>
    </row>
    <row r="41" ht="16" customHeight="1">
      <c r="A41" s="92" t="n">
        <v>37</v>
      </c>
      <c r="B41" s="93" t="inlineStr">
        <is>
          <t>Tata Gold ETF Fund of Fund Regular Plan Growth Option</t>
        </is>
      </c>
      <c r="C41" s="93" t="inlineStr">
        <is>
          <t>Tata Mutual Fund</t>
        </is>
      </c>
      <c r="D41" s="93" t="inlineStr">
        <is>
          <t>Gold</t>
        </is>
      </c>
      <c r="E41" s="94" t="n">
        <v>9.02</v>
      </c>
      <c r="F41" s="97" t="n">
        <v>-3.23</v>
      </c>
      <c r="G41" s="94" t="n">
        <v>1.38</v>
      </c>
      <c r="H41" s="94" t="n">
        <v>49.79</v>
      </c>
      <c r="I41" s="94" t="n">
        <v>44.28444129565739</v>
      </c>
      <c r="J41" s="94" t="n">
        <v>0</v>
      </c>
      <c r="K41" s="17" t="n">
        <v>62.5</v>
      </c>
      <c r="L41" s="18" t="n">
        <v>0</v>
      </c>
      <c r="M41" s="19" t="n">
        <v>34.4</v>
      </c>
      <c r="N41" s="95" t="inlineStr">
        <is>
          <t>📈 Good</t>
        </is>
      </c>
      <c r="O41" s="95" t="inlineStr">
        <is>
          <t>⏳ New Fund</t>
        </is>
      </c>
      <c r="P41" s="95" t="inlineStr">
        <is>
          <t>📈 Momentum Only</t>
        </is>
      </c>
      <c r="Q41" s="96" t="inlineStr">
        <is>
          <t>MOMENTUM_ONLY</t>
        </is>
      </c>
    </row>
    <row r="42" ht="16" customHeight="1">
      <c r="A42" s="28" t="n">
        <v>38</v>
      </c>
      <c r="B42" s="29" t="inlineStr">
        <is>
          <t>ICICI Prudential Diversified Debt Strategy Active FOF - Growth</t>
        </is>
      </c>
      <c r="C42" s="29" t="inlineStr">
        <is>
          <t>ICICI Prudential Mutual Fund</t>
        </is>
      </c>
      <c r="D42" s="29" t="inlineStr">
        <is>
          <t>Standard Equity/Debt</t>
        </is>
      </c>
      <c r="E42" s="30" t="n">
        <v>0.66</v>
      </c>
      <c r="F42" s="30" t="n">
        <v>3.24</v>
      </c>
      <c r="G42" s="30" t="n">
        <v>3.39</v>
      </c>
      <c r="H42" s="30" t="n">
        <v>6.08</v>
      </c>
      <c r="I42" s="30" t="n">
        <v>7.158760724450342</v>
      </c>
      <c r="J42" s="30" t="n">
        <v>23.99</v>
      </c>
      <c r="K42" s="17" t="n">
        <v>62.5</v>
      </c>
      <c r="L42" s="18" t="n">
        <v>0</v>
      </c>
      <c r="M42" s="19" t="n">
        <v>34.4</v>
      </c>
      <c r="N42" s="31" t="inlineStr">
        <is>
          <t>📈 Good</t>
        </is>
      </c>
      <c r="O42" s="31" t="inlineStr">
        <is>
          <t>🔴 Not Qualified</t>
        </is>
      </c>
      <c r="P42" s="31" t="inlineStr">
        <is>
          <t>🔴 Avoid</t>
        </is>
      </c>
      <c r="Q42" s="83" t="inlineStr">
        <is>
          <t>FULL</t>
        </is>
      </c>
    </row>
    <row r="43" ht="16" customHeight="1">
      <c r="A43" s="92" t="n">
        <v>39</v>
      </c>
      <c r="B43" s="93" t="inlineStr">
        <is>
          <t>DSP Gold ETF Fund of Fund - Regular - Growth</t>
        </is>
      </c>
      <c r="C43" s="93" t="inlineStr">
        <is>
          <t>DSP Mutual Fund</t>
        </is>
      </c>
      <c r="D43" s="93" t="inlineStr">
        <is>
          <t>Gold</t>
        </is>
      </c>
      <c r="E43" s="94" t="n">
        <v>9.08</v>
      </c>
      <c r="F43" s="97" t="n">
        <v>-3.34</v>
      </c>
      <c r="G43" s="94" t="n">
        <v>1.33</v>
      </c>
      <c r="H43" s="94" t="n">
        <v>51.4</v>
      </c>
      <c r="I43" s="94" t="n">
        <v>44.93446795017395</v>
      </c>
      <c r="J43" s="94" t="n">
        <v>0</v>
      </c>
      <c r="K43" s="17" t="n">
        <v>62.4</v>
      </c>
      <c r="L43" s="18" t="n">
        <v>0</v>
      </c>
      <c r="M43" s="19" t="n">
        <v>34.3</v>
      </c>
      <c r="N43" s="95" t="inlineStr">
        <is>
          <t>📈 Good</t>
        </is>
      </c>
      <c r="O43" s="95" t="inlineStr">
        <is>
          <t>⏳ New Fund</t>
        </is>
      </c>
      <c r="P43" s="95" t="inlineStr">
        <is>
          <t>📈 Momentum Only</t>
        </is>
      </c>
      <c r="Q43" s="96" t="inlineStr">
        <is>
          <t>MOMENTUM_ONLY</t>
        </is>
      </c>
    </row>
    <row r="44" ht="16" customHeight="1">
      <c r="A44" s="92" t="n">
        <v>39</v>
      </c>
      <c r="B44" s="93" t="inlineStr">
        <is>
          <t>Mirae Asset Gold ETF Fund of Fund - Regular Plan - Growth</t>
        </is>
      </c>
      <c r="C44" s="93" t="inlineStr">
        <is>
          <t>Mirae Asset Mutual Fund</t>
        </is>
      </c>
      <c r="D44" s="93" t="inlineStr">
        <is>
          <t>Gold</t>
        </is>
      </c>
      <c r="E44" s="94" t="n">
        <v>9.039999999999999</v>
      </c>
      <c r="F44" s="97" t="n">
        <v>-3.19</v>
      </c>
      <c r="G44" s="94" t="n">
        <v>1.28</v>
      </c>
      <c r="H44" s="94" t="n">
        <v>50.78</v>
      </c>
      <c r="I44" s="94" t="n">
        <v>0</v>
      </c>
      <c r="J44" s="94" t="n">
        <v>0</v>
      </c>
      <c r="K44" s="17" t="n">
        <v>62.4</v>
      </c>
      <c r="L44" s="18" t="n">
        <v>0</v>
      </c>
      <c r="M44" s="19" t="n">
        <v>34.3</v>
      </c>
      <c r="N44" s="95" t="inlineStr">
        <is>
          <t>📈 Good</t>
        </is>
      </c>
      <c r="O44" s="95" t="inlineStr">
        <is>
          <t>⏳ New Fund</t>
        </is>
      </c>
      <c r="P44" s="95" t="inlineStr">
        <is>
          <t>📈 Momentum Only</t>
        </is>
      </c>
      <c r="Q44" s="96" t="inlineStr">
        <is>
          <t>MOMENTUM_ONLY</t>
        </is>
      </c>
    </row>
    <row r="45" ht="16" customHeight="1">
      <c r="A45" s="13" t="n">
        <v>41</v>
      </c>
      <c r="B45" s="14" t="inlineStr">
        <is>
          <t>Motilal Oswal 5 Year G-Sec Fund Of Fund Regular -Growth</t>
        </is>
      </c>
      <c r="C45" s="14" t="inlineStr">
        <is>
          <t>Motilal Oswal Mutual Fund</t>
        </is>
      </c>
      <c r="D45" s="14" t="inlineStr">
        <is>
          <t>G-SEC</t>
        </is>
      </c>
      <c r="E45" s="15" t="n">
        <v>0.95</v>
      </c>
      <c r="F45" s="15" t="n">
        <v>3.46</v>
      </c>
      <c r="G45" s="15" t="n">
        <v>3.48</v>
      </c>
      <c r="H45" s="15" t="n">
        <v>5.57</v>
      </c>
      <c r="I45" s="15" t="n">
        <v>7.331262919989912</v>
      </c>
      <c r="J45" s="15" t="n">
        <v>24.66</v>
      </c>
      <c r="K45" s="17" t="n">
        <v>62.2</v>
      </c>
      <c r="L45" s="18" t="n">
        <v>0</v>
      </c>
      <c r="M45" s="19" t="n">
        <v>34.2</v>
      </c>
      <c r="N45" s="20" t="inlineStr">
        <is>
          <t>📈 Good</t>
        </is>
      </c>
      <c r="O45" s="20" t="inlineStr">
        <is>
          <t>🔴 Not Qualified</t>
        </is>
      </c>
      <c r="P45" s="20" t="inlineStr">
        <is>
          <t>🔴 Avoid</t>
        </is>
      </c>
      <c r="Q45" s="83" t="inlineStr">
        <is>
          <t>FULL</t>
        </is>
      </c>
    </row>
    <row r="46" ht="16" customHeight="1">
      <c r="A46" s="28" t="n">
        <v>42</v>
      </c>
      <c r="B46" s="29" t="inlineStr">
        <is>
          <t>Kotak Multi Asset Omni FOF - Growth- Regular</t>
        </is>
      </c>
      <c r="C46" s="29" t="inlineStr">
        <is>
          <t>Kotak Mahindra Mutual Fund</t>
        </is>
      </c>
      <c r="D46" s="29" t="inlineStr">
        <is>
          <t>Standard Equity/Debt</t>
        </is>
      </c>
      <c r="E46" s="30" t="n">
        <v>3.63</v>
      </c>
      <c r="F46" s="30" t="n">
        <v>4.58</v>
      </c>
      <c r="G46" s="30" t="n">
        <v>0.98</v>
      </c>
      <c r="H46" s="30" t="n">
        <v>13.21</v>
      </c>
      <c r="I46" s="30" t="n">
        <v>9.868102741423556</v>
      </c>
      <c r="J46" s="30" t="n">
        <v>57.02</v>
      </c>
      <c r="K46" s="17" t="n">
        <v>61.3</v>
      </c>
      <c r="L46" s="18" t="n">
        <v>0</v>
      </c>
      <c r="M46" s="19" t="n">
        <v>33.7</v>
      </c>
      <c r="N46" s="31" t="inlineStr">
        <is>
          <t>📈 Good</t>
        </is>
      </c>
      <c r="O46" s="31" t="inlineStr">
        <is>
          <t>🔴 Not Qualified</t>
        </is>
      </c>
      <c r="P46" s="31" t="inlineStr">
        <is>
          <t>🔴 Avoid</t>
        </is>
      </c>
      <c r="Q46" s="83" t="inlineStr">
        <is>
          <t>FULL</t>
        </is>
      </c>
    </row>
    <row r="47" ht="16" customHeight="1">
      <c r="A47" s="13" t="n">
        <v>42</v>
      </c>
      <c r="B47" s="14" t="inlineStr">
        <is>
          <t>Kotak Multi Asset Omni FOF - Payout of Income Distribution cum capital withdrawal option</t>
        </is>
      </c>
      <c r="C47" s="14" t="inlineStr">
        <is>
          <t>Kotak Mahindra Mutual Fund</t>
        </is>
      </c>
      <c r="D47" s="14" t="inlineStr">
        <is>
          <t>Standard Equity/Debt</t>
        </is>
      </c>
      <c r="E47" s="15" t="n">
        <v>3.63</v>
      </c>
      <c r="F47" s="15" t="n">
        <v>4.58</v>
      </c>
      <c r="G47" s="15" t="n">
        <v>0.98</v>
      </c>
      <c r="H47" s="15" t="n">
        <v>13.21</v>
      </c>
      <c r="I47" s="15" t="n">
        <v>9.868102741423556</v>
      </c>
      <c r="J47" s="15" t="n">
        <v>57.02</v>
      </c>
      <c r="K47" s="17" t="n">
        <v>61.3</v>
      </c>
      <c r="L47" s="18" t="n">
        <v>0</v>
      </c>
      <c r="M47" s="19" t="n">
        <v>33.7</v>
      </c>
      <c r="N47" s="20" t="inlineStr">
        <is>
          <t>📈 Good</t>
        </is>
      </c>
      <c r="O47" s="20" t="inlineStr">
        <is>
          <t>🔴 Not Qualified</t>
        </is>
      </c>
      <c r="P47" s="20" t="inlineStr">
        <is>
          <t>🔴 Avoid</t>
        </is>
      </c>
      <c r="Q47" s="83" t="inlineStr">
        <is>
          <t>FULL</t>
        </is>
      </c>
    </row>
    <row r="48" ht="16" customHeight="1">
      <c r="A48" s="28" t="n">
        <v>44</v>
      </c>
      <c r="B48" s="29" t="inlineStr">
        <is>
          <t>ICICI Prudential Passive Multi-Asset Fund of Funds - Growth</t>
        </is>
      </c>
      <c r="C48" s="29" t="inlineStr">
        <is>
          <t>ICICI Prudential Mutual Fund</t>
        </is>
      </c>
      <c r="D48" s="29" t="inlineStr">
        <is>
          <t>Standard Equity/Debt</t>
        </is>
      </c>
      <c r="E48" s="30" t="n">
        <v>1.32</v>
      </c>
      <c r="F48" s="30" t="n">
        <v>3.42</v>
      </c>
      <c r="G48" s="30" t="n">
        <v>1.5</v>
      </c>
      <c r="H48" s="30" t="n">
        <v>11.61</v>
      </c>
      <c r="I48" s="30" t="n">
        <v>11.3013926238122</v>
      </c>
      <c r="J48" s="30" t="n">
        <v>47.99</v>
      </c>
      <c r="K48" s="17" t="n">
        <v>55.8</v>
      </c>
      <c r="L48" s="18" t="n">
        <v>6.4</v>
      </c>
      <c r="M48" s="19" t="n">
        <v>33.6</v>
      </c>
      <c r="N48" s="31" t="inlineStr">
        <is>
          <t>➡️ Neutral</t>
        </is>
      </c>
      <c r="O48" s="31" t="inlineStr">
        <is>
          <t>⚠️ Below Avg</t>
        </is>
      </c>
      <c r="P48" s="31" t="inlineStr">
        <is>
          <t>🔴 Avoid</t>
        </is>
      </c>
      <c r="Q48" s="83" t="inlineStr">
        <is>
          <t>FULL</t>
        </is>
      </c>
    </row>
    <row r="49" ht="16" customHeight="1">
      <c r="A49" s="13" t="n">
        <v>45</v>
      </c>
      <c r="B49" s="14" t="inlineStr">
        <is>
          <t>ICICI Prudential Income Plus Arbitrage Omni FOF - Growth</t>
        </is>
      </c>
      <c r="C49" s="14" t="inlineStr">
        <is>
          <t>ICICI Prudential Mutual Fund</t>
        </is>
      </c>
      <c r="D49" s="14" t="inlineStr">
        <is>
          <t>Standard Equity/Debt</t>
        </is>
      </c>
      <c r="E49" s="15" t="n">
        <v>0.54</v>
      </c>
      <c r="F49" s="15" t="n">
        <v>2.45</v>
      </c>
      <c r="G49" s="15" t="n">
        <v>3.45</v>
      </c>
      <c r="H49" s="15" t="n">
        <v>6.44</v>
      </c>
      <c r="I49" s="15" t="n">
        <v>6.658333007787065</v>
      </c>
      <c r="J49" s="15" t="n">
        <v>30.9</v>
      </c>
      <c r="K49" s="17" t="n">
        <v>61.1</v>
      </c>
      <c r="L49" s="18" t="n">
        <v>0</v>
      </c>
      <c r="M49" s="19" t="n">
        <v>33.6</v>
      </c>
      <c r="N49" s="20" t="inlineStr">
        <is>
          <t>📈 Good</t>
        </is>
      </c>
      <c r="O49" s="20" t="inlineStr">
        <is>
          <t>🔴 Not Qualified</t>
        </is>
      </c>
      <c r="P49" s="20" t="inlineStr">
        <is>
          <t>🔴 Avoid</t>
        </is>
      </c>
      <c r="Q49" s="83" t="inlineStr">
        <is>
          <t>FULL</t>
        </is>
      </c>
    </row>
    <row r="50" ht="16" customHeight="1">
      <c r="A50" s="92" t="n">
        <v>46</v>
      </c>
      <c r="B50" s="93" t="inlineStr">
        <is>
          <t>Motilal Oswal Diversified Equity Flexicap Passive Fund of funds- Regular Growth</t>
        </is>
      </c>
      <c r="C50" s="93" t="inlineStr">
        <is>
          <t>Motilal Oswal Mutual Fund</t>
        </is>
      </c>
      <c r="D50" s="93" t="inlineStr">
        <is>
          <t>Standard Equity/Debt</t>
        </is>
      </c>
      <c r="E50" s="94" t="n">
        <v>1.38</v>
      </c>
      <c r="F50" s="94" t="n">
        <v>4.72</v>
      </c>
      <c r="G50" s="94" t="n">
        <v>4.83</v>
      </c>
      <c r="H50" s="94" t="n">
        <v>0</v>
      </c>
      <c r="I50" s="94" t="n">
        <v>0</v>
      </c>
      <c r="J50" s="94" t="n">
        <v>0</v>
      </c>
      <c r="K50" s="17" t="n">
        <v>59.4</v>
      </c>
      <c r="L50" s="18" t="n">
        <v>0</v>
      </c>
      <c r="M50" s="19" t="n">
        <v>32.7</v>
      </c>
      <c r="N50" s="95" t="inlineStr">
        <is>
          <t>➡️ Neutral</t>
        </is>
      </c>
      <c r="O50" s="95" t="inlineStr">
        <is>
          <t>⏳ New Fund</t>
        </is>
      </c>
      <c r="P50" s="95" t="inlineStr">
        <is>
          <t>⏳ New Fund</t>
        </is>
      </c>
      <c r="Q50" s="96" t="inlineStr">
        <is>
          <t>MOMENTUM_ONLY</t>
        </is>
      </c>
    </row>
    <row r="51" ht="16" customHeight="1">
      <c r="A51" s="13" t="n">
        <v>47</v>
      </c>
      <c r="B51" s="14" t="inlineStr">
        <is>
          <t>Aditya Birla Sun Life Aggressive Hybrid Omni FOF- Regular Plan - Growth Option</t>
        </is>
      </c>
      <c r="C51" s="14" t="inlineStr">
        <is>
          <t>Aditya Birla Sun Life Mutual Fund</t>
        </is>
      </c>
      <c r="D51" s="14" t="inlineStr">
        <is>
          <t>Standard Equity/Debt</t>
        </is>
      </c>
      <c r="E51" s="15" t="n">
        <v>1.45</v>
      </c>
      <c r="F51" s="15" t="n">
        <v>5.6</v>
      </c>
      <c r="G51" s="15" t="n">
        <v>1.78</v>
      </c>
      <c r="H51" s="15" t="n">
        <v>5.8</v>
      </c>
      <c r="I51" s="15" t="n">
        <v>5.275828184821241</v>
      </c>
      <c r="J51" s="15" t="n">
        <v>40.05</v>
      </c>
      <c r="K51" s="17" t="n">
        <v>59</v>
      </c>
      <c r="L51" s="18" t="n">
        <v>0</v>
      </c>
      <c r="M51" s="19" t="n">
        <v>32.4</v>
      </c>
      <c r="N51" s="20" t="inlineStr">
        <is>
          <t>➡️ Neutral</t>
        </is>
      </c>
      <c r="O51" s="20" t="inlineStr">
        <is>
          <t>🔴 Not Qualified</t>
        </is>
      </c>
      <c r="P51" s="20" t="inlineStr">
        <is>
          <t>🔴 Avoid</t>
        </is>
      </c>
      <c r="Q51" s="83" t="inlineStr">
        <is>
          <t>FULL</t>
        </is>
      </c>
    </row>
    <row r="52" ht="16" customHeight="1">
      <c r="A52" s="92" t="n">
        <v>48</v>
      </c>
      <c r="B52" s="93" t="inlineStr">
        <is>
          <t>Baroda BNP Paribas Income Plus Arbitrage Active FOF Regular Growth</t>
        </is>
      </c>
      <c r="C52" s="93" t="inlineStr">
        <is>
          <t>Baroda BNP Paribas Mutual Fund</t>
        </is>
      </c>
      <c r="D52" s="93" t="inlineStr">
        <is>
          <t>Standard Equity/Debt</t>
        </is>
      </c>
      <c r="E52" s="94" t="n">
        <v>0.53</v>
      </c>
      <c r="F52" s="94" t="n">
        <v>2.34</v>
      </c>
      <c r="G52" s="94" t="n">
        <v>3.13</v>
      </c>
      <c r="H52" s="94" t="n">
        <v>6.09</v>
      </c>
      <c r="I52" s="94" t="n">
        <v>0</v>
      </c>
      <c r="J52" s="94" t="n">
        <v>0</v>
      </c>
      <c r="K52" s="17" t="n">
        <v>58.7</v>
      </c>
      <c r="L52" s="18" t="n">
        <v>0</v>
      </c>
      <c r="M52" s="19" t="n">
        <v>32.3</v>
      </c>
      <c r="N52" s="95" t="inlineStr">
        <is>
          <t>➡️ Neutral</t>
        </is>
      </c>
      <c r="O52" s="95" t="inlineStr">
        <is>
          <t>⏳ New Fund</t>
        </is>
      </c>
      <c r="P52" s="95" t="inlineStr">
        <is>
          <t>⏳ New Fund</t>
        </is>
      </c>
      <c r="Q52" s="96" t="inlineStr">
        <is>
          <t>MOMENTUM_ONLY</t>
        </is>
      </c>
    </row>
    <row r="53" ht="16" customHeight="1">
      <c r="A53" s="13" t="n">
        <v>49</v>
      </c>
      <c r="B53" s="14" t="inlineStr">
        <is>
          <t>Bandhan Income Plus Arbitrage Active FOF - Regular Plan - Growth</t>
        </is>
      </c>
      <c r="C53" s="14" t="inlineStr">
        <is>
          <t>Bandhan Mutual Fund</t>
        </is>
      </c>
      <c r="D53" s="14" t="inlineStr">
        <is>
          <t>Standard Equity/Debt</t>
        </is>
      </c>
      <c r="E53" s="15" t="n">
        <v>0.51</v>
      </c>
      <c r="F53" s="15" t="n">
        <v>2.26</v>
      </c>
      <c r="G53" s="15" t="n">
        <v>3.23</v>
      </c>
      <c r="H53" s="15" t="n">
        <v>5.94</v>
      </c>
      <c r="I53" s="15" t="n">
        <v>6.925207505059339</v>
      </c>
      <c r="J53" s="15" t="n">
        <v>23</v>
      </c>
      <c r="K53" s="17" t="n">
        <v>57.6</v>
      </c>
      <c r="L53" s="18" t="n">
        <v>0</v>
      </c>
      <c r="M53" s="19" t="n">
        <v>31.7</v>
      </c>
      <c r="N53" s="20" t="inlineStr">
        <is>
          <t>➡️ Neutral</t>
        </is>
      </c>
      <c r="O53" s="20" t="inlineStr">
        <is>
          <t>🔴 Not Qualified</t>
        </is>
      </c>
      <c r="P53" s="20" t="inlineStr">
        <is>
          <t>🔴 Avoid</t>
        </is>
      </c>
      <c r="Q53" s="83" t="inlineStr">
        <is>
          <t>FULL</t>
        </is>
      </c>
    </row>
    <row r="54" ht="16" customHeight="1">
      <c r="A54" s="28" t="n">
        <v>50</v>
      </c>
      <c r="B54" s="29" t="inlineStr">
        <is>
          <t>BHARAT Bond ETF FOF - April 2032 Regular Plan Growth</t>
        </is>
      </c>
      <c r="C54" s="29" t="inlineStr">
        <is>
          <t>Edelweiss Mutual Fund</t>
        </is>
      </c>
      <c r="D54" s="29" t="inlineStr">
        <is>
          <t>Standard Equity/Debt</t>
        </is>
      </c>
      <c r="E54" s="30" t="n">
        <v>0.5</v>
      </c>
      <c r="F54" s="30" t="n">
        <v>3.84</v>
      </c>
      <c r="G54" s="30" t="n">
        <v>3.04</v>
      </c>
      <c r="H54" s="30" t="n">
        <v>5.86</v>
      </c>
      <c r="I54" s="30" t="n">
        <v>7.596468343528828</v>
      </c>
      <c r="J54" s="30" t="n">
        <v>25.94</v>
      </c>
      <c r="K54" s="17" t="n">
        <v>57</v>
      </c>
      <c r="L54" s="18" t="n">
        <v>0</v>
      </c>
      <c r="M54" s="19" t="n">
        <v>31.3</v>
      </c>
      <c r="N54" s="31" t="inlineStr">
        <is>
          <t>➡️ Neutral</t>
        </is>
      </c>
      <c r="O54" s="31" t="inlineStr">
        <is>
          <t>🔴 Not Qualified</t>
        </is>
      </c>
      <c r="P54" s="31" t="inlineStr">
        <is>
          <t>🔴 Avoid</t>
        </is>
      </c>
      <c r="Q54" s="83" t="inlineStr">
        <is>
          <t>FULL</t>
        </is>
      </c>
    </row>
    <row r="55" ht="16" customHeight="1">
      <c r="A55" s="13" t="n">
        <v>51</v>
      </c>
      <c r="B55" s="14" t="inlineStr">
        <is>
          <t>Kotak Income Plus Arbitrage Omni  FOF-Regular Plan-Growth</t>
        </is>
      </c>
      <c r="C55" s="14" t="inlineStr">
        <is>
          <t>Kotak Mahindra Mutual Fund</t>
        </is>
      </c>
      <c r="D55" s="14" t="inlineStr">
        <is>
          <t>Standard Equity/Debt</t>
        </is>
      </c>
      <c r="E55" s="15" t="n">
        <v>0.5</v>
      </c>
      <c r="F55" s="15" t="n">
        <v>2.35</v>
      </c>
      <c r="G55" s="15" t="n">
        <v>2.89</v>
      </c>
      <c r="H55" s="15" t="n">
        <v>5.89</v>
      </c>
      <c r="I55" s="15" t="n">
        <v>6.948585778401006</v>
      </c>
      <c r="J55" s="15" t="n">
        <v>24.48</v>
      </c>
      <c r="K55" s="17" t="n">
        <v>53.9</v>
      </c>
      <c r="L55" s="18" t="n">
        <v>0</v>
      </c>
      <c r="M55" s="19" t="n">
        <v>29.6</v>
      </c>
      <c r="N55" s="20" t="inlineStr">
        <is>
          <t>➡️ Neutral</t>
        </is>
      </c>
      <c r="O55" s="20" t="inlineStr">
        <is>
          <t>🔴 Not Qualified</t>
        </is>
      </c>
      <c r="P55" s="20" t="inlineStr">
        <is>
          <t>🔴 Avoid</t>
        </is>
      </c>
      <c r="Q55" s="83" t="inlineStr">
        <is>
          <t>FULL</t>
        </is>
      </c>
    </row>
    <row r="56" ht="16" customHeight="1">
      <c r="A56" s="28" t="n">
        <v>52</v>
      </c>
      <c r="B56" s="29" t="inlineStr">
        <is>
          <t>Franklin India Income Plus Arbitrage Active Fund of Funds- Growth Plan</t>
        </is>
      </c>
      <c r="C56" s="29" t="inlineStr">
        <is>
          <t>Franklin Templeton Mutual Fund</t>
        </is>
      </c>
      <c r="D56" s="29" t="inlineStr">
        <is>
          <t>Standard Equity/Debt</t>
        </is>
      </c>
      <c r="E56" s="30" t="n">
        <v>0.49</v>
      </c>
      <c r="F56" s="30" t="n">
        <v>1.89</v>
      </c>
      <c r="G56" s="30" t="n">
        <v>2.96</v>
      </c>
      <c r="H56" s="30" t="n">
        <v>6.02</v>
      </c>
      <c r="I56" s="30" t="n">
        <v>9.599270070562049</v>
      </c>
      <c r="J56" s="30" t="n">
        <v>43.39</v>
      </c>
      <c r="K56" s="17" t="n">
        <v>52.9</v>
      </c>
      <c r="L56" s="18" t="n">
        <v>0</v>
      </c>
      <c r="M56" s="19" t="n">
        <v>29.1</v>
      </c>
      <c r="N56" s="31" t="inlineStr">
        <is>
          <t>➡️ Neutral</t>
        </is>
      </c>
      <c r="O56" s="31" t="inlineStr">
        <is>
          <t>🔴 Not Qualified</t>
        </is>
      </c>
      <c r="P56" s="31" t="inlineStr">
        <is>
          <t>🔴 Avoid</t>
        </is>
      </c>
      <c r="Q56" s="83" t="inlineStr">
        <is>
          <t>FULL</t>
        </is>
      </c>
    </row>
    <row r="57" ht="16" customHeight="1">
      <c r="A57" s="92" t="n">
        <v>53</v>
      </c>
      <c r="B57" s="93" t="inlineStr">
        <is>
          <t>Baroda BNP Paribas Multi Asset Active FOF Regular ICDW Payout</t>
        </is>
      </c>
      <c r="C57" s="93" t="inlineStr">
        <is>
          <t>Baroda BNP Paribas Mutual Fund</t>
        </is>
      </c>
      <c r="D57" s="93" t="inlineStr">
        <is>
          <t>Standard Equity/Debt</t>
        </is>
      </c>
      <c r="E57" s="94" t="n">
        <v>2.31</v>
      </c>
      <c r="F57" s="94" t="n">
        <v>1.37</v>
      </c>
      <c r="G57" s="94" t="n">
        <v>1.43</v>
      </c>
      <c r="H57" s="94" t="n">
        <v>13.14</v>
      </c>
      <c r="I57" s="94" t="n">
        <v>0</v>
      </c>
      <c r="J57" s="94" t="n">
        <v>0</v>
      </c>
      <c r="K57" s="17" t="n">
        <v>52.8</v>
      </c>
      <c r="L57" s="18" t="n">
        <v>0</v>
      </c>
      <c r="M57" s="19" t="n">
        <v>29</v>
      </c>
      <c r="N57" s="95" t="inlineStr">
        <is>
          <t>➡️ Neutral</t>
        </is>
      </c>
      <c r="O57" s="95" t="inlineStr">
        <is>
          <t>⏳ New Fund</t>
        </is>
      </c>
      <c r="P57" s="95" t="inlineStr">
        <is>
          <t>⏳ New Fund</t>
        </is>
      </c>
      <c r="Q57" s="96" t="inlineStr">
        <is>
          <t>MOMENTUM_ONLY</t>
        </is>
      </c>
    </row>
    <row r="58" ht="16" customHeight="1">
      <c r="A58" s="92" t="n">
        <v>53</v>
      </c>
      <c r="B58" s="93" t="inlineStr">
        <is>
          <t>Baroda BNP Paribas Multi Asset Active FOF Regular Growth</t>
        </is>
      </c>
      <c r="C58" s="93" t="inlineStr">
        <is>
          <t>Baroda BNP Paribas Mutual Fund</t>
        </is>
      </c>
      <c r="D58" s="93" t="inlineStr">
        <is>
          <t>Standard Equity/Debt</t>
        </is>
      </c>
      <c r="E58" s="94" t="n">
        <v>2.31</v>
      </c>
      <c r="F58" s="94" t="n">
        <v>1.37</v>
      </c>
      <c r="G58" s="94" t="n">
        <v>1.43</v>
      </c>
      <c r="H58" s="94" t="n">
        <v>13.14</v>
      </c>
      <c r="I58" s="94" t="n">
        <v>0</v>
      </c>
      <c r="J58" s="94" t="n">
        <v>0</v>
      </c>
      <c r="K58" s="17" t="n">
        <v>52.8</v>
      </c>
      <c r="L58" s="18" t="n">
        <v>0</v>
      </c>
      <c r="M58" s="19" t="n">
        <v>29</v>
      </c>
      <c r="N58" s="95" t="inlineStr">
        <is>
          <t>➡️ Neutral</t>
        </is>
      </c>
      <c r="O58" s="95" t="inlineStr">
        <is>
          <t>⏳ New Fund</t>
        </is>
      </c>
      <c r="P58" s="95" t="inlineStr">
        <is>
          <t>⏳ New Fund</t>
        </is>
      </c>
      <c r="Q58" s="96" t="inlineStr">
        <is>
          <t>MOMENTUM_ONLY</t>
        </is>
      </c>
    </row>
    <row r="59" ht="16" customHeight="1">
      <c r="A59" s="92" t="n">
        <v>55</v>
      </c>
      <c r="B59" s="93" t="inlineStr">
        <is>
          <t>Nippon India Income Plus Arbitrage Active Fund of Fund -Regular Plan- Growth Option</t>
        </is>
      </c>
      <c r="C59" s="93" t="inlineStr">
        <is>
          <t>Nippon India Mutual Fund</t>
        </is>
      </c>
      <c r="D59" s="93" t="inlineStr">
        <is>
          <t>Standard Equity/Debt</t>
        </is>
      </c>
      <c r="E59" s="94" t="n">
        <v>0.48</v>
      </c>
      <c r="F59" s="94" t="n">
        <v>2.23</v>
      </c>
      <c r="G59" s="94" t="n">
        <v>2.94</v>
      </c>
      <c r="H59" s="94" t="n">
        <v>5.77</v>
      </c>
      <c r="I59" s="94" t="n">
        <v>0</v>
      </c>
      <c r="J59" s="94" t="n">
        <v>0</v>
      </c>
      <c r="K59" s="17" t="n">
        <v>52.5</v>
      </c>
      <c r="L59" s="18" t="n">
        <v>0</v>
      </c>
      <c r="M59" s="19" t="n">
        <v>28.9</v>
      </c>
      <c r="N59" s="95" t="inlineStr">
        <is>
          <t>➡️ Neutral</t>
        </is>
      </c>
      <c r="O59" s="95" t="inlineStr">
        <is>
          <t>⏳ New Fund</t>
        </is>
      </c>
      <c r="P59" s="95" t="inlineStr">
        <is>
          <t>⏳ New Fund</t>
        </is>
      </c>
      <c r="Q59" s="96" t="inlineStr">
        <is>
          <t>MOMENTUM_ONLY</t>
        </is>
      </c>
    </row>
    <row r="60" ht="16" customHeight="1">
      <c r="A60" s="92" t="n">
        <v>56</v>
      </c>
      <c r="B60" s="93" t="inlineStr">
        <is>
          <t>Union Gold ETF Fund of Fund - Regular Plan - Growth Option</t>
        </is>
      </c>
      <c r="C60" s="93" t="inlineStr">
        <is>
          <t>Union Mutual Fund</t>
        </is>
      </c>
      <c r="D60" s="93" t="inlineStr">
        <is>
          <t>Gold</t>
        </is>
      </c>
      <c r="E60" s="94" t="n">
        <v>8.48</v>
      </c>
      <c r="F60" s="97" t="n">
        <v>-3.33</v>
      </c>
      <c r="G60" s="94" t="n">
        <v>0.11</v>
      </c>
      <c r="H60" s="94" t="n">
        <v>49.98</v>
      </c>
      <c r="I60" s="94" t="n">
        <v>0</v>
      </c>
      <c r="J60" s="94" t="n">
        <v>0</v>
      </c>
      <c r="K60" s="17" t="n">
        <v>52.3</v>
      </c>
      <c r="L60" s="18" t="n">
        <v>0</v>
      </c>
      <c r="M60" s="19" t="n">
        <v>28.8</v>
      </c>
      <c r="N60" s="95" t="inlineStr">
        <is>
          <t>➡️ Neutral</t>
        </is>
      </c>
      <c r="O60" s="95" t="inlineStr">
        <is>
          <t>⏳ New Fund</t>
        </is>
      </c>
      <c r="P60" s="95" t="inlineStr">
        <is>
          <t>⏳ New Fund</t>
        </is>
      </c>
      <c r="Q60" s="96" t="inlineStr">
        <is>
          <t>MOMENTUM_ONLY</t>
        </is>
      </c>
    </row>
    <row r="61" ht="16" customHeight="1">
      <c r="A61" s="13" t="n">
        <v>57</v>
      </c>
      <c r="B61" s="14" t="inlineStr">
        <is>
          <t>Motilal Oswal Multi Asset Passive Fund of Fund - Regular Growth</t>
        </is>
      </c>
      <c r="C61" s="14" t="inlineStr">
        <is>
          <t>Motilal Oswal Mutual Fund</t>
        </is>
      </c>
      <c r="D61" s="14" t="inlineStr">
        <is>
          <t>Standard Equity/Debt</t>
        </is>
      </c>
      <c r="E61" s="15" t="n">
        <v>2.33</v>
      </c>
      <c r="F61" s="15" t="n">
        <v>1.83</v>
      </c>
      <c r="G61" s="15" t="n">
        <v>1.52</v>
      </c>
      <c r="H61" s="15" t="n">
        <v>11.27</v>
      </c>
      <c r="I61" s="15" t="n">
        <v>10.11357772772621</v>
      </c>
      <c r="J61" s="15" t="n">
        <v>55.22</v>
      </c>
      <c r="K61" s="37" t="n">
        <v>49.2</v>
      </c>
      <c r="L61" s="18" t="n">
        <v>3.6</v>
      </c>
      <c r="M61" s="19" t="n">
        <v>28.7</v>
      </c>
      <c r="N61" s="20" t="inlineStr">
        <is>
          <t>➡️ Neutral</t>
        </is>
      </c>
      <c r="O61" s="20" t="inlineStr">
        <is>
          <t>⚠️ Below Avg</t>
        </is>
      </c>
      <c r="P61" s="20" t="inlineStr">
        <is>
          <t>🔴 Avoid</t>
        </is>
      </c>
      <c r="Q61" s="83" t="inlineStr">
        <is>
          <t>FULL</t>
        </is>
      </c>
    </row>
    <row r="62" ht="16" customHeight="1">
      <c r="A62" s="28" t="n">
        <v>58</v>
      </c>
      <c r="B62" s="29" t="inlineStr">
        <is>
          <t>HDFC Multi-Asset Active FOF - Growth Option</t>
        </is>
      </c>
      <c r="C62" s="29" t="inlineStr">
        <is>
          <t>HDFC Mutual Fund</t>
        </is>
      </c>
      <c r="D62" s="29" t="inlineStr">
        <is>
          <t>Standard Equity/Debt</t>
        </is>
      </c>
      <c r="E62" s="30" t="n">
        <v>1.57</v>
      </c>
      <c r="F62" s="30" t="n">
        <v>4.08</v>
      </c>
      <c r="G62" s="30" t="n">
        <v>0.8</v>
      </c>
      <c r="H62" s="30" t="n">
        <v>8.699999999999999</v>
      </c>
      <c r="I62" s="30" t="n">
        <v>8.678424721745026</v>
      </c>
      <c r="J62" s="30" t="n">
        <v>46.59</v>
      </c>
      <c r="K62" s="17" t="n">
        <v>51.8</v>
      </c>
      <c r="L62" s="18" t="n">
        <v>0</v>
      </c>
      <c r="M62" s="19" t="n">
        <v>28.5</v>
      </c>
      <c r="N62" s="31" t="inlineStr">
        <is>
          <t>➡️ Neutral</t>
        </is>
      </c>
      <c r="O62" s="31" t="inlineStr">
        <is>
          <t>🔴 Not Qualified</t>
        </is>
      </c>
      <c r="P62" s="31" t="inlineStr">
        <is>
          <t>🔴 Avoid</t>
        </is>
      </c>
      <c r="Q62" s="83" t="inlineStr">
        <is>
          <t>FULL</t>
        </is>
      </c>
    </row>
    <row r="63" ht="16" customHeight="1">
      <c r="A63" s="92" t="n">
        <v>59</v>
      </c>
      <c r="B63" s="93" t="inlineStr">
        <is>
          <t>SBI Silver ETF Fund of Fund- Regular Plan - Growth</t>
        </is>
      </c>
      <c r="C63" s="93" t="inlineStr">
        <is>
          <t>SBI Mutual Fund</t>
        </is>
      </c>
      <c r="D63" s="93" t="inlineStr">
        <is>
          <t>Silver</t>
        </is>
      </c>
      <c r="E63" s="94" t="n">
        <v>8.17</v>
      </c>
      <c r="F63" s="97" t="n">
        <v>-12.54</v>
      </c>
      <c r="G63" s="97" t="n">
        <v>-0.96</v>
      </c>
      <c r="H63" s="94" t="n">
        <v>100.5</v>
      </c>
      <c r="I63" s="94" t="n">
        <v>65.80711685570073</v>
      </c>
      <c r="J63" s="94" t="n">
        <v>0</v>
      </c>
      <c r="K63" s="17" t="n">
        <v>50.5</v>
      </c>
      <c r="L63" s="18" t="n">
        <v>0</v>
      </c>
      <c r="M63" s="19" t="n">
        <v>27.8</v>
      </c>
      <c r="N63" s="95" t="inlineStr">
        <is>
          <t>➡️ Neutral</t>
        </is>
      </c>
      <c r="O63" s="95" t="inlineStr">
        <is>
          <t>⏳ New Fund</t>
        </is>
      </c>
      <c r="P63" s="95" t="inlineStr">
        <is>
          <t>⏳ New Fund</t>
        </is>
      </c>
      <c r="Q63" s="96" t="inlineStr">
        <is>
          <t>MOMENTUM_ONLY</t>
        </is>
      </c>
    </row>
    <row r="64" ht="16" customHeight="1">
      <c r="A64" s="28" t="n">
        <v>60</v>
      </c>
      <c r="B64" s="29" t="inlineStr">
        <is>
          <t>Aditya Birla Sun Life Conservative Hybrid Active FOF- Regular Plan - Growth Option</t>
        </is>
      </c>
      <c r="C64" s="29" t="inlineStr">
        <is>
          <t>Aditya Birla Sun Life Mutual Fund</t>
        </is>
      </c>
      <c r="D64" s="29" t="inlineStr">
        <is>
          <t>Standard Equity/Debt</t>
        </is>
      </c>
      <c r="E64" s="30" t="n">
        <v>0.8100000000000001</v>
      </c>
      <c r="F64" s="30" t="n">
        <v>3.69</v>
      </c>
      <c r="G64" s="30" t="n">
        <v>2.42</v>
      </c>
      <c r="H64" s="30" t="n">
        <v>5.48</v>
      </c>
      <c r="I64" s="30" t="n">
        <v>5.574618161753264</v>
      </c>
      <c r="J64" s="30" t="n">
        <v>32.93</v>
      </c>
      <c r="K64" s="17" t="n">
        <v>50.3</v>
      </c>
      <c r="L64" s="18" t="n">
        <v>0</v>
      </c>
      <c r="M64" s="19" t="n">
        <v>27.7</v>
      </c>
      <c r="N64" s="31" t="inlineStr">
        <is>
          <t>➡️ Neutral</t>
        </is>
      </c>
      <c r="O64" s="31" t="inlineStr">
        <is>
          <t>🔴 Not Qualified</t>
        </is>
      </c>
      <c r="P64" s="31" t="inlineStr">
        <is>
          <t>🔴 Avoid</t>
        </is>
      </c>
      <c r="Q64" s="83" t="inlineStr">
        <is>
          <t>FULL</t>
        </is>
      </c>
    </row>
    <row r="65" ht="16" customHeight="1">
      <c r="A65" s="13" t="n">
        <v>61</v>
      </c>
      <c r="B65" s="14" t="inlineStr">
        <is>
          <t>HDFC Income Plus Arbitrage Active FOF - Growth Option</t>
        </is>
      </c>
      <c r="C65" s="14" t="inlineStr">
        <is>
          <t>HDFC Mutual Fund</t>
        </is>
      </c>
      <c r="D65" s="14" t="inlineStr">
        <is>
          <t>Standard Equity/Debt</t>
        </is>
      </c>
      <c r="E65" s="15" t="n">
        <v>0.48</v>
      </c>
      <c r="F65" s="15" t="n">
        <v>2.3</v>
      </c>
      <c r="G65" s="15" t="n">
        <v>2.89</v>
      </c>
      <c r="H65" s="15" t="n">
        <v>5.58</v>
      </c>
      <c r="I65" s="15" t="n">
        <v>2.985435863523933</v>
      </c>
      <c r="J65" s="15" t="n">
        <v>29.53</v>
      </c>
      <c r="K65" s="17" t="n">
        <v>50.1</v>
      </c>
      <c r="L65" s="18" t="n">
        <v>0</v>
      </c>
      <c r="M65" s="19" t="n">
        <v>27.6</v>
      </c>
      <c r="N65" s="20" t="inlineStr">
        <is>
          <t>➡️ Neutral</t>
        </is>
      </c>
      <c r="O65" s="20" t="inlineStr">
        <is>
          <t>🔴 Not Qualified</t>
        </is>
      </c>
      <c r="P65" s="20" t="inlineStr">
        <is>
          <t>🔴 Avoid</t>
        </is>
      </c>
      <c r="Q65" s="83" t="inlineStr">
        <is>
          <t>FULL</t>
        </is>
      </c>
    </row>
    <row r="66" ht="16" customHeight="1">
      <c r="A66" s="28" t="n">
        <v>62</v>
      </c>
      <c r="B66" s="29" t="inlineStr">
        <is>
          <t>Tata Nifty India Digital ETF Fund of Fund -Regular Plan-Growth</t>
        </is>
      </c>
      <c r="C66" s="29" t="inlineStr">
        <is>
          <t>Tata Mutual Fund</t>
        </is>
      </c>
      <c r="D66" s="29" t="inlineStr">
        <is>
          <t>Technology</t>
        </is>
      </c>
      <c r="E66" s="30" t="n">
        <v>5.13</v>
      </c>
      <c r="F66" s="30" t="n">
        <v>10.06</v>
      </c>
      <c r="G66" s="30" t="n">
        <v>1.2</v>
      </c>
      <c r="H66" s="91" t="n">
        <v>-2.72</v>
      </c>
      <c r="I66" s="91" t="n">
        <v>-2.969077093949068</v>
      </c>
      <c r="J66" s="30" t="n">
        <v>40.23</v>
      </c>
      <c r="K66" s="37" t="n">
        <v>49.5</v>
      </c>
      <c r="L66" s="18" t="n">
        <v>0</v>
      </c>
      <c r="M66" s="19" t="n">
        <v>27.2</v>
      </c>
      <c r="N66" s="31" t="inlineStr">
        <is>
          <t>➡️ Neutral</t>
        </is>
      </c>
      <c r="O66" s="31" t="inlineStr">
        <is>
          <t>🔴 Not Qualified</t>
        </is>
      </c>
      <c r="P66" s="31" t="inlineStr">
        <is>
          <t>🔴 Avoid</t>
        </is>
      </c>
      <c r="Q66" s="83" t="inlineStr">
        <is>
          <t>FULL</t>
        </is>
      </c>
    </row>
    <row r="67" ht="16" customHeight="1">
      <c r="A67" s="13" t="n">
        <v>63</v>
      </c>
      <c r="B67" s="14" t="inlineStr">
        <is>
          <t>ICICI Prudential Dynamic Asset Allocation Active FOF - Growth</t>
        </is>
      </c>
      <c r="C67" s="14" t="inlineStr">
        <is>
          <t>ICICI Prudential Mutual Fund</t>
        </is>
      </c>
      <c r="D67" s="14" t="inlineStr">
        <is>
          <t>Standard Equity/Debt</t>
        </is>
      </c>
      <c r="E67" s="15" t="n">
        <v>0.82</v>
      </c>
      <c r="F67" s="15" t="n">
        <v>4.01</v>
      </c>
      <c r="G67" s="15" t="n">
        <v>1.76</v>
      </c>
      <c r="H67" s="15" t="n">
        <v>5.09</v>
      </c>
      <c r="I67" s="15" t="n">
        <v>6.343782140753307</v>
      </c>
      <c r="J67" s="15" t="n">
        <v>37.42</v>
      </c>
      <c r="K67" s="37" t="n">
        <v>49.1</v>
      </c>
      <c r="L67" s="18" t="n">
        <v>0</v>
      </c>
      <c r="M67" s="19" t="n">
        <v>27</v>
      </c>
      <c r="N67" s="20" t="inlineStr">
        <is>
          <t>➡️ Neutral</t>
        </is>
      </c>
      <c r="O67" s="20" t="inlineStr">
        <is>
          <t>🔴 Not Qualified</t>
        </is>
      </c>
      <c r="P67" s="20" t="inlineStr">
        <is>
          <t>🔴 Avoid</t>
        </is>
      </c>
      <c r="Q67" s="83" t="inlineStr">
        <is>
          <t>FULL</t>
        </is>
      </c>
    </row>
    <row r="68" ht="16" customHeight="1">
      <c r="A68" s="92" t="n">
        <v>64</v>
      </c>
      <c r="B68" s="93" t="inlineStr">
        <is>
          <t>DSP Silver ETF Fund of Fund - Regular - Growth</t>
        </is>
      </c>
      <c r="C68" s="93" t="inlineStr">
        <is>
          <t>DSP Mutual Fund</t>
        </is>
      </c>
      <c r="D68" s="93" t="inlineStr">
        <is>
          <t>Silver</t>
        </is>
      </c>
      <c r="E68" s="94" t="n">
        <v>8.279999999999999</v>
      </c>
      <c r="F68" s="97" t="n">
        <v>-12.64</v>
      </c>
      <c r="G68" s="97" t="n">
        <v>-1.07</v>
      </c>
      <c r="H68" s="94" t="n">
        <v>98.14</v>
      </c>
      <c r="I68" s="94" t="n">
        <v>0</v>
      </c>
      <c r="J68" s="94" t="n">
        <v>0</v>
      </c>
      <c r="K68" s="37" t="n">
        <v>48.8</v>
      </c>
      <c r="L68" s="18" t="n">
        <v>0</v>
      </c>
      <c r="M68" s="19" t="n">
        <v>26.8</v>
      </c>
      <c r="N68" s="95" t="inlineStr">
        <is>
          <t>➡️ Neutral</t>
        </is>
      </c>
      <c r="O68" s="95" t="inlineStr">
        <is>
          <t>⏳ New Fund</t>
        </is>
      </c>
      <c r="P68" s="95" t="inlineStr">
        <is>
          <t>⏳ New Fund</t>
        </is>
      </c>
      <c r="Q68" s="96" t="inlineStr">
        <is>
          <t>MOMENTUM_ONLY</t>
        </is>
      </c>
    </row>
    <row r="69" ht="16" customHeight="1">
      <c r="A69" s="92" t="n">
        <v>65</v>
      </c>
      <c r="B69" s="93" t="inlineStr">
        <is>
          <t>SBI Income Plus Arbitrage Active FOF- Regular Plan- Income Distribution Cum Capital Withdrawal Option</t>
        </is>
      </c>
      <c r="C69" s="93" t="inlineStr">
        <is>
          <t>SBI Mutual Fund</t>
        </is>
      </c>
      <c r="D69" s="93" t="inlineStr">
        <is>
          <t>Standard Equity/Debt</t>
        </is>
      </c>
      <c r="E69" s="94" t="n">
        <v>0.46</v>
      </c>
      <c r="F69" s="94" t="n">
        <v>2.01</v>
      </c>
      <c r="G69" s="94" t="n">
        <v>2.91</v>
      </c>
      <c r="H69" s="94" t="n">
        <v>5.73</v>
      </c>
      <c r="I69" s="94" t="n">
        <v>0</v>
      </c>
      <c r="J69" s="94" t="n">
        <v>0</v>
      </c>
      <c r="K69" s="37" t="n">
        <v>47.9</v>
      </c>
      <c r="L69" s="18" t="n">
        <v>0</v>
      </c>
      <c r="M69" s="19" t="n">
        <v>26.3</v>
      </c>
      <c r="N69" s="95" t="inlineStr">
        <is>
          <t>➡️ Neutral</t>
        </is>
      </c>
      <c r="O69" s="95" t="inlineStr">
        <is>
          <t>⏳ New Fund</t>
        </is>
      </c>
      <c r="P69" s="95" t="inlineStr">
        <is>
          <t>⏳ New Fund</t>
        </is>
      </c>
      <c r="Q69" s="96" t="inlineStr">
        <is>
          <t>MOMENTUM_ONLY</t>
        </is>
      </c>
    </row>
    <row r="70" ht="16" customHeight="1">
      <c r="A70" s="92" t="n">
        <v>65</v>
      </c>
      <c r="B70" s="93" t="inlineStr">
        <is>
          <t>SBI Income Plus Arbitrage Active FOF- Regular Plan- Growth</t>
        </is>
      </c>
      <c r="C70" s="93" t="inlineStr">
        <is>
          <t>SBI Mutual Fund</t>
        </is>
      </c>
      <c r="D70" s="93" t="inlineStr">
        <is>
          <t>Standard Equity/Debt</t>
        </is>
      </c>
      <c r="E70" s="94" t="n">
        <v>0.46</v>
      </c>
      <c r="F70" s="94" t="n">
        <v>2.01</v>
      </c>
      <c r="G70" s="94" t="n">
        <v>2.91</v>
      </c>
      <c r="H70" s="94" t="n">
        <v>5.73</v>
      </c>
      <c r="I70" s="94" t="n">
        <v>0</v>
      </c>
      <c r="J70" s="94" t="n">
        <v>0</v>
      </c>
      <c r="K70" s="37" t="n">
        <v>47.9</v>
      </c>
      <c r="L70" s="18" t="n">
        <v>0</v>
      </c>
      <c r="M70" s="19" t="n">
        <v>26.3</v>
      </c>
      <c r="N70" s="95" t="inlineStr">
        <is>
          <t>➡️ Neutral</t>
        </is>
      </c>
      <c r="O70" s="95" t="inlineStr">
        <is>
          <t>⏳ New Fund</t>
        </is>
      </c>
      <c r="P70" s="95" t="inlineStr">
        <is>
          <t>⏳ New Fund</t>
        </is>
      </c>
      <c r="Q70" s="96" t="inlineStr">
        <is>
          <t>MOMENTUM_ONLY</t>
        </is>
      </c>
    </row>
    <row r="71" ht="16" customHeight="1">
      <c r="A71" s="13" t="n">
        <v>67</v>
      </c>
      <c r="B71" s="14" t="inlineStr">
        <is>
          <t>BHARAT Bond ETF FOF - April 2033 - Regular Plan - Growth</t>
        </is>
      </c>
      <c r="C71" s="14" t="inlineStr">
        <is>
          <t>Edelweiss Mutual Fund</t>
        </is>
      </c>
      <c r="D71" s="14" t="inlineStr">
        <is>
          <t>Standard Equity/Debt</t>
        </is>
      </c>
      <c r="E71" s="15" t="n">
        <v>0.14</v>
      </c>
      <c r="F71" s="15" t="n">
        <v>3.89</v>
      </c>
      <c r="G71" s="15" t="n">
        <v>2.82</v>
      </c>
      <c r="H71" s="15" t="n">
        <v>5.34</v>
      </c>
      <c r="I71" s="15" t="n">
        <v>6.995327000762042</v>
      </c>
      <c r="J71" s="15" t="n">
        <v>25.18</v>
      </c>
      <c r="K71" s="37" t="n">
        <v>47.3</v>
      </c>
      <c r="L71" s="18" t="n">
        <v>0</v>
      </c>
      <c r="M71" s="19" t="n">
        <v>26</v>
      </c>
      <c r="N71" s="20" t="inlineStr">
        <is>
          <t>➡️ Neutral</t>
        </is>
      </c>
      <c r="O71" s="20" t="inlineStr">
        <is>
          <t>🔴 Not Qualified</t>
        </is>
      </c>
      <c r="P71" s="20" t="inlineStr">
        <is>
          <t>🔴 Avoid</t>
        </is>
      </c>
      <c r="Q71" s="83" t="inlineStr">
        <is>
          <t>FULL</t>
        </is>
      </c>
    </row>
    <row r="72" ht="16" customHeight="1">
      <c r="A72" s="92" t="n">
        <v>68</v>
      </c>
      <c r="B72" s="93" t="inlineStr">
        <is>
          <t>ANGEL ONE GOLD ETF FOF - REGULAR GROWTH</t>
        </is>
      </c>
      <c r="C72" s="93" t="inlineStr">
        <is>
          <t>Angel One Mutual Fund</t>
        </is>
      </c>
      <c r="D72" s="93" t="inlineStr">
        <is>
          <t>Gold</t>
        </is>
      </c>
      <c r="E72" s="94" t="n">
        <v>8.94</v>
      </c>
      <c r="F72" s="97" t="n">
        <v>-3.16</v>
      </c>
      <c r="G72" s="94" t="n">
        <v>1.64</v>
      </c>
      <c r="H72" s="94" t="n">
        <v>0</v>
      </c>
      <c r="I72" s="94" t="n">
        <v>0</v>
      </c>
      <c r="J72" s="94" t="n">
        <v>0</v>
      </c>
      <c r="K72" s="37" t="n">
        <v>47.3</v>
      </c>
      <c r="L72" s="18" t="n">
        <v>0</v>
      </c>
      <c r="M72" s="19" t="n">
        <v>26</v>
      </c>
      <c r="N72" s="95" t="inlineStr">
        <is>
          <t>➡️ Neutral</t>
        </is>
      </c>
      <c r="O72" s="95" t="inlineStr">
        <is>
          <t>⏳ New Fund</t>
        </is>
      </c>
      <c r="P72" s="95" t="inlineStr">
        <is>
          <t>⏳ New Fund</t>
        </is>
      </c>
      <c r="Q72" s="96" t="inlineStr">
        <is>
          <t>MOMENTUM_ONLY</t>
        </is>
      </c>
    </row>
    <row r="73" ht="16" customHeight="1">
      <c r="A73" s="13" t="n">
        <v>69</v>
      </c>
      <c r="B73" s="14" t="inlineStr">
        <is>
          <t>BHARAT Bond FOF- April 2031- Regular Plan- Growth Option</t>
        </is>
      </c>
      <c r="C73" s="14" t="inlineStr">
        <is>
          <t>Edelweiss Mutual Fund</t>
        </is>
      </c>
      <c r="D73" s="14" t="inlineStr">
        <is>
          <t>Standard Equity/Debt</t>
        </is>
      </c>
      <c r="E73" s="15" t="n">
        <v>0.47</v>
      </c>
      <c r="F73" s="15" t="n">
        <v>3.46</v>
      </c>
      <c r="G73" s="15" t="n">
        <v>2.76</v>
      </c>
      <c r="H73" s="15" t="n">
        <v>5.5</v>
      </c>
      <c r="I73" s="15" t="n">
        <v>7.735787925832716</v>
      </c>
      <c r="J73" s="15" t="n">
        <v>25.44</v>
      </c>
      <c r="K73" s="37" t="n">
        <v>47.2</v>
      </c>
      <c r="L73" s="18" t="n">
        <v>0</v>
      </c>
      <c r="M73" s="19" t="n">
        <v>26</v>
      </c>
      <c r="N73" s="20" t="inlineStr">
        <is>
          <t>➡️ Neutral</t>
        </is>
      </c>
      <c r="O73" s="20" t="inlineStr">
        <is>
          <t>🔴 Not Qualified</t>
        </is>
      </c>
      <c r="P73" s="20" t="inlineStr">
        <is>
          <t>🔴 Avoid</t>
        </is>
      </c>
      <c r="Q73" s="83" t="inlineStr">
        <is>
          <t>FULL</t>
        </is>
      </c>
    </row>
    <row r="74" ht="16" customHeight="1">
      <c r="A74" s="28" t="n">
        <v>70</v>
      </c>
      <c r="B74" s="29" t="inlineStr">
        <is>
          <t>DSP Income Plus Arbitrage Omni FoF - Regular Plan - Growth</t>
        </is>
      </c>
      <c r="C74" s="29" t="inlineStr">
        <is>
          <t>DSP Mutual Fund</t>
        </is>
      </c>
      <c r="D74" s="29" t="inlineStr">
        <is>
          <t>Standard Equity/Debt</t>
        </is>
      </c>
      <c r="E74" s="30" t="n">
        <v>0.5</v>
      </c>
      <c r="F74" s="30" t="n">
        <v>2.37</v>
      </c>
      <c r="G74" s="30" t="n">
        <v>2.67</v>
      </c>
      <c r="H74" s="30" t="n">
        <v>5.13</v>
      </c>
      <c r="I74" s="30" t="n">
        <v>6.367288204597932</v>
      </c>
      <c r="J74" s="30" t="n">
        <v>31.64</v>
      </c>
      <c r="K74" s="37" t="n">
        <v>46.9</v>
      </c>
      <c r="L74" s="18" t="n">
        <v>0</v>
      </c>
      <c r="M74" s="19" t="n">
        <v>25.8</v>
      </c>
      <c r="N74" s="31" t="inlineStr">
        <is>
          <t>➡️ Neutral</t>
        </is>
      </c>
      <c r="O74" s="31" t="inlineStr">
        <is>
          <t>🔴 Not Qualified</t>
        </is>
      </c>
      <c r="P74" s="31" t="inlineStr">
        <is>
          <t>🔴 Avoid</t>
        </is>
      </c>
      <c r="Q74" s="83" t="inlineStr">
        <is>
          <t>FULL</t>
        </is>
      </c>
    </row>
    <row r="75" ht="16" customHeight="1">
      <c r="A75" s="92" t="n">
        <v>71</v>
      </c>
      <c r="B75" s="93" t="inlineStr">
        <is>
          <t>Mirae Asset Income plus Arbitrage Active FOF - Regular Plan - Growth</t>
        </is>
      </c>
      <c r="C75" s="93" t="inlineStr">
        <is>
          <t>Mirae Asset Mutual Fund</t>
        </is>
      </c>
      <c r="D75" s="93" t="inlineStr">
        <is>
          <t>Standard Equity/Debt</t>
        </is>
      </c>
      <c r="E75" s="94" t="n">
        <v>0.47</v>
      </c>
      <c r="F75" s="94" t="n">
        <v>2.03</v>
      </c>
      <c r="G75" s="94" t="n">
        <v>2.76</v>
      </c>
      <c r="H75" s="94" t="n">
        <v>5.65</v>
      </c>
      <c r="I75" s="94" t="n">
        <v>0</v>
      </c>
      <c r="J75" s="94" t="n">
        <v>0</v>
      </c>
      <c r="K75" s="37" t="n">
        <v>46.7</v>
      </c>
      <c r="L75" s="18" t="n">
        <v>0</v>
      </c>
      <c r="M75" s="19" t="n">
        <v>25.7</v>
      </c>
      <c r="N75" s="95" t="inlineStr">
        <is>
          <t>➡️ Neutral</t>
        </is>
      </c>
      <c r="O75" s="95" t="inlineStr">
        <is>
          <t>⏳ New Fund</t>
        </is>
      </c>
      <c r="P75" s="95" t="inlineStr">
        <is>
          <t>⏳ New Fund</t>
        </is>
      </c>
      <c r="Q75" s="96" t="inlineStr">
        <is>
          <t>MOMENTUM_ONLY</t>
        </is>
      </c>
    </row>
    <row r="76" ht="16" customHeight="1">
      <c r="A76" s="92" t="n">
        <v>72</v>
      </c>
      <c r="B76" s="93" t="inlineStr">
        <is>
          <t>Mirae Asset Multi Factor Passive FOF - Regular Plan - Growth</t>
        </is>
      </c>
      <c r="C76" s="93" t="inlineStr">
        <is>
          <t>Mirae Asset Mutual Fund</t>
        </is>
      </c>
      <c r="D76" s="93" t="inlineStr">
        <is>
          <t>Standard Equity/Debt</t>
        </is>
      </c>
      <c r="E76" s="94" t="n">
        <v>2.58</v>
      </c>
      <c r="F76" s="94" t="n">
        <v>3.62</v>
      </c>
      <c r="G76" s="94" t="n">
        <v>1.7</v>
      </c>
      <c r="H76" s="94" t="n">
        <v>0</v>
      </c>
      <c r="I76" s="94" t="n">
        <v>0</v>
      </c>
      <c r="J76" s="94" t="n">
        <v>0</v>
      </c>
      <c r="K76" s="37" t="n">
        <v>46.2</v>
      </c>
      <c r="L76" s="18" t="n">
        <v>0</v>
      </c>
      <c r="M76" s="19" t="n">
        <v>25.4</v>
      </c>
      <c r="N76" s="95" t="inlineStr">
        <is>
          <t>➡️ Neutral</t>
        </is>
      </c>
      <c r="O76" s="95" t="inlineStr">
        <is>
          <t>⏳ New Fund</t>
        </is>
      </c>
      <c r="P76" s="95" t="inlineStr">
        <is>
          <t>⏳ New Fund</t>
        </is>
      </c>
      <c r="Q76" s="96" t="inlineStr">
        <is>
          <t>MOMENTUM_ONLY</t>
        </is>
      </c>
    </row>
    <row r="77" ht="16" customHeight="1">
      <c r="A77" s="92" t="n">
        <v>73</v>
      </c>
      <c r="B77" s="93" t="inlineStr">
        <is>
          <t>Edelweiss Multi Asset Omni Fund of Fund- Regular Plan - Growth</t>
        </is>
      </c>
      <c r="C77" s="93" t="inlineStr">
        <is>
          <t>Edelweiss Mutual Fund</t>
        </is>
      </c>
      <c r="D77" s="93" t="inlineStr">
        <is>
          <t>Standard Equity/Debt</t>
        </is>
      </c>
      <c r="E77" s="94" t="n">
        <v>3.87</v>
      </c>
      <c r="F77" s="94" t="n">
        <v>3.46</v>
      </c>
      <c r="G77" s="94" t="n">
        <v>2.51</v>
      </c>
      <c r="H77" s="94" t="n">
        <v>0</v>
      </c>
      <c r="I77" s="94" t="n">
        <v>0</v>
      </c>
      <c r="J77" s="94" t="n">
        <v>0</v>
      </c>
      <c r="K77" s="37" t="n">
        <v>45.6</v>
      </c>
      <c r="L77" s="18" t="n">
        <v>0</v>
      </c>
      <c r="M77" s="19" t="n">
        <v>25.1</v>
      </c>
      <c r="N77" s="95" t="inlineStr">
        <is>
          <t>➡️ Neutral</t>
        </is>
      </c>
      <c r="O77" s="95" t="inlineStr">
        <is>
          <t>⏳ New Fund</t>
        </is>
      </c>
      <c r="P77" s="95" t="inlineStr">
        <is>
          <t>⏳ New Fund</t>
        </is>
      </c>
      <c r="Q77" s="96" t="inlineStr">
        <is>
          <t>MOMENTUM_ONLY</t>
        </is>
      </c>
    </row>
    <row r="78" ht="16" customHeight="1">
      <c r="A78" s="92" t="n">
        <v>74</v>
      </c>
      <c r="B78" s="93" t="inlineStr">
        <is>
          <t>Union Income Plus Arbitrage Active FOF - Regular Plan - Growth Option</t>
        </is>
      </c>
      <c r="C78" s="93" t="inlineStr">
        <is>
          <t>Union Mutual Fund</t>
        </is>
      </c>
      <c r="D78" s="93" t="inlineStr">
        <is>
          <t>Standard Equity/Debt</t>
        </is>
      </c>
      <c r="E78" s="94" t="n">
        <v>0.49</v>
      </c>
      <c r="F78" s="94" t="n">
        <v>2.49</v>
      </c>
      <c r="G78" s="94" t="n">
        <v>2.61</v>
      </c>
      <c r="H78" s="94" t="n">
        <v>4.56</v>
      </c>
      <c r="I78" s="94" t="n">
        <v>0</v>
      </c>
      <c r="J78" s="94" t="n">
        <v>0</v>
      </c>
      <c r="K78" s="37" t="n">
        <v>45.6</v>
      </c>
      <c r="L78" s="18" t="n">
        <v>0</v>
      </c>
      <c r="M78" s="19" t="n">
        <v>25.1</v>
      </c>
      <c r="N78" s="95" t="inlineStr">
        <is>
          <t>➡️ Neutral</t>
        </is>
      </c>
      <c r="O78" s="95" t="inlineStr">
        <is>
          <t>⏳ New Fund</t>
        </is>
      </c>
      <c r="P78" s="95" t="inlineStr">
        <is>
          <t>⏳ New Fund</t>
        </is>
      </c>
      <c r="Q78" s="96" t="inlineStr">
        <is>
          <t>MOMENTUM_ONLY</t>
        </is>
      </c>
    </row>
    <row r="79" ht="16" customHeight="1">
      <c r="A79" s="92" t="n">
        <v>75</v>
      </c>
      <c r="B79" s="93" t="inlineStr">
        <is>
          <t>SBI Dynamic Asset Allocation Active FoF - Regular Plan - Growth</t>
        </is>
      </c>
      <c r="C79" s="93" t="inlineStr">
        <is>
          <t>SBI Mutual Fund</t>
        </is>
      </c>
      <c r="D79" s="93" t="inlineStr">
        <is>
          <t>Standard Equity/Debt</t>
        </is>
      </c>
      <c r="E79" s="94" t="n">
        <v>1.34</v>
      </c>
      <c r="F79" s="94" t="n">
        <v>4.32</v>
      </c>
      <c r="G79" s="94" t="n">
        <v>1.94</v>
      </c>
      <c r="H79" s="94" t="n">
        <v>0</v>
      </c>
      <c r="I79" s="94" t="n">
        <v>0</v>
      </c>
      <c r="J79" s="94" t="n">
        <v>0</v>
      </c>
      <c r="K79" s="37" t="n">
        <v>45.3</v>
      </c>
      <c r="L79" s="18" t="n">
        <v>0</v>
      </c>
      <c r="M79" s="19" t="n">
        <v>24.9</v>
      </c>
      <c r="N79" s="95" t="inlineStr">
        <is>
          <t>➡️ Neutral</t>
        </is>
      </c>
      <c r="O79" s="95" t="inlineStr">
        <is>
          <t>⏳ New Fund</t>
        </is>
      </c>
      <c r="P79" s="95" t="inlineStr">
        <is>
          <t>⏳ New Fund</t>
        </is>
      </c>
      <c r="Q79" s="96" t="inlineStr">
        <is>
          <t>MOMENTUM_ONLY</t>
        </is>
      </c>
    </row>
    <row r="80" ht="16" customHeight="1">
      <c r="A80" s="92" t="n">
        <v>75</v>
      </c>
      <c r="B80" s="93" t="inlineStr">
        <is>
          <t>SBI Dynamic Asset Allocation Active FoF - Regular Plan - Income Distribution Cum Capital Withdrawal Option</t>
        </is>
      </c>
      <c r="C80" s="93" t="inlineStr">
        <is>
          <t>SBI Mutual Fund</t>
        </is>
      </c>
      <c r="D80" s="93" t="inlineStr">
        <is>
          <t>Standard Equity/Debt</t>
        </is>
      </c>
      <c r="E80" s="94" t="n">
        <v>1.34</v>
      </c>
      <c r="F80" s="94" t="n">
        <v>4.32</v>
      </c>
      <c r="G80" s="94" t="n">
        <v>1.94</v>
      </c>
      <c r="H80" s="94" t="n">
        <v>0</v>
      </c>
      <c r="I80" s="94" t="n">
        <v>0</v>
      </c>
      <c r="J80" s="94" t="n">
        <v>0</v>
      </c>
      <c r="K80" s="37" t="n">
        <v>45.3</v>
      </c>
      <c r="L80" s="18" t="n">
        <v>0</v>
      </c>
      <c r="M80" s="19" t="n">
        <v>24.9</v>
      </c>
      <c r="N80" s="95" t="inlineStr">
        <is>
          <t>➡️ Neutral</t>
        </is>
      </c>
      <c r="O80" s="95" t="inlineStr">
        <is>
          <t>⏳ New Fund</t>
        </is>
      </c>
      <c r="P80" s="95" t="inlineStr">
        <is>
          <t>⏳ New Fund</t>
        </is>
      </c>
      <c r="Q80" s="96" t="inlineStr">
        <is>
          <t>MOMENTUM_ONLY</t>
        </is>
      </c>
    </row>
    <row r="81" ht="16" customHeight="1">
      <c r="A81" s="13" t="n">
        <v>77</v>
      </c>
      <c r="B81" s="14" t="inlineStr">
        <is>
          <t>ICICI Prudential Nifty Alpha Low - Volatility 30 ETF FOF - Growth</t>
        </is>
      </c>
      <c r="C81" s="14" t="inlineStr">
        <is>
          <t>ICICI Prudential Mutual Fund</t>
        </is>
      </c>
      <c r="D81" s="14" t="inlineStr">
        <is>
          <t>Index Fund</t>
        </is>
      </c>
      <c r="E81" s="15" t="n">
        <v>2.45</v>
      </c>
      <c r="F81" s="15" t="n">
        <v>6.44</v>
      </c>
      <c r="G81" s="16" t="n">
        <v>-0.72</v>
      </c>
      <c r="H81" s="15" t="n">
        <v>4.09</v>
      </c>
      <c r="I81" s="16" t="n">
        <v>-4.099009389892116</v>
      </c>
      <c r="J81" s="15" t="n">
        <v>41.16</v>
      </c>
      <c r="K81" s="37" t="n">
        <v>45.1</v>
      </c>
      <c r="L81" s="18" t="n">
        <v>0</v>
      </c>
      <c r="M81" s="19" t="n">
        <v>24.8</v>
      </c>
      <c r="N81" s="20" t="inlineStr">
        <is>
          <t>➡️ Neutral</t>
        </is>
      </c>
      <c r="O81" s="20" t="inlineStr">
        <is>
          <t>🔴 Not Qualified</t>
        </is>
      </c>
      <c r="P81" s="20" t="inlineStr">
        <is>
          <t>🔴 Avoid</t>
        </is>
      </c>
      <c r="Q81" s="83" t="inlineStr">
        <is>
          <t>FULL</t>
        </is>
      </c>
    </row>
    <row r="82" ht="16" customHeight="1">
      <c r="A82" s="92" t="n">
        <v>78</v>
      </c>
      <c r="B82" s="93" t="inlineStr">
        <is>
          <t>UTI Income Plus Arbitrage Active Fund of Fund - Regular Plan - Growth Option</t>
        </is>
      </c>
      <c r="C82" s="93" t="inlineStr">
        <is>
          <t>UTI Mutual Fund</t>
        </is>
      </c>
      <c r="D82" s="93" t="inlineStr">
        <is>
          <t>Standard Equity/Debt</t>
        </is>
      </c>
      <c r="E82" s="94" t="n">
        <v>0.46</v>
      </c>
      <c r="F82" s="94" t="n">
        <v>2.07</v>
      </c>
      <c r="G82" s="94" t="n">
        <v>2.76</v>
      </c>
      <c r="H82" s="94" t="n">
        <v>5.58</v>
      </c>
      <c r="I82" s="94" t="n">
        <v>0</v>
      </c>
      <c r="J82" s="94" t="n">
        <v>0</v>
      </c>
      <c r="K82" s="37" t="n">
        <v>45</v>
      </c>
      <c r="L82" s="18" t="n">
        <v>0</v>
      </c>
      <c r="M82" s="19" t="n">
        <v>24.8</v>
      </c>
      <c r="N82" s="95" t="inlineStr">
        <is>
          <t>➡️ Neutral</t>
        </is>
      </c>
      <c r="O82" s="95" t="inlineStr">
        <is>
          <t>⏳ New Fund</t>
        </is>
      </c>
      <c r="P82" s="95" t="inlineStr">
        <is>
          <t>⏳ New Fund</t>
        </is>
      </c>
      <c r="Q82" s="96" t="inlineStr">
        <is>
          <t>MOMENTUM_ONLY</t>
        </is>
      </c>
    </row>
    <row r="83" ht="16" customHeight="1">
      <c r="A83" s="92" t="n">
        <v>79</v>
      </c>
      <c r="B83" s="93" t="inlineStr">
        <is>
          <t>Mahindra Manulife Income Plus Arbitrage Active FOF - Regular - Growth</t>
        </is>
      </c>
      <c r="C83" s="93" t="inlineStr">
        <is>
          <t>Mahindra Manulife Mutual Fund</t>
        </is>
      </c>
      <c r="D83" s="93" t="inlineStr">
        <is>
          <t>Standard Equity/Debt</t>
        </is>
      </c>
      <c r="E83" s="94" t="n">
        <v>0.5</v>
      </c>
      <c r="F83" s="94" t="n">
        <v>2.31</v>
      </c>
      <c r="G83" s="94" t="n">
        <v>3.18</v>
      </c>
      <c r="H83" s="94" t="n">
        <v>0</v>
      </c>
      <c r="I83" s="94" t="n">
        <v>0</v>
      </c>
      <c r="J83" s="94" t="n">
        <v>0</v>
      </c>
      <c r="K83" s="37" t="n">
        <v>45</v>
      </c>
      <c r="L83" s="18" t="n">
        <v>0</v>
      </c>
      <c r="M83" s="19" t="n">
        <v>24.8</v>
      </c>
      <c r="N83" s="95" t="inlineStr">
        <is>
          <t>➡️ Neutral</t>
        </is>
      </c>
      <c r="O83" s="95" t="inlineStr">
        <is>
          <t>⏳ New Fund</t>
        </is>
      </c>
      <c r="P83" s="95" t="inlineStr">
        <is>
          <t>⏳ New Fund</t>
        </is>
      </c>
      <c r="Q83" s="96" t="inlineStr">
        <is>
          <t>MOMENTUM_ONLY</t>
        </is>
      </c>
    </row>
    <row r="84" ht="16" customHeight="1">
      <c r="A84" s="92" t="n">
        <v>80</v>
      </c>
      <c r="B84" s="93" t="inlineStr">
        <is>
          <t>Tata Silver ETF Fund of Fund Regular Plan Growth Option</t>
        </is>
      </c>
      <c r="C84" s="93" t="inlineStr">
        <is>
          <t>Tata Mutual Fund</t>
        </is>
      </c>
      <c r="D84" s="93" t="inlineStr">
        <is>
          <t>Silver</t>
        </is>
      </c>
      <c r="E84" s="94" t="n">
        <v>8</v>
      </c>
      <c r="F84" s="97" t="n">
        <v>-12.55</v>
      </c>
      <c r="G84" s="97" t="n">
        <v>-1.37</v>
      </c>
      <c r="H84" s="94" t="n">
        <v>93.42</v>
      </c>
      <c r="I84" s="94" t="n">
        <v>63.07360301409912</v>
      </c>
      <c r="J84" s="94" t="n">
        <v>0</v>
      </c>
      <c r="K84" s="37" t="n">
        <v>45</v>
      </c>
      <c r="L84" s="18" t="n">
        <v>0</v>
      </c>
      <c r="M84" s="19" t="n">
        <v>24.7</v>
      </c>
      <c r="N84" s="95" t="inlineStr">
        <is>
          <t>➡️ Neutral</t>
        </is>
      </c>
      <c r="O84" s="95" t="inlineStr">
        <is>
          <t>⏳ New Fund</t>
        </is>
      </c>
      <c r="P84" s="95" t="inlineStr">
        <is>
          <t>⏳ New Fund</t>
        </is>
      </c>
      <c r="Q84" s="96" t="inlineStr">
        <is>
          <t>MOMENTUM_ONLY</t>
        </is>
      </c>
    </row>
    <row r="85" ht="16" customHeight="1">
      <c r="A85" s="13" t="n">
        <v>81</v>
      </c>
      <c r="B85" s="14" t="inlineStr">
        <is>
          <t>ICICI Prudential Aggressive Hybrid Active FOF - Growth</t>
        </is>
      </c>
      <c r="C85" s="14" t="inlineStr">
        <is>
          <t>ICICI Prudential Mutual Fund</t>
        </is>
      </c>
      <c r="D85" s="14" t="inlineStr">
        <is>
          <t>Standard Equity/Debt</t>
        </is>
      </c>
      <c r="E85" s="15" t="n">
        <v>1.25</v>
      </c>
      <c r="F85" s="15" t="n">
        <v>4.82</v>
      </c>
      <c r="G85" s="15" t="n">
        <v>1.2</v>
      </c>
      <c r="H85" s="15" t="n">
        <v>2.92</v>
      </c>
      <c r="I85" s="15" t="n">
        <v>4.871349757691212</v>
      </c>
      <c r="J85" s="15" t="n">
        <v>49.38</v>
      </c>
      <c r="K85" s="37" t="n">
        <v>44.7</v>
      </c>
      <c r="L85" s="18" t="n">
        <v>0</v>
      </c>
      <c r="M85" s="19" t="n">
        <v>24.6</v>
      </c>
      <c r="N85" s="20" t="inlineStr">
        <is>
          <t>➡️ Neutral</t>
        </is>
      </c>
      <c r="O85" s="20" t="inlineStr">
        <is>
          <t>🔴 Not Qualified</t>
        </is>
      </c>
      <c r="P85" s="20" t="inlineStr">
        <is>
          <t>🔴 Avoid</t>
        </is>
      </c>
      <c r="Q85" s="83" t="inlineStr">
        <is>
          <t>FULL</t>
        </is>
      </c>
    </row>
    <row r="86" ht="16" customHeight="1">
      <c r="A86" s="28" t="n">
        <v>82</v>
      </c>
      <c r="B86" s="29" t="inlineStr">
        <is>
          <t>Bharat Bond FOF - April 2030 - Regular Plan - Growth Option</t>
        </is>
      </c>
      <c r="C86" s="29" t="inlineStr">
        <is>
          <t>Edelweiss Mutual Fund</t>
        </is>
      </c>
      <c r="D86" s="29" t="inlineStr">
        <is>
          <t>Standard Equity/Debt</t>
        </is>
      </c>
      <c r="E86" s="30" t="n">
        <v>0.48</v>
      </c>
      <c r="F86" s="30" t="n">
        <v>2.81</v>
      </c>
      <c r="G86" s="30" t="n">
        <v>2.61</v>
      </c>
      <c r="H86" s="30" t="n">
        <v>5.31</v>
      </c>
      <c r="I86" s="30" t="n">
        <v>7.63828315241748</v>
      </c>
      <c r="J86" s="30" t="n">
        <v>24.96</v>
      </c>
      <c r="K86" s="37" t="n">
        <v>44</v>
      </c>
      <c r="L86" s="18" t="n">
        <v>0</v>
      </c>
      <c r="M86" s="19" t="n">
        <v>24.2</v>
      </c>
      <c r="N86" s="31" t="inlineStr">
        <is>
          <t>➡️ Neutral</t>
        </is>
      </c>
      <c r="O86" s="31" t="inlineStr">
        <is>
          <t>🔴 Not Qualified</t>
        </is>
      </c>
      <c r="P86" s="31" t="inlineStr">
        <is>
          <t>🔴 Avoid</t>
        </is>
      </c>
      <c r="Q86" s="83" t="inlineStr">
        <is>
          <t>FULL</t>
        </is>
      </c>
    </row>
    <row r="87" ht="16" customHeight="1">
      <c r="A87" s="13" t="n">
        <v>83</v>
      </c>
      <c r="B87" s="14" t="inlineStr">
        <is>
          <t>Aditya Birla Sun Life Income Plus Arbitrage Active FOF- Regular Plan - Growth Option</t>
        </is>
      </c>
      <c r="C87" s="14" t="inlineStr">
        <is>
          <t>Aditya Birla Sun Life Mutual Fund</t>
        </is>
      </c>
      <c r="D87" s="14" t="inlineStr">
        <is>
          <t>Standard Equity/Debt</t>
        </is>
      </c>
      <c r="E87" s="15" t="n">
        <v>0.46</v>
      </c>
      <c r="F87" s="15" t="n">
        <v>2.11</v>
      </c>
      <c r="G87" s="15" t="n">
        <v>2.75</v>
      </c>
      <c r="H87" s="15" t="n">
        <v>5.37</v>
      </c>
      <c r="I87" s="15" t="n">
        <v>6.714572575632793</v>
      </c>
      <c r="J87" s="15" t="n">
        <v>22.55</v>
      </c>
      <c r="K87" s="37" t="n">
        <v>43.8</v>
      </c>
      <c r="L87" s="18" t="n">
        <v>0</v>
      </c>
      <c r="M87" s="19" t="n">
        <v>24.1</v>
      </c>
      <c r="N87" s="20" t="inlineStr">
        <is>
          <t>➡️ Neutral</t>
        </is>
      </c>
      <c r="O87" s="20" t="inlineStr">
        <is>
          <t>🔴 Not Qualified</t>
        </is>
      </c>
      <c r="P87" s="20" t="inlineStr">
        <is>
          <t>🔴 Avoid</t>
        </is>
      </c>
      <c r="Q87" s="83" t="inlineStr">
        <is>
          <t>FULL</t>
        </is>
      </c>
    </row>
    <row r="88" ht="16" customHeight="1">
      <c r="A88" s="92" t="n">
        <v>84</v>
      </c>
      <c r="B88" s="93" t="inlineStr">
        <is>
          <t>Tata Income Plus Arbitrage Active FOF - Regular Plan Growth Option</t>
        </is>
      </c>
      <c r="C88" s="93" t="inlineStr">
        <is>
          <t>Tata Mutual Fund</t>
        </is>
      </c>
      <c r="D88" s="93" t="inlineStr">
        <is>
          <t>Standard Equity/Debt</t>
        </is>
      </c>
      <c r="E88" s="94" t="n">
        <v>0.45</v>
      </c>
      <c r="F88" s="94" t="n">
        <v>2.19</v>
      </c>
      <c r="G88" s="94" t="n">
        <v>2.69</v>
      </c>
      <c r="H88" s="94" t="n">
        <v>5.37</v>
      </c>
      <c r="I88" s="94" t="n">
        <v>0</v>
      </c>
      <c r="J88" s="94" t="n">
        <v>0</v>
      </c>
      <c r="K88" s="37" t="n">
        <v>43.3</v>
      </c>
      <c r="L88" s="18" t="n">
        <v>0</v>
      </c>
      <c r="M88" s="19" t="n">
        <v>23.8</v>
      </c>
      <c r="N88" s="95" t="inlineStr">
        <is>
          <t>➡️ Neutral</t>
        </is>
      </c>
      <c r="O88" s="95" t="inlineStr">
        <is>
          <t>⏳ New Fund</t>
        </is>
      </c>
      <c r="P88" s="95" t="inlineStr">
        <is>
          <t>⏳ New Fund</t>
        </is>
      </c>
      <c r="Q88" s="96" t="inlineStr">
        <is>
          <t>MOMENTUM_ONLY</t>
        </is>
      </c>
    </row>
    <row r="89" ht="16" customHeight="1">
      <c r="A89" s="13" t="n">
        <v>85</v>
      </c>
      <c r="B89" s="14" t="inlineStr">
        <is>
          <t>ICICI Prudential Diversified Equity All Cap Omni FOF - Growth</t>
        </is>
      </c>
      <c r="C89" s="14" t="inlineStr">
        <is>
          <t>ICICI Prudential Mutual Fund</t>
        </is>
      </c>
      <c r="D89" s="14" t="inlineStr">
        <is>
          <t>Standard Equity/Debt</t>
        </is>
      </c>
      <c r="E89" s="15" t="n">
        <v>0.61</v>
      </c>
      <c r="F89" s="15" t="n">
        <v>6.26</v>
      </c>
      <c r="G89" s="15" t="n">
        <v>0.57</v>
      </c>
      <c r="H89" s="15" t="n">
        <v>5.09</v>
      </c>
      <c r="I89" s="15" t="n">
        <v>3.508453761033437</v>
      </c>
      <c r="J89" s="15" t="n">
        <v>58.38</v>
      </c>
      <c r="K89" s="37" t="n">
        <v>43.3</v>
      </c>
      <c r="L89" s="18" t="n">
        <v>0</v>
      </c>
      <c r="M89" s="19" t="n">
        <v>23.8</v>
      </c>
      <c r="N89" s="20" t="inlineStr">
        <is>
          <t>➡️ Neutral</t>
        </is>
      </c>
      <c r="O89" s="20" t="inlineStr">
        <is>
          <t>🔴 Not Qualified</t>
        </is>
      </c>
      <c r="P89" s="20" t="inlineStr">
        <is>
          <t>🔴 Avoid</t>
        </is>
      </c>
      <c r="Q89" s="83" t="inlineStr">
        <is>
          <t>FULL</t>
        </is>
      </c>
    </row>
    <row r="90" ht="16" customHeight="1">
      <c r="A90" s="92" t="n">
        <v>86</v>
      </c>
      <c r="B90" s="93" t="inlineStr">
        <is>
          <t>Axis Income Plus Arbitrage Passive FOF - Regular Plan - Growth Option</t>
        </is>
      </c>
      <c r="C90" s="93" t="inlineStr">
        <is>
          <t>Axis Mutual Fund</t>
        </is>
      </c>
      <c r="D90" s="93" t="inlineStr">
        <is>
          <t>Standard Equity/Debt</t>
        </is>
      </c>
      <c r="E90" s="94" t="n">
        <v>0.54</v>
      </c>
      <c r="F90" s="94" t="n">
        <v>1.82</v>
      </c>
      <c r="G90" s="94" t="n">
        <v>3.07</v>
      </c>
      <c r="H90" s="94" t="n">
        <v>0</v>
      </c>
      <c r="I90" s="94" t="n">
        <v>0</v>
      </c>
      <c r="J90" s="94" t="n">
        <v>0</v>
      </c>
      <c r="K90" s="37" t="n">
        <v>43.1</v>
      </c>
      <c r="L90" s="18" t="n">
        <v>0</v>
      </c>
      <c r="M90" s="19" t="n">
        <v>23.7</v>
      </c>
      <c r="N90" s="95" t="inlineStr">
        <is>
          <t>➡️ Neutral</t>
        </is>
      </c>
      <c r="O90" s="95" t="inlineStr">
        <is>
          <t>⏳ New Fund</t>
        </is>
      </c>
      <c r="P90" s="95" t="inlineStr">
        <is>
          <t>⏳ New Fund</t>
        </is>
      </c>
      <c r="Q90" s="96" t="inlineStr">
        <is>
          <t>MOMENTUM_ONLY</t>
        </is>
      </c>
    </row>
    <row r="91" ht="16" customHeight="1">
      <c r="A91" s="13" t="n">
        <v>87</v>
      </c>
      <c r="B91" s="14" t="inlineStr">
        <is>
          <t>Quantum Multi Asset Active FOF - Regular Plan Growth Option</t>
        </is>
      </c>
      <c r="C91" s="14" t="inlineStr">
        <is>
          <t>Quantum Mutual Fund</t>
        </is>
      </c>
      <c r="D91" s="14" t="inlineStr">
        <is>
          <t>Standard Equity/Debt</t>
        </is>
      </c>
      <c r="E91" s="15" t="n">
        <v>1.8</v>
      </c>
      <c r="F91" s="15" t="n">
        <v>2.13</v>
      </c>
      <c r="G91" s="16" t="n">
        <v>-0.52</v>
      </c>
      <c r="H91" s="15" t="n">
        <v>8.73</v>
      </c>
      <c r="I91" s="15" t="n">
        <v>8.853112036358436</v>
      </c>
      <c r="J91" s="15" t="n">
        <v>40.08</v>
      </c>
      <c r="K91" s="37" t="n">
        <v>43.1</v>
      </c>
      <c r="L91" s="18" t="n">
        <v>0</v>
      </c>
      <c r="M91" s="19" t="n">
        <v>23.7</v>
      </c>
      <c r="N91" s="20" t="inlineStr">
        <is>
          <t>➡️ Neutral</t>
        </is>
      </c>
      <c r="O91" s="20" t="inlineStr">
        <is>
          <t>🔴 Not Qualified</t>
        </is>
      </c>
      <c r="P91" s="20" t="inlineStr">
        <is>
          <t>🔴 Avoid</t>
        </is>
      </c>
      <c r="Q91" s="83" t="inlineStr">
        <is>
          <t>FULL</t>
        </is>
      </c>
    </row>
    <row r="92" ht="16" customHeight="1">
      <c r="A92" s="92" t="n">
        <v>88</v>
      </c>
      <c r="B92" s="93" t="inlineStr">
        <is>
          <t>Edelweiss Income Plus Arbitrage Active Fund of Funds - Regular-Growth</t>
        </is>
      </c>
      <c r="C92" s="93" t="inlineStr">
        <is>
          <t>Edelweiss Mutual Fund</t>
        </is>
      </c>
      <c r="D92" s="93" t="inlineStr">
        <is>
          <t>Standard Equity/Debt</t>
        </is>
      </c>
      <c r="E92" s="94" t="n">
        <v>0.46</v>
      </c>
      <c r="F92" s="94" t="n">
        <v>1.74</v>
      </c>
      <c r="G92" s="94" t="n">
        <v>2.71</v>
      </c>
      <c r="H92" s="94" t="n">
        <v>5.52</v>
      </c>
      <c r="I92" s="94" t="n">
        <v>0</v>
      </c>
      <c r="J92" s="94" t="n">
        <v>0</v>
      </c>
      <c r="K92" s="37" t="n">
        <v>42.6</v>
      </c>
      <c r="L92" s="18" t="n">
        <v>0</v>
      </c>
      <c r="M92" s="19" t="n">
        <v>23.4</v>
      </c>
      <c r="N92" s="95" t="inlineStr">
        <is>
          <t>➡️ Neutral</t>
        </is>
      </c>
      <c r="O92" s="95" t="inlineStr">
        <is>
          <t>⏳ New Fund</t>
        </is>
      </c>
      <c r="P92" s="95" t="inlineStr">
        <is>
          <t>⏳ New Fund</t>
        </is>
      </c>
      <c r="Q92" s="96" t="inlineStr">
        <is>
          <t>MOMENTUM_ONLY</t>
        </is>
      </c>
    </row>
    <row r="93" ht="16" customHeight="1">
      <c r="A93" s="13" t="n">
        <v>89</v>
      </c>
      <c r="B93" s="14" t="inlineStr">
        <is>
          <t>ICICI Prudential BSE 500 ETF FOF - Growth</t>
        </is>
      </c>
      <c r="C93" s="14" t="inlineStr">
        <is>
          <t>ICICI Prudential Mutual Fund</t>
        </is>
      </c>
      <c r="D93" s="14" t="inlineStr">
        <is>
          <t>Index Fund</t>
        </is>
      </c>
      <c r="E93" s="15" t="n">
        <v>1.51</v>
      </c>
      <c r="F93" s="15" t="n">
        <v>5.03</v>
      </c>
      <c r="G93" s="16" t="n">
        <v>-0.04</v>
      </c>
      <c r="H93" s="15" t="n">
        <v>3.8</v>
      </c>
      <c r="I93" s="15" t="n">
        <v>1.000000000000001</v>
      </c>
      <c r="J93" s="15" t="n">
        <v>39.18</v>
      </c>
      <c r="K93" s="37" t="n">
        <v>42.5</v>
      </c>
      <c r="L93" s="18" t="n">
        <v>0</v>
      </c>
      <c r="M93" s="19" t="n">
        <v>23.3</v>
      </c>
      <c r="N93" s="20" t="inlineStr">
        <is>
          <t>➡️ Neutral</t>
        </is>
      </c>
      <c r="O93" s="20" t="inlineStr">
        <is>
          <t>🔴 Not Qualified</t>
        </is>
      </c>
      <c r="P93" s="20" t="inlineStr">
        <is>
          <t>🔴 Avoid</t>
        </is>
      </c>
      <c r="Q93" s="83" t="inlineStr">
        <is>
          <t>FULL</t>
        </is>
      </c>
    </row>
    <row r="94" ht="16" customHeight="1">
      <c r="A94" s="92" t="n">
        <v>90</v>
      </c>
      <c r="B94" s="93" t="inlineStr">
        <is>
          <t>Bandhan Gold ETF FOF-Regular-Growth</t>
        </is>
      </c>
      <c r="C94" s="93" t="inlineStr">
        <is>
          <t>Bandhan Mutual Fund</t>
        </is>
      </c>
      <c r="D94" s="93" t="inlineStr">
        <is>
          <t>Gold</t>
        </is>
      </c>
      <c r="E94" s="94" t="n">
        <v>8.970000000000001</v>
      </c>
      <c r="F94" s="97" t="n">
        <v>-3.04</v>
      </c>
      <c r="G94" s="94" t="n">
        <v>0.83</v>
      </c>
      <c r="H94" s="94" t="n">
        <v>0</v>
      </c>
      <c r="I94" s="94" t="n">
        <v>0</v>
      </c>
      <c r="J94" s="94" t="n">
        <v>0</v>
      </c>
      <c r="K94" s="37" t="n">
        <v>41.2</v>
      </c>
      <c r="L94" s="18" t="n">
        <v>0</v>
      </c>
      <c r="M94" s="19" t="n">
        <v>22.7</v>
      </c>
      <c r="N94" s="95" t="inlineStr">
        <is>
          <t>➡️ Neutral</t>
        </is>
      </c>
      <c r="O94" s="95" t="inlineStr">
        <is>
          <t>⏳ New Fund</t>
        </is>
      </c>
      <c r="P94" s="95" t="inlineStr">
        <is>
          <t>⏳ New Fund</t>
        </is>
      </c>
      <c r="Q94" s="96" t="inlineStr">
        <is>
          <t>MOMENTUM_ONLY</t>
        </is>
      </c>
    </row>
    <row r="95" ht="16" customHeight="1">
      <c r="A95" s="13" t="n">
        <v>91</v>
      </c>
      <c r="B95" s="14" t="inlineStr">
        <is>
          <t>Quantum Diversified Equity All Cap Active FOF - Regular Plan Growth Option</t>
        </is>
      </c>
      <c r="C95" s="14" t="inlineStr">
        <is>
          <t>Quantum Mutual Fund</t>
        </is>
      </c>
      <c r="D95" s="14" t="inlineStr">
        <is>
          <t>Standard Equity/Debt</t>
        </is>
      </c>
      <c r="E95" s="15" t="n">
        <v>0.84</v>
      </c>
      <c r="F95" s="15" t="n">
        <v>6.22</v>
      </c>
      <c r="G95" s="16" t="n">
        <v>-0.55</v>
      </c>
      <c r="H95" s="15" t="n">
        <v>4.16</v>
      </c>
      <c r="I95" s="15" t="n">
        <v>2.391405889361642</v>
      </c>
      <c r="J95" s="15" t="n">
        <v>44.7</v>
      </c>
      <c r="K95" s="37" t="n">
        <v>40.5</v>
      </c>
      <c r="L95" s="18" t="n">
        <v>0</v>
      </c>
      <c r="M95" s="19" t="n">
        <v>22.3</v>
      </c>
      <c r="N95" s="20" t="inlineStr">
        <is>
          <t>➡️ Neutral</t>
        </is>
      </c>
      <c r="O95" s="20" t="inlineStr">
        <is>
          <t>🔴 Not Qualified</t>
        </is>
      </c>
      <c r="P95" s="20" t="inlineStr">
        <is>
          <t>🔴 Avoid</t>
        </is>
      </c>
      <c r="Q95" s="83" t="inlineStr">
        <is>
          <t>FULL</t>
        </is>
      </c>
    </row>
    <row r="96" ht="16" customHeight="1">
      <c r="A96" s="28" t="n">
        <v>92</v>
      </c>
      <c r="B96" s="29" t="inlineStr">
        <is>
          <t>Bandhan Multi-Asset Passive FOF - Regular Plan - Growth</t>
        </is>
      </c>
      <c r="C96" s="29" t="inlineStr">
        <is>
          <t>Bandhan Mutual Fund</t>
        </is>
      </c>
      <c r="D96" s="29" t="inlineStr">
        <is>
          <t>Standard Equity/Debt</t>
        </is>
      </c>
      <c r="E96" s="30" t="n">
        <v>3.14</v>
      </c>
      <c r="F96" s="30" t="n">
        <v>2.55</v>
      </c>
      <c r="G96" s="30" t="n">
        <v>0.29</v>
      </c>
      <c r="H96" s="30" t="n">
        <v>5.62</v>
      </c>
      <c r="I96" s="30" t="n">
        <v>5.237825899245929</v>
      </c>
      <c r="J96" s="30" t="n">
        <v>34.07</v>
      </c>
      <c r="K96" s="37" t="n">
        <v>40.3</v>
      </c>
      <c r="L96" s="18" t="n">
        <v>0</v>
      </c>
      <c r="M96" s="19" t="n">
        <v>22.1</v>
      </c>
      <c r="N96" s="31" t="inlineStr">
        <is>
          <t>➡️ Neutral</t>
        </is>
      </c>
      <c r="O96" s="31" t="inlineStr">
        <is>
          <t>🔴 Not Qualified</t>
        </is>
      </c>
      <c r="P96" s="31" t="inlineStr">
        <is>
          <t>🔴 Avoid</t>
        </is>
      </c>
      <c r="Q96" s="83" t="inlineStr">
        <is>
          <t>FULL</t>
        </is>
      </c>
    </row>
    <row r="97" ht="16" customHeight="1">
      <c r="A97" s="92" t="n">
        <v>93</v>
      </c>
      <c r="B97" s="93" t="inlineStr">
        <is>
          <t>THE WEALTH COMPANY GOLD ETF FOF REGULAR GROWTH</t>
        </is>
      </c>
      <c r="C97" s="93" t="inlineStr">
        <is>
          <t>The Wealth Company Mutual Fund</t>
        </is>
      </c>
      <c r="D97" s="93" t="inlineStr">
        <is>
          <t>Gold</t>
        </is>
      </c>
      <c r="E97" s="94" t="n">
        <v>8.59</v>
      </c>
      <c r="F97" s="97" t="n">
        <v>-3.22</v>
      </c>
      <c r="G97" s="94" t="n">
        <v>0.92</v>
      </c>
      <c r="H97" s="94" t="n">
        <v>0</v>
      </c>
      <c r="I97" s="94" t="n">
        <v>0</v>
      </c>
      <c r="J97" s="94" t="n">
        <v>0</v>
      </c>
      <c r="K97" s="37" t="n">
        <v>39</v>
      </c>
      <c r="L97" s="18" t="n">
        <v>0</v>
      </c>
      <c r="M97" s="19" t="n">
        <v>21.5</v>
      </c>
      <c r="N97" s="95" t="inlineStr">
        <is>
          <t>📉 Weak</t>
        </is>
      </c>
      <c r="O97" s="95" t="inlineStr">
        <is>
          <t>⏳ New Fund</t>
        </is>
      </c>
      <c r="P97" s="95" t="inlineStr">
        <is>
          <t>⏳ New Fund</t>
        </is>
      </c>
      <c r="Q97" s="96" t="inlineStr">
        <is>
          <t>MOMENTUM_ONLY</t>
        </is>
      </c>
    </row>
    <row r="98" ht="16" customHeight="1">
      <c r="A98" s="28" t="n">
        <v>94</v>
      </c>
      <c r="B98" s="29" t="inlineStr">
        <is>
          <t>Bandhan Conservative Hybrid Passive FOF - Regular Plan - Growth</t>
        </is>
      </c>
      <c r="C98" s="29" t="inlineStr">
        <is>
          <t>Bandhan Mutual Fund</t>
        </is>
      </c>
      <c r="D98" s="29" t="inlineStr">
        <is>
          <t>Standard Equity/Debt</t>
        </is>
      </c>
      <c r="E98" s="30" t="n">
        <v>0.77</v>
      </c>
      <c r="F98" s="30" t="n">
        <v>2.89</v>
      </c>
      <c r="G98" s="30" t="n">
        <v>0.88</v>
      </c>
      <c r="H98" s="30" t="n">
        <v>4.47</v>
      </c>
      <c r="I98" s="30" t="n">
        <v>5.180796726398684</v>
      </c>
      <c r="J98" s="30" t="n">
        <v>25.26</v>
      </c>
      <c r="K98" s="37" t="n">
        <v>37.9</v>
      </c>
      <c r="L98" s="18" t="n">
        <v>0</v>
      </c>
      <c r="M98" s="19" t="n">
        <v>20.8</v>
      </c>
      <c r="N98" s="31" t="inlineStr">
        <is>
          <t>📉 Weak</t>
        </is>
      </c>
      <c r="O98" s="31" t="inlineStr">
        <is>
          <t>🔴 Not Qualified</t>
        </is>
      </c>
      <c r="P98" s="31" t="inlineStr">
        <is>
          <t>🔴 Avoid</t>
        </is>
      </c>
      <c r="Q98" s="83" t="inlineStr">
        <is>
          <t>FULL</t>
        </is>
      </c>
    </row>
    <row r="99" ht="16" customHeight="1">
      <c r="A99" s="92" t="n">
        <v>95</v>
      </c>
      <c r="B99" s="93" t="inlineStr">
        <is>
          <t>Sundaram Income Plus Arbitrage Active FoF Fund-Regular-Growth</t>
        </is>
      </c>
      <c r="C99" s="93" t="inlineStr">
        <is>
          <t>Sundaram Mutual Fund</t>
        </is>
      </c>
      <c r="D99" s="93" t="inlineStr">
        <is>
          <t>Standard Equity/Debt</t>
        </is>
      </c>
      <c r="E99" s="94" t="n">
        <v>0.47</v>
      </c>
      <c r="F99" s="94" t="n">
        <v>1.87</v>
      </c>
      <c r="G99" s="94" t="n">
        <v>2.86</v>
      </c>
      <c r="H99" s="94" t="n">
        <v>0</v>
      </c>
      <c r="I99" s="94" t="n">
        <v>0</v>
      </c>
      <c r="J99" s="94" t="n">
        <v>0</v>
      </c>
      <c r="K99" s="37" t="n">
        <v>37.5</v>
      </c>
      <c r="L99" s="18" t="n">
        <v>0</v>
      </c>
      <c r="M99" s="19" t="n">
        <v>20.6</v>
      </c>
      <c r="N99" s="95" t="inlineStr">
        <is>
          <t>📉 Weak</t>
        </is>
      </c>
      <c r="O99" s="95" t="inlineStr">
        <is>
          <t>⏳ New Fund</t>
        </is>
      </c>
      <c r="P99" s="95" t="inlineStr">
        <is>
          <t>⏳ New Fund</t>
        </is>
      </c>
      <c r="Q99" s="96" t="inlineStr">
        <is>
          <t>MOMENTUM_ONLY</t>
        </is>
      </c>
    </row>
    <row r="100" ht="16" customHeight="1">
      <c r="A100" s="28" t="n">
        <v>96</v>
      </c>
      <c r="B100" s="29" t="inlineStr">
        <is>
          <t>Nippon India Diversified Equity Flexicap Passive FoF - Regular Plan - Growth Option</t>
        </is>
      </c>
      <c r="C100" s="29" t="inlineStr">
        <is>
          <t>Nippon India Mutual Fund</t>
        </is>
      </c>
      <c r="D100" s="29" t="inlineStr">
        <is>
          <t>Standard Equity/Debt</t>
        </is>
      </c>
      <c r="E100" s="30" t="n">
        <v>0.84</v>
      </c>
      <c r="F100" s="30" t="n">
        <v>4.6</v>
      </c>
      <c r="G100" s="91" t="n">
        <v>-0.6899999999999999</v>
      </c>
      <c r="H100" s="30" t="n">
        <v>2.85</v>
      </c>
      <c r="I100" s="30" t="n">
        <v>0.7174264961133714</v>
      </c>
      <c r="J100" s="30" t="n">
        <v>39.35</v>
      </c>
      <c r="K100" s="37" t="n">
        <v>36.6</v>
      </c>
      <c r="L100" s="18" t="n">
        <v>0</v>
      </c>
      <c r="M100" s="19" t="n">
        <v>20.1</v>
      </c>
      <c r="N100" s="31" t="inlineStr">
        <is>
          <t>📉 Weak</t>
        </is>
      </c>
      <c r="O100" s="31" t="inlineStr">
        <is>
          <t>🔴 Not Qualified</t>
        </is>
      </c>
      <c r="P100" s="31" t="inlineStr">
        <is>
          <t>🔴 Avoid</t>
        </is>
      </c>
      <c r="Q100" s="83" t="inlineStr">
        <is>
          <t>FULL</t>
        </is>
      </c>
    </row>
    <row r="101" ht="16" customHeight="1">
      <c r="A101" s="92" t="n">
        <v>97</v>
      </c>
      <c r="B101" s="93" t="inlineStr">
        <is>
          <t>Baroda BNP Paribas Gold ETF Fund of Funds Regular Growth</t>
        </is>
      </c>
      <c r="C101" s="93" t="inlineStr">
        <is>
          <t>Baroda BNP Paribas Mutual Fund</t>
        </is>
      </c>
      <c r="D101" s="93" t="inlineStr">
        <is>
          <t>Gold</t>
        </is>
      </c>
      <c r="E101" s="94" t="n">
        <v>8.539999999999999</v>
      </c>
      <c r="F101" s="97" t="n">
        <v>-3.52</v>
      </c>
      <c r="G101" s="94" t="n">
        <v>0.92</v>
      </c>
      <c r="H101" s="94" t="n">
        <v>0</v>
      </c>
      <c r="I101" s="94" t="n">
        <v>0</v>
      </c>
      <c r="J101" s="94" t="n">
        <v>0</v>
      </c>
      <c r="K101" s="37" t="n">
        <v>36.6</v>
      </c>
      <c r="L101" s="18" t="n">
        <v>0</v>
      </c>
      <c r="M101" s="19" t="n">
        <v>20.1</v>
      </c>
      <c r="N101" s="95" t="inlineStr">
        <is>
          <t>📉 Weak</t>
        </is>
      </c>
      <c r="O101" s="95" t="inlineStr">
        <is>
          <t>⏳ New Fund</t>
        </is>
      </c>
      <c r="P101" s="95" t="inlineStr">
        <is>
          <t>⏳ New Fund</t>
        </is>
      </c>
      <c r="Q101" s="96" t="inlineStr">
        <is>
          <t>MOMENTUM_ONLY</t>
        </is>
      </c>
    </row>
    <row r="102" ht="16" customHeight="1">
      <c r="A102" s="28" t="n">
        <v>98</v>
      </c>
      <c r="B102" s="29" t="inlineStr">
        <is>
          <t>Axis Multi Factor Passive FoF - Regular Plan - Growth Option</t>
        </is>
      </c>
      <c r="C102" s="29" t="inlineStr">
        <is>
          <t>Axis Mutual Fund</t>
        </is>
      </c>
      <c r="D102" s="29" t="inlineStr">
        <is>
          <t>Standard Equity/Debt</t>
        </is>
      </c>
      <c r="E102" s="30" t="n">
        <v>2.07</v>
      </c>
      <c r="F102" s="30" t="n">
        <v>2.09</v>
      </c>
      <c r="G102" s="91" t="n">
        <v>-1.71</v>
      </c>
      <c r="H102" s="30" t="n">
        <v>6.05</v>
      </c>
      <c r="I102" s="91" t="n">
        <v>-1.557123162719387</v>
      </c>
      <c r="J102" s="30" t="n">
        <v>34.64</v>
      </c>
      <c r="K102" s="37" t="n">
        <v>36.5</v>
      </c>
      <c r="L102" s="18" t="n">
        <v>0</v>
      </c>
      <c r="M102" s="19" t="n">
        <v>20.1</v>
      </c>
      <c r="N102" s="31" t="inlineStr">
        <is>
          <t>📉 Weak</t>
        </is>
      </c>
      <c r="O102" s="31" t="inlineStr">
        <is>
          <t>🔴 Not Qualified</t>
        </is>
      </c>
      <c r="P102" s="31" t="inlineStr">
        <is>
          <t>🔴 Avoid</t>
        </is>
      </c>
      <c r="Q102" s="83" t="inlineStr">
        <is>
          <t>FULL</t>
        </is>
      </c>
    </row>
    <row r="103" ht="16" customHeight="1">
      <c r="A103" s="13" t="n">
        <v>99</v>
      </c>
      <c r="B103" s="14" t="inlineStr">
        <is>
          <t>ICICI Prudential Multi Sector Passive FOF - Growth</t>
        </is>
      </c>
      <c r="C103" s="14" t="inlineStr">
        <is>
          <t>ICICI Prudential Mutual Fund</t>
        </is>
      </c>
      <c r="D103" s="14" t="inlineStr">
        <is>
          <t>Standard Equity/Debt</t>
        </is>
      </c>
      <c r="E103" s="16" t="n">
        <v>-0.04</v>
      </c>
      <c r="F103" s="15" t="n">
        <v>3.73</v>
      </c>
      <c r="G103" s="16" t="n">
        <v>-0.49</v>
      </c>
      <c r="H103" s="15" t="n">
        <v>6.62</v>
      </c>
      <c r="I103" s="15" t="n">
        <v>4.062481231229542</v>
      </c>
      <c r="J103" s="15" t="n">
        <v>48.02</v>
      </c>
      <c r="K103" s="37" t="n">
        <v>36</v>
      </c>
      <c r="L103" s="18" t="n">
        <v>0</v>
      </c>
      <c r="M103" s="19" t="n">
        <v>19.8</v>
      </c>
      <c r="N103" s="20" t="inlineStr">
        <is>
          <t>📉 Weak</t>
        </is>
      </c>
      <c r="O103" s="20" t="inlineStr">
        <is>
          <t>🔴 Not Qualified</t>
        </is>
      </c>
      <c r="P103" s="20" t="inlineStr">
        <is>
          <t>🔴 Avoid</t>
        </is>
      </c>
      <c r="Q103" s="83" t="inlineStr">
        <is>
          <t>FULL</t>
        </is>
      </c>
    </row>
    <row r="104" ht="16" customHeight="1">
      <c r="A104" s="28" t="n">
        <v>100</v>
      </c>
      <c r="B104" s="29" t="inlineStr">
        <is>
          <t>Franklin India Dynamic Asset Allocation Active Fund of Funds-Growth</t>
        </is>
      </c>
      <c r="C104" s="29" t="inlineStr">
        <is>
          <t>Franklin Templeton Mutual Fund</t>
        </is>
      </c>
      <c r="D104" s="29" t="inlineStr">
        <is>
          <t>Standard Equity/Debt</t>
        </is>
      </c>
      <c r="E104" s="30" t="n">
        <v>0.59</v>
      </c>
      <c r="F104" s="30" t="n">
        <v>4.06</v>
      </c>
      <c r="G104" s="30" t="n">
        <v>0.2</v>
      </c>
      <c r="H104" s="30" t="n">
        <v>2.64</v>
      </c>
      <c r="I104" s="30" t="n">
        <v>3.363436475380399</v>
      </c>
      <c r="J104" s="30" t="n">
        <v>33.47</v>
      </c>
      <c r="K104" s="37" t="n">
        <v>35.5</v>
      </c>
      <c r="L104" s="18" t="n">
        <v>0</v>
      </c>
      <c r="M104" s="19" t="n">
        <v>19.5</v>
      </c>
      <c r="N104" s="31" t="inlineStr">
        <is>
          <t>📉 Weak</t>
        </is>
      </c>
      <c r="O104" s="31" t="inlineStr">
        <is>
          <t>🔴 Not Qualified</t>
        </is>
      </c>
      <c r="P104" s="31" t="inlineStr">
        <is>
          <t>🔴 Avoid</t>
        </is>
      </c>
      <c r="Q104" s="83" t="inlineStr">
        <is>
          <t>FULL</t>
        </is>
      </c>
    </row>
    <row r="105" ht="16" customHeight="1">
      <c r="A105" s="92" t="n">
        <v>101</v>
      </c>
      <c r="B105" s="93" t="inlineStr">
        <is>
          <t>Axis Gold and Silver Passive FOF - Regular Plan - Growth</t>
        </is>
      </c>
      <c r="C105" s="93" t="inlineStr">
        <is>
          <t>Axis Mutual Fund</t>
        </is>
      </c>
      <c r="D105" s="93" t="inlineStr">
        <is>
          <t>Silver</t>
        </is>
      </c>
      <c r="E105" s="94" t="n">
        <v>8.699999999999999</v>
      </c>
      <c r="F105" s="97" t="n">
        <v>-7.37</v>
      </c>
      <c r="G105" s="94" t="n">
        <v>0.43</v>
      </c>
      <c r="H105" s="94" t="n">
        <v>0</v>
      </c>
      <c r="I105" s="94" t="n">
        <v>0</v>
      </c>
      <c r="J105" s="94" t="n">
        <v>0</v>
      </c>
      <c r="K105" s="37" t="n">
        <v>34.2</v>
      </c>
      <c r="L105" s="18" t="n">
        <v>0</v>
      </c>
      <c r="M105" s="19" t="n">
        <v>18.8</v>
      </c>
      <c r="N105" s="95" t="inlineStr">
        <is>
          <t>📉 Weak</t>
        </is>
      </c>
      <c r="O105" s="95" t="inlineStr">
        <is>
          <t>⏳ New Fund</t>
        </is>
      </c>
      <c r="P105" s="95" t="inlineStr">
        <is>
          <t>⏳ New Fund</t>
        </is>
      </c>
      <c r="Q105" s="96" t="inlineStr">
        <is>
          <t>MOMENTUM_ONLY</t>
        </is>
      </c>
    </row>
    <row r="106" ht="16" customHeight="1">
      <c r="A106" s="92" t="n">
        <v>102</v>
      </c>
      <c r="B106" s="93" t="inlineStr">
        <is>
          <t>Mirae Asset Gold Silver Passive FoF - Regular Plan - Growth</t>
        </is>
      </c>
      <c r="C106" s="93" t="inlineStr">
        <is>
          <t>Mirae Asset Mutual Fund</t>
        </is>
      </c>
      <c r="D106" s="93" t="inlineStr">
        <is>
          <t>Silver</t>
        </is>
      </c>
      <c r="E106" s="94" t="n">
        <v>8.73</v>
      </c>
      <c r="F106" s="97" t="n">
        <v>-7.22</v>
      </c>
      <c r="G106" s="97" t="n">
        <v>-0.17</v>
      </c>
      <c r="H106" s="94" t="n">
        <v>0</v>
      </c>
      <c r="I106" s="94" t="n">
        <v>0</v>
      </c>
      <c r="J106" s="94" t="n">
        <v>0</v>
      </c>
      <c r="K106" s="37" t="n">
        <v>32.7</v>
      </c>
      <c r="L106" s="18" t="n">
        <v>0</v>
      </c>
      <c r="M106" s="19" t="n">
        <v>18</v>
      </c>
      <c r="N106" s="95" t="inlineStr">
        <is>
          <t>📉 Weak</t>
        </is>
      </c>
      <c r="O106" s="95" t="inlineStr">
        <is>
          <t>⏳ New Fund</t>
        </is>
      </c>
      <c r="P106" s="95" t="inlineStr">
        <is>
          <t>⏳ New Fund</t>
        </is>
      </c>
      <c r="Q106" s="96" t="inlineStr">
        <is>
          <t>MOMENTUM_ONLY</t>
        </is>
      </c>
    </row>
    <row r="107" ht="16" customHeight="1">
      <c r="A107" s="92" t="n">
        <v>103</v>
      </c>
      <c r="B107" s="93" t="inlineStr">
        <is>
          <t>Edelweiss Silver ETF Fund of Fund - Regular Plan Growth Option</t>
        </is>
      </c>
      <c r="C107" s="93" t="inlineStr">
        <is>
          <t>Edelweiss Mutual Fund</t>
        </is>
      </c>
      <c r="D107" s="93" t="inlineStr">
        <is>
          <t>Silver</t>
        </is>
      </c>
      <c r="E107" s="94" t="n">
        <v>8.869999999999999</v>
      </c>
      <c r="F107" s="97" t="n">
        <v>-11.84</v>
      </c>
      <c r="G107" s="97" t="n">
        <v>-0.27</v>
      </c>
      <c r="H107" s="94" t="n">
        <v>0</v>
      </c>
      <c r="I107" s="94" t="n">
        <v>0</v>
      </c>
      <c r="J107" s="94" t="n">
        <v>0</v>
      </c>
      <c r="K107" s="37" t="n">
        <v>32.4</v>
      </c>
      <c r="L107" s="18" t="n">
        <v>0</v>
      </c>
      <c r="M107" s="19" t="n">
        <v>17.8</v>
      </c>
      <c r="N107" s="95" t="inlineStr">
        <is>
          <t>📉 Weak</t>
        </is>
      </c>
      <c r="O107" s="95" t="inlineStr">
        <is>
          <t>⏳ New Fund</t>
        </is>
      </c>
      <c r="P107" s="95" t="inlineStr">
        <is>
          <t>⏳ New Fund</t>
        </is>
      </c>
      <c r="Q107" s="96" t="inlineStr">
        <is>
          <t>MOMENTUM_ONLY</t>
        </is>
      </c>
    </row>
    <row r="108" ht="16" customHeight="1">
      <c r="A108" s="28" t="n">
        <v>104</v>
      </c>
      <c r="B108" s="29" t="inlineStr">
        <is>
          <t>Mirae Asset Diversified Equity Allocator Passive FOF - Regular Plan - Growth</t>
        </is>
      </c>
      <c r="C108" s="29" t="inlineStr">
        <is>
          <t>Mirae Asset Mutual Fund</t>
        </is>
      </c>
      <c r="D108" s="29" t="inlineStr">
        <is>
          <t>Standard Equity/Debt</t>
        </is>
      </c>
      <c r="E108" s="30" t="n">
        <v>0.8100000000000001</v>
      </c>
      <c r="F108" s="30" t="n">
        <v>4.25</v>
      </c>
      <c r="G108" s="91" t="n">
        <v>-1.36</v>
      </c>
      <c r="H108" s="30" t="n">
        <v>3.79</v>
      </c>
      <c r="I108" s="30" t="n">
        <v>1.405128075457807</v>
      </c>
      <c r="J108" s="30" t="n">
        <v>40.69</v>
      </c>
      <c r="K108" s="37" t="n">
        <v>32.2</v>
      </c>
      <c r="L108" s="18" t="n">
        <v>0</v>
      </c>
      <c r="M108" s="19" t="n">
        <v>17.7</v>
      </c>
      <c r="N108" s="31" t="inlineStr">
        <is>
          <t>📉 Weak</t>
        </is>
      </c>
      <c r="O108" s="31" t="inlineStr">
        <is>
          <t>🔴 Not Qualified</t>
        </is>
      </c>
      <c r="P108" s="31" t="inlineStr">
        <is>
          <t>🔴 Avoid</t>
        </is>
      </c>
      <c r="Q108" s="83" t="inlineStr">
        <is>
          <t>FULL</t>
        </is>
      </c>
    </row>
    <row r="109" ht="16" customHeight="1">
      <c r="A109" s="92" t="n">
        <v>105</v>
      </c>
      <c r="B109" s="93" t="inlineStr">
        <is>
          <t>Kotak Gold Silver Passive FOF - Regular Plan - Growth</t>
        </is>
      </c>
      <c r="C109" s="93" t="inlineStr">
        <is>
          <t>Kotak Mahindra Mutual Fund</t>
        </is>
      </c>
      <c r="D109" s="93" t="inlineStr">
        <is>
          <t>Silver</t>
        </is>
      </c>
      <c r="E109" s="94" t="n">
        <v>8.34</v>
      </c>
      <c r="F109" s="97" t="n">
        <v>-8.19</v>
      </c>
      <c r="G109" s="94" t="n">
        <v>0.29</v>
      </c>
      <c r="H109" s="94" t="n">
        <v>0</v>
      </c>
      <c r="I109" s="94" t="n">
        <v>0</v>
      </c>
      <c r="J109" s="94" t="n">
        <v>0</v>
      </c>
      <c r="K109" s="37" t="n">
        <v>32.1</v>
      </c>
      <c r="L109" s="18" t="n">
        <v>0</v>
      </c>
      <c r="M109" s="19" t="n">
        <v>17.7</v>
      </c>
      <c r="N109" s="95" t="inlineStr">
        <is>
          <t>📉 Weak</t>
        </is>
      </c>
      <c r="O109" s="95" t="inlineStr">
        <is>
          <t>⏳ New Fund</t>
        </is>
      </c>
      <c r="P109" s="95" t="inlineStr">
        <is>
          <t>⏳ New Fund</t>
        </is>
      </c>
      <c r="Q109" s="96" t="inlineStr">
        <is>
          <t>MOMENTUM_ONLY</t>
        </is>
      </c>
    </row>
    <row r="110" ht="16" customHeight="1">
      <c r="A110" s="92" t="n">
        <v>106</v>
      </c>
      <c r="B110" s="93" t="inlineStr">
        <is>
          <t>HDFC Diversified Equity All Cap Active FOF - Regular Plan - Growth Plan</t>
        </is>
      </c>
      <c r="C110" s="93" t="inlineStr">
        <is>
          <t>HDFC Mutual Fund</t>
        </is>
      </c>
      <c r="D110" s="93" t="inlineStr">
        <is>
          <t>Standard Equity/Debt</t>
        </is>
      </c>
      <c r="E110" s="94" t="n">
        <v>0.73</v>
      </c>
      <c r="F110" s="94" t="n">
        <v>5.94</v>
      </c>
      <c r="G110" s="97" t="n">
        <v>-0.74</v>
      </c>
      <c r="H110" s="94" t="n">
        <v>0</v>
      </c>
      <c r="I110" s="94" t="n">
        <v>0</v>
      </c>
      <c r="J110" s="94" t="n">
        <v>0</v>
      </c>
      <c r="K110" s="37" t="n">
        <v>31.9</v>
      </c>
      <c r="L110" s="18" t="n">
        <v>0</v>
      </c>
      <c r="M110" s="19" t="n">
        <v>17.6</v>
      </c>
      <c r="N110" s="95" t="inlineStr">
        <is>
          <t>📉 Weak</t>
        </is>
      </c>
      <c r="O110" s="95" t="inlineStr">
        <is>
          <t>⏳ New Fund</t>
        </is>
      </c>
      <c r="P110" s="95" t="inlineStr">
        <is>
          <t>⏳ New Fund</t>
        </is>
      </c>
      <c r="Q110" s="96" t="inlineStr">
        <is>
          <t>MOMENTUM_ONLY</t>
        </is>
      </c>
    </row>
    <row r="111" ht="16" customHeight="1">
      <c r="A111" s="13" t="n">
        <v>107</v>
      </c>
      <c r="B111" s="14" t="inlineStr">
        <is>
          <t>ICICI Prudential Nifty 100 Low Volatility 30 ETF FOF - Growth</t>
        </is>
      </c>
      <c r="C111" s="14" t="inlineStr">
        <is>
          <t>ICICI Prudential Mutual Fund</t>
        </is>
      </c>
      <c r="D111" s="14" t="inlineStr">
        <is>
          <t>Index Fund</t>
        </is>
      </c>
      <c r="E111" s="15" t="n">
        <v>1.08</v>
      </c>
      <c r="F111" s="15" t="n">
        <v>3.91</v>
      </c>
      <c r="G111" s="16" t="n">
        <v>-2.55</v>
      </c>
      <c r="H111" s="15" t="n">
        <v>1.7</v>
      </c>
      <c r="I111" s="15" t="n">
        <v>0.5832988124768068</v>
      </c>
      <c r="J111" s="15" t="n">
        <v>36.95</v>
      </c>
      <c r="K111" s="37" t="n">
        <v>31.3</v>
      </c>
      <c r="L111" s="18" t="n">
        <v>0</v>
      </c>
      <c r="M111" s="19" t="n">
        <v>17.2</v>
      </c>
      <c r="N111" s="20" t="inlineStr">
        <is>
          <t>📉 Weak</t>
        </is>
      </c>
      <c r="O111" s="20" t="inlineStr">
        <is>
          <t>🔴 Not Qualified</t>
        </is>
      </c>
      <c r="P111" s="20" t="inlineStr">
        <is>
          <t>🔴 Avoid</t>
        </is>
      </c>
      <c r="Q111" s="83" t="inlineStr">
        <is>
          <t>FULL</t>
        </is>
      </c>
    </row>
    <row r="112" ht="16" customHeight="1">
      <c r="A112" s="92" t="n">
        <v>108</v>
      </c>
      <c r="B112" s="93" t="inlineStr">
        <is>
          <t>Bandhan Silver ETF FOF-Regular-Growth</t>
        </is>
      </c>
      <c r="C112" s="93" t="inlineStr">
        <is>
          <t>Bandhan Mutual Fund</t>
        </is>
      </c>
      <c r="D112" s="93" t="inlineStr">
        <is>
          <t>Silver</t>
        </is>
      </c>
      <c r="E112" s="94" t="n">
        <v>8.01</v>
      </c>
      <c r="F112" s="97" t="n">
        <v>-12.28</v>
      </c>
      <c r="G112" s="97" t="n">
        <v>-1.28</v>
      </c>
      <c r="H112" s="94" t="n">
        <v>0</v>
      </c>
      <c r="I112" s="94" t="n">
        <v>0</v>
      </c>
      <c r="J112" s="94" t="n">
        <v>0</v>
      </c>
      <c r="K112" s="37" t="n">
        <v>24.4</v>
      </c>
      <c r="L112" s="18" t="n">
        <v>0</v>
      </c>
      <c r="M112" s="19" t="n">
        <v>13.4</v>
      </c>
      <c r="N112" s="95" t="inlineStr">
        <is>
          <t>📉 Weak</t>
        </is>
      </c>
      <c r="O112" s="95" t="inlineStr">
        <is>
          <t>⏳ New Fund</t>
        </is>
      </c>
      <c r="P112" s="95" t="inlineStr">
        <is>
          <t>⏳ New Fund</t>
        </is>
      </c>
      <c r="Q112" s="96" t="inlineStr">
        <is>
          <t>MOMENTUM_ONLY</t>
        </is>
      </c>
    </row>
    <row r="113" ht="16" customHeight="1">
      <c r="A113" s="13" t="n">
        <v>109</v>
      </c>
      <c r="B113" s="14" t="inlineStr">
        <is>
          <t>Quantum Nifty 50 ETF FOF - Regular Plan - Growth</t>
        </is>
      </c>
      <c r="C113" s="14" t="inlineStr">
        <is>
          <t>Quantum Mutual Fund</t>
        </is>
      </c>
      <c r="D113" s="14" t="inlineStr">
        <is>
          <t>Index Fund</t>
        </is>
      </c>
      <c r="E113" s="15" t="n">
        <v>0.26</v>
      </c>
      <c r="F113" s="15" t="n">
        <v>3.7</v>
      </c>
      <c r="G113" s="16" t="n">
        <v>-5.24</v>
      </c>
      <c r="H113" s="16" t="n">
        <v>-0.31</v>
      </c>
      <c r="I113" s="15" t="n">
        <v>0.4340579684003476</v>
      </c>
      <c r="J113" s="15" t="n">
        <v>29.15</v>
      </c>
      <c r="K113" s="37" t="n">
        <v>17.5</v>
      </c>
      <c r="L113" s="18" t="n">
        <v>0</v>
      </c>
      <c r="M113" s="19" t="n">
        <v>9.6</v>
      </c>
      <c r="N113" s="20" t="inlineStr">
        <is>
          <t>📉 Weak</t>
        </is>
      </c>
      <c r="O113" s="20" t="inlineStr">
        <is>
          <t>🔴 Not Qualified</t>
        </is>
      </c>
      <c r="P113" s="20" t="inlineStr">
        <is>
          <t>🔴 Avoid</t>
        </is>
      </c>
      <c r="Q113" s="83" t="inlineStr">
        <is>
          <t>FULL</t>
        </is>
      </c>
    </row>
    <row r="114" ht="16" customHeight="1">
      <c r="A114" s="28" t="n">
        <v>110</v>
      </c>
      <c r="B114" s="29" t="inlineStr">
        <is>
          <t>ICICI Prudential BHARAT 22 FOF - Cumulative Option</t>
        </is>
      </c>
      <c r="C114" s="29" t="inlineStr">
        <is>
          <t>ICICI Prudential Mutual Fund</t>
        </is>
      </c>
      <c r="D114" s="29" t="inlineStr">
        <is>
          <t>Standard Equity/Debt</t>
        </is>
      </c>
      <c r="E114" s="91" t="n">
        <v>-0.43</v>
      </c>
      <c r="F114" s="91" t="n">
        <v>-4</v>
      </c>
      <c r="G114" s="91" t="n">
        <v>-8.9</v>
      </c>
      <c r="H114" s="30" t="n">
        <v>6.92</v>
      </c>
      <c r="I114" s="91" t="n">
        <v>-0.3305463042964196</v>
      </c>
      <c r="J114" s="30" t="n">
        <v>66.03</v>
      </c>
      <c r="K114" s="37" t="n">
        <v>14.7</v>
      </c>
      <c r="L114" s="18" t="n">
        <v>0</v>
      </c>
      <c r="M114" s="19" t="n">
        <v>8.1</v>
      </c>
      <c r="N114" s="31" t="inlineStr">
        <is>
          <t>📉 Weak</t>
        </is>
      </c>
      <c r="O114" s="31" t="inlineStr">
        <is>
          <t>🔴 Not Qualified</t>
        </is>
      </c>
      <c r="P114" s="31" t="inlineStr">
        <is>
          <t>🔴 Avoid</t>
        </is>
      </c>
      <c r="Q114" s="83" t="inlineStr">
        <is>
          <t>FULL</t>
        </is>
      </c>
    </row>
    <row r="115" ht="16" customHeight="1">
      <c r="A115" s="98" t="n">
        <v>0</v>
      </c>
      <c r="B115" s="99" t="inlineStr">
        <is>
          <t>ICICI Prudential Multi-Asset Active FOF - Growth</t>
        </is>
      </c>
      <c r="C115" s="99" t="inlineStr">
        <is>
          <t>ICICI Prudential Mutual Fund</t>
        </is>
      </c>
      <c r="D115" s="99" t="inlineStr">
        <is>
          <t>Standard Equity/Debt</t>
        </is>
      </c>
      <c r="E115" s="100" t="n">
        <v>0</v>
      </c>
      <c r="F115" s="100" t="n">
        <v>0</v>
      </c>
      <c r="G115" s="100" t="n">
        <v>0</v>
      </c>
      <c r="H115" s="100" t="n">
        <v>0</v>
      </c>
      <c r="I115" s="100" t="n">
        <v>0</v>
      </c>
      <c r="J115" s="100" t="n">
        <v>0</v>
      </c>
      <c r="K115" s="37" t="n">
        <v>0</v>
      </c>
      <c r="L115" s="18" t="n">
        <v>0</v>
      </c>
      <c r="M115" s="19" t="n">
        <v>0</v>
      </c>
      <c r="N115" s="101" t="inlineStr">
        <is>
          <t>❌ N/A</t>
        </is>
      </c>
      <c r="O115" s="101" t="inlineStr">
        <is>
          <t>❌ N/A</t>
        </is>
      </c>
      <c r="P115" s="101" t="inlineStr">
        <is>
          <t>❌ Missing Data</t>
        </is>
      </c>
      <c r="Q115" s="102" t="inlineStr">
        <is>
          <t>MISSING</t>
        </is>
      </c>
    </row>
    <row r="116" ht="16" customHeight="1">
      <c r="A116" s="98" t="n">
        <v>0</v>
      </c>
      <c r="B116" s="99" t="inlineStr">
        <is>
          <t>Edelweiss Gold ETF Fund of Fund Regular Plan Growth Option</t>
        </is>
      </c>
      <c r="C116" s="99" t="inlineStr">
        <is>
          <t>Edelweiss Mutual Fund</t>
        </is>
      </c>
      <c r="D116" s="99" t="inlineStr">
        <is>
          <t>Gold</t>
        </is>
      </c>
      <c r="E116" s="100" t="n">
        <v>9</v>
      </c>
      <c r="F116" s="103" t="n">
        <v>-3.32</v>
      </c>
      <c r="G116" s="100" t="n">
        <v>0</v>
      </c>
      <c r="H116" s="100" t="n">
        <v>0</v>
      </c>
      <c r="I116" s="100" t="n">
        <v>0</v>
      </c>
      <c r="J116" s="100" t="n">
        <v>0</v>
      </c>
      <c r="K116" s="37" t="n">
        <v>0</v>
      </c>
      <c r="L116" s="18" t="n">
        <v>0</v>
      </c>
      <c r="M116" s="19" t="n">
        <v>0</v>
      </c>
      <c r="N116" s="101" t="inlineStr">
        <is>
          <t>❌ N/A</t>
        </is>
      </c>
      <c r="O116" s="101" t="inlineStr">
        <is>
          <t>❌ N/A</t>
        </is>
      </c>
      <c r="P116" s="101" t="inlineStr">
        <is>
          <t>❌ Missing Data</t>
        </is>
      </c>
      <c r="Q116" s="102" t="inlineStr">
        <is>
          <t>MISSING</t>
        </is>
      </c>
    </row>
    <row r="117" ht="16" customHeight="1">
      <c r="A117" s="98" t="n">
        <v>0</v>
      </c>
      <c r="B117" s="99" t="inlineStr">
        <is>
          <t>DSP Multi Asset Omni Fund of Funds - Regular - Growth</t>
        </is>
      </c>
      <c r="C117" s="99" t="inlineStr">
        <is>
          <t>DSP Mutual Fund</t>
        </is>
      </c>
      <c r="D117" s="99" t="inlineStr">
        <is>
          <t>Standard Equity/Debt</t>
        </is>
      </c>
      <c r="E117" s="100" t="n">
        <v>1.76</v>
      </c>
      <c r="F117" s="100" t="n">
        <v>3.6</v>
      </c>
      <c r="G117" s="100" t="n">
        <v>0</v>
      </c>
      <c r="H117" s="100" t="n">
        <v>0</v>
      </c>
      <c r="I117" s="100" t="n">
        <v>0</v>
      </c>
      <c r="J117" s="100" t="n">
        <v>0</v>
      </c>
      <c r="K117" s="37" t="n">
        <v>0</v>
      </c>
      <c r="L117" s="18" t="n">
        <v>0</v>
      </c>
      <c r="M117" s="19" t="n">
        <v>0</v>
      </c>
      <c r="N117" s="101" t="inlineStr">
        <is>
          <t>❌ N/A</t>
        </is>
      </c>
      <c r="O117" s="101" t="inlineStr">
        <is>
          <t>❌ N/A</t>
        </is>
      </c>
      <c r="P117" s="101" t="inlineStr">
        <is>
          <t>❌ Missing Data</t>
        </is>
      </c>
      <c r="Q117" s="102" t="inlineStr">
        <is>
          <t>MISSING</t>
        </is>
      </c>
    </row>
    <row r="118" ht="16" customHeight="1">
      <c r="A118" s="98" t="n">
        <v>0</v>
      </c>
      <c r="B118" s="99" t="inlineStr">
        <is>
          <t>HDFC INCOME PLUS ARBITRAGE OMNI FOF - GROWTH OPTION -REGULAR PLAN</t>
        </is>
      </c>
      <c r="C118" s="99" t="inlineStr">
        <is>
          <t>HDFC Mutual Fund</t>
        </is>
      </c>
      <c r="D118" s="99" t="inlineStr">
        <is>
          <t>Standard Equity/Debt</t>
        </is>
      </c>
      <c r="E118" s="100" t="n">
        <v>0.72</v>
      </c>
      <c r="F118" s="100" t="n">
        <v>2.72</v>
      </c>
      <c r="G118" s="100" t="n">
        <v>0</v>
      </c>
      <c r="H118" s="100" t="n">
        <v>0</v>
      </c>
      <c r="I118" s="100" t="n">
        <v>0</v>
      </c>
      <c r="J118" s="100" t="n">
        <v>0</v>
      </c>
      <c r="K118" s="37" t="n">
        <v>0</v>
      </c>
      <c r="L118" s="18" t="n">
        <v>0</v>
      </c>
      <c r="M118" s="19" t="n">
        <v>0</v>
      </c>
      <c r="N118" s="101" t="inlineStr">
        <is>
          <t>❌ N/A</t>
        </is>
      </c>
      <c r="O118" s="101" t="inlineStr">
        <is>
          <t>❌ N/A</t>
        </is>
      </c>
      <c r="P118" s="101" t="inlineStr">
        <is>
          <t>❌ Missing Data</t>
        </is>
      </c>
      <c r="Q118" s="102" t="inlineStr">
        <is>
          <t>MISSING</t>
        </is>
      </c>
    </row>
    <row r="119" ht="16" customHeight="1">
      <c r="A119" s="98" t="n">
        <v>0</v>
      </c>
      <c r="B119" s="99" t="inlineStr">
        <is>
          <t>Motilal Oswal Multi Factor Passive Fund of Funds - Regular</t>
        </is>
      </c>
      <c r="C119" s="99" t="inlineStr">
        <is>
          <t>Motilal Oswal Mutual Fund</t>
        </is>
      </c>
      <c r="D119" s="99" t="inlineStr">
        <is>
          <t>Standard Equity/Debt</t>
        </is>
      </c>
      <c r="E119" s="100" t="n">
        <v>1.02</v>
      </c>
      <c r="F119" s="100" t="n">
        <v>1.43</v>
      </c>
      <c r="G119" s="100" t="n">
        <v>0</v>
      </c>
      <c r="H119" s="100" t="n">
        <v>0</v>
      </c>
      <c r="I119" s="100" t="n">
        <v>0</v>
      </c>
      <c r="J119" s="100" t="n">
        <v>0</v>
      </c>
      <c r="K119" s="37" t="n">
        <v>0</v>
      </c>
      <c r="L119" s="18" t="n">
        <v>0</v>
      </c>
      <c r="M119" s="19" t="n">
        <v>0</v>
      </c>
      <c r="N119" s="101" t="inlineStr">
        <is>
          <t>❌ N/A</t>
        </is>
      </c>
      <c r="O119" s="101" t="inlineStr">
        <is>
          <t>❌ N/A</t>
        </is>
      </c>
      <c r="P119" s="101" t="inlineStr">
        <is>
          <t>❌ Missing Data</t>
        </is>
      </c>
      <c r="Q119" s="102" t="inlineStr">
        <is>
          <t>MISSING</t>
        </is>
      </c>
    </row>
    <row r="120" ht="16" customHeight="1">
      <c r="A120" s="98" t="n">
        <v>0</v>
      </c>
      <c r="B120" s="99" t="inlineStr">
        <is>
          <t>ANGEL ONE SILVER ETF FOF -REGULAR GROWTH</t>
        </is>
      </c>
      <c r="C120" s="99" t="inlineStr">
        <is>
          <t>Angel One Mutual Fund</t>
        </is>
      </c>
      <c r="D120" s="99" t="inlineStr">
        <is>
          <t>Silver</t>
        </is>
      </c>
      <c r="E120" s="100" t="n">
        <v>7.93</v>
      </c>
      <c r="F120" s="103" t="n">
        <v>-12.7</v>
      </c>
      <c r="G120" s="100" t="n">
        <v>0</v>
      </c>
      <c r="H120" s="100" t="n">
        <v>0</v>
      </c>
      <c r="I120" s="100" t="n">
        <v>0</v>
      </c>
      <c r="J120" s="100" t="n">
        <v>0</v>
      </c>
      <c r="K120" s="37" t="n">
        <v>0</v>
      </c>
      <c r="L120" s="18" t="n">
        <v>0</v>
      </c>
      <c r="M120" s="19" t="n">
        <v>0</v>
      </c>
      <c r="N120" s="101" t="inlineStr">
        <is>
          <t>❌ N/A</t>
        </is>
      </c>
      <c r="O120" s="101" t="inlineStr">
        <is>
          <t>❌ N/A</t>
        </is>
      </c>
      <c r="P120" s="101" t="inlineStr">
        <is>
          <t>❌ Missing Data</t>
        </is>
      </c>
      <c r="Q120" s="102" t="inlineStr">
        <is>
          <t>MISSING</t>
        </is>
      </c>
    </row>
    <row r="121" ht="16" customHeight="1">
      <c r="A121" s="98" t="n">
        <v>0</v>
      </c>
      <c r="B121" s="99" t="inlineStr">
        <is>
          <t>Mirae Asset Nifty Metal ETF FOF - Regular Plan - Growth</t>
        </is>
      </c>
      <c r="C121" s="99" t="inlineStr">
        <is>
          <t>Mirae Asset Mutual Fund</t>
        </is>
      </c>
      <c r="D121" s="99" t="inlineStr">
        <is>
          <t>Commodities</t>
        </is>
      </c>
      <c r="E121" s="100" t="n">
        <v>4.95</v>
      </c>
      <c r="F121" s="103" t="n">
        <v>-1.04</v>
      </c>
      <c r="G121" s="100" t="n">
        <v>0</v>
      </c>
      <c r="H121" s="100" t="n">
        <v>0</v>
      </c>
      <c r="I121" s="100" t="n">
        <v>0</v>
      </c>
      <c r="J121" s="100" t="n">
        <v>0</v>
      </c>
      <c r="K121" s="37" t="n">
        <v>0</v>
      </c>
      <c r="L121" s="18" t="n">
        <v>0</v>
      </c>
      <c r="M121" s="19" t="n">
        <v>0</v>
      </c>
      <c r="N121" s="101" t="inlineStr">
        <is>
          <t>❌ N/A</t>
        </is>
      </c>
      <c r="O121" s="101" t="inlineStr">
        <is>
          <t>❌ N/A</t>
        </is>
      </c>
      <c r="P121" s="101" t="inlineStr">
        <is>
          <t>❌ Missing Data</t>
        </is>
      </c>
      <c r="Q121" s="102" t="inlineStr">
        <is>
          <t>MISSING</t>
        </is>
      </c>
    </row>
    <row r="122" ht="16" customHeight="1">
      <c r="A122" s="98" t="n">
        <v>0</v>
      </c>
      <c r="B122" s="99" t="inlineStr">
        <is>
          <t>Kotak Multi Factor Passive FOF - Regular- Growth</t>
        </is>
      </c>
      <c r="C122" s="99" t="inlineStr">
        <is>
          <t>Kotak Mahindra Mutual Fund</t>
        </is>
      </c>
      <c r="D122" s="99" t="inlineStr">
        <is>
          <t>Standard Equity/Debt</t>
        </is>
      </c>
      <c r="E122" s="100" t="n">
        <v>1.03</v>
      </c>
      <c r="F122" s="100" t="n">
        <v>3.16</v>
      </c>
      <c r="G122" s="100" t="n">
        <v>0</v>
      </c>
      <c r="H122" s="100" t="n">
        <v>0</v>
      </c>
      <c r="I122" s="100" t="n">
        <v>0</v>
      </c>
      <c r="J122" s="100" t="n">
        <v>0</v>
      </c>
      <c r="K122" s="37" t="n">
        <v>0</v>
      </c>
      <c r="L122" s="18" t="n">
        <v>0</v>
      </c>
      <c r="M122" s="19" t="n">
        <v>0</v>
      </c>
      <c r="N122" s="101" t="inlineStr">
        <is>
          <t>❌ N/A</t>
        </is>
      </c>
      <c r="O122" s="101" t="inlineStr">
        <is>
          <t>❌ N/A</t>
        </is>
      </c>
      <c r="P122" s="101" t="inlineStr">
        <is>
          <t>❌ Missing Data</t>
        </is>
      </c>
      <c r="Q122" s="102" t="inlineStr">
        <is>
          <t>MISSING</t>
        </is>
      </c>
    </row>
    <row r="123" ht="16" customHeight="1">
      <c r="A123" s="98" t="n">
        <v>0</v>
      </c>
      <c r="B123" s="99" t="inlineStr">
        <is>
          <t>ICICI Prudential Diversified Equity All Cap Active FOF - Growth</t>
        </is>
      </c>
      <c r="C123" s="99" t="inlineStr">
        <is>
          <t>ICICI Prudential Mutual Fund</t>
        </is>
      </c>
      <c r="D123" s="99" t="inlineStr">
        <is>
          <t>Standard Equity/Debt</t>
        </is>
      </c>
      <c r="E123" s="100" t="n">
        <v>1.51</v>
      </c>
      <c r="F123" s="100" t="n">
        <v>5.46</v>
      </c>
      <c r="G123" s="100" t="n">
        <v>0</v>
      </c>
      <c r="H123" s="100" t="n">
        <v>0</v>
      </c>
      <c r="I123" s="100" t="n">
        <v>0</v>
      </c>
      <c r="J123" s="100" t="n">
        <v>0</v>
      </c>
      <c r="K123" s="37" t="n">
        <v>0</v>
      </c>
      <c r="L123" s="18" t="n">
        <v>0</v>
      </c>
      <c r="M123" s="19" t="n">
        <v>0</v>
      </c>
      <c r="N123" s="101" t="inlineStr">
        <is>
          <t>❌ N/A</t>
        </is>
      </c>
      <c r="O123" s="101" t="inlineStr">
        <is>
          <t>❌ N/A</t>
        </is>
      </c>
      <c r="P123" s="101" t="inlineStr">
        <is>
          <t>❌ Missing Data</t>
        </is>
      </c>
      <c r="Q123" s="102" t="inlineStr">
        <is>
          <t>MISSING</t>
        </is>
      </c>
    </row>
    <row r="124" ht="16" customHeight="1">
      <c r="A124" s="98" t="n">
        <v>0</v>
      </c>
      <c r="B124" s="99" t="inlineStr">
        <is>
          <t>Mirae Asset Silver ETF FOF - Regular Plan - Growth</t>
        </is>
      </c>
      <c r="C124" s="99" t="inlineStr">
        <is>
          <t>Mirae Asset Mutual Fund</t>
        </is>
      </c>
      <c r="D124" s="99" t="inlineStr">
        <is>
          <t>Silver</t>
        </is>
      </c>
      <c r="E124" s="100" t="n">
        <v>8.300000000000001</v>
      </c>
      <c r="F124" s="103" t="n">
        <v>-12.6</v>
      </c>
      <c r="G124" s="100" t="n">
        <v>0</v>
      </c>
      <c r="H124" s="100" t="n">
        <v>0</v>
      </c>
      <c r="I124" s="100" t="n">
        <v>0</v>
      </c>
      <c r="J124" s="100" t="n">
        <v>0</v>
      </c>
      <c r="K124" s="37" t="n">
        <v>0</v>
      </c>
      <c r="L124" s="18" t="n">
        <v>0</v>
      </c>
      <c r="M124" s="19" t="n">
        <v>0</v>
      </c>
      <c r="N124" s="101" t="inlineStr">
        <is>
          <t>❌ N/A</t>
        </is>
      </c>
      <c r="O124" s="101" t="inlineStr">
        <is>
          <t>❌ N/A</t>
        </is>
      </c>
      <c r="P124" s="101" t="inlineStr">
        <is>
          <t>❌ Missing Data</t>
        </is>
      </c>
      <c r="Q124" s="102" t="inlineStr">
        <is>
          <t>MISSING</t>
        </is>
      </c>
    </row>
    <row r="125" ht="16" customHeight="1">
      <c r="A125" s="98" t="n">
        <v>0</v>
      </c>
      <c r="B125" s="99" t="inlineStr">
        <is>
          <t>Mirae Asset BSE India Defence ETF FOF - Regular Plan - Growth</t>
        </is>
      </c>
      <c r="C125" s="99" t="inlineStr">
        <is>
          <t>Mirae Asset Mutual Fund</t>
        </is>
      </c>
      <c r="D125" s="99" t="inlineStr">
        <is>
          <t>Index Fund</t>
        </is>
      </c>
      <c r="E125" s="100" t="n">
        <v>7.14</v>
      </c>
      <c r="F125" s="100" t="n">
        <v>12.82</v>
      </c>
      <c r="G125" s="100" t="n">
        <v>0</v>
      </c>
      <c r="H125" s="100" t="n">
        <v>0</v>
      </c>
      <c r="I125" s="100" t="n">
        <v>0</v>
      </c>
      <c r="J125" s="100" t="n">
        <v>0</v>
      </c>
      <c r="K125" s="37" t="n">
        <v>0</v>
      </c>
      <c r="L125" s="18" t="n">
        <v>0</v>
      </c>
      <c r="M125" s="19" t="n">
        <v>0</v>
      </c>
      <c r="N125" s="101" t="inlineStr">
        <is>
          <t>❌ N/A</t>
        </is>
      </c>
      <c r="O125" s="101" t="inlineStr">
        <is>
          <t>❌ N/A</t>
        </is>
      </c>
      <c r="P125" s="101" t="inlineStr">
        <is>
          <t>❌ Missing Data</t>
        </is>
      </c>
      <c r="Q125" s="102" t="inlineStr">
        <is>
          <t>MISSING</t>
        </is>
      </c>
    </row>
  </sheetData>
  <autoFilter ref="A4:Q125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4" t="inlineStr">
        <is>
          <t>✦  FOF OVERSEAS  ✦</t>
        </is>
      </c>
    </row>
    <row r="2" ht="16" customHeight="1">
      <c r="A2" s="2">
        <f>"Dual Engine: 55% Momentum + 45% Quality | ✅ Full: "&amp;COUNTIF(Q5:Q50,"FULL")&amp;" | ⚠️ Momentum: "&amp;COUNTIF(Q5:Q50,"MOMENTUM_ONLY")&amp;" | ❌ Missing: "&amp;COUNTIF(Q5:Q50,"MISSING")&amp;" | Total: "&amp;COUNTA(B5:B50)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9" t="n">
        <v>1</v>
      </c>
      <c r="B5" s="80" t="inlineStr">
        <is>
          <t>Mirae Asset Global X Artificial Intelligence &amp; Technology ETF Fund of Fund - Regular Plan - Growth</t>
        </is>
      </c>
      <c r="C5" s="80" t="inlineStr">
        <is>
          <t>Mirae Asset Mutual Fund</t>
        </is>
      </c>
      <c r="D5" s="80" t="inlineStr">
        <is>
          <t>International</t>
        </is>
      </c>
      <c r="E5" s="81" t="n">
        <v>8.140000000000001</v>
      </c>
      <c r="F5" s="81" t="n">
        <v>5.08</v>
      </c>
      <c r="G5" s="81" t="n">
        <v>35.91</v>
      </c>
      <c r="H5" s="81" t="n">
        <v>54.1</v>
      </c>
      <c r="I5" s="81" t="n">
        <v>43.44336861632885</v>
      </c>
      <c r="J5" s="81" t="n">
        <v>171.88</v>
      </c>
      <c r="K5" s="24" t="n">
        <v>91.40000000000001</v>
      </c>
      <c r="L5" s="25" t="n">
        <v>93.3</v>
      </c>
      <c r="M5" s="26" t="n">
        <v>92.2</v>
      </c>
      <c r="N5" s="41" t="inlineStr">
        <is>
          <t>🔥 Hot</t>
        </is>
      </c>
      <c r="O5" s="41" t="inlineStr">
        <is>
          <t>🏆 Elite</t>
        </is>
      </c>
      <c r="P5" s="41" t="inlineStr">
        <is>
          <t>⭐ Strong Buy</t>
        </is>
      </c>
      <c r="Q5" s="83" t="inlineStr">
        <is>
          <t>FULL</t>
        </is>
      </c>
    </row>
    <row r="6" ht="16" customHeight="1">
      <c r="A6" s="84" t="n">
        <v>2</v>
      </c>
      <c r="B6" s="85" t="inlineStr">
        <is>
          <t>ICICI Prudential Strategic Metal and Energy Equity Fund of Fund - Growth</t>
        </is>
      </c>
      <c r="C6" s="85" t="inlineStr">
        <is>
          <t>ICICI Prudential Mutual Fund</t>
        </is>
      </c>
      <c r="D6" s="85" t="inlineStr">
        <is>
          <t>Commodities</t>
        </is>
      </c>
      <c r="E6" s="86" t="n">
        <v>13.94</v>
      </c>
      <c r="F6" s="86" t="n">
        <v>4.49</v>
      </c>
      <c r="G6" s="86" t="n">
        <v>14.37</v>
      </c>
      <c r="H6" s="86" t="n">
        <v>74.53</v>
      </c>
      <c r="I6" s="86" t="n">
        <v>45.14131045295133</v>
      </c>
      <c r="J6" s="86" t="n">
        <v>145.47</v>
      </c>
      <c r="K6" s="24" t="n">
        <v>80.2</v>
      </c>
      <c r="L6" s="25" t="n">
        <v>94.90000000000001</v>
      </c>
      <c r="M6" s="26" t="n">
        <v>86.8</v>
      </c>
      <c r="N6" s="27" t="inlineStr">
        <is>
          <t>⭐ Strong</t>
        </is>
      </c>
      <c r="O6" s="27" t="inlineStr">
        <is>
          <t>🏆 Elite</t>
        </is>
      </c>
      <c r="P6" s="27" t="inlineStr">
        <is>
          <t>⭐ Strong Buy</t>
        </is>
      </c>
      <c r="Q6" s="83" t="inlineStr">
        <is>
          <t>FULL</t>
        </is>
      </c>
    </row>
    <row r="7" ht="16" customHeight="1">
      <c r="A7" s="87" t="n">
        <v>3</v>
      </c>
      <c r="B7" s="88" t="inlineStr">
        <is>
          <t>DSP World Mining Overseas Equity Omni FoF - Regular Plan - Growth</t>
        </is>
      </c>
      <c r="C7" s="88" t="inlineStr">
        <is>
          <t>DSP Mutual Fund</t>
        </is>
      </c>
      <c r="D7" s="88" t="inlineStr">
        <is>
          <t>International</t>
        </is>
      </c>
      <c r="E7" s="89" t="n">
        <v>15.47</v>
      </c>
      <c r="F7" s="89" t="n">
        <v>4.8</v>
      </c>
      <c r="G7" s="89" t="n">
        <v>4.85</v>
      </c>
      <c r="H7" s="89" t="n">
        <v>77.44</v>
      </c>
      <c r="I7" s="89" t="n">
        <v>45.65026604850402</v>
      </c>
      <c r="J7" s="89" t="n">
        <v>124.33</v>
      </c>
      <c r="K7" s="17" t="n">
        <v>71.5</v>
      </c>
      <c r="L7" s="25" t="n">
        <v>91.2</v>
      </c>
      <c r="M7" s="26" t="n">
        <v>80.3</v>
      </c>
      <c r="N7" s="36" t="inlineStr">
        <is>
          <t>📈 Good</t>
        </is>
      </c>
      <c r="O7" s="36" t="inlineStr">
        <is>
          <t>🏆 Elite</t>
        </is>
      </c>
      <c r="P7" s="36" t="inlineStr">
        <is>
          <t>⭐ Strong Buy</t>
        </is>
      </c>
      <c r="Q7" s="83" t="inlineStr">
        <is>
          <t>FULL</t>
        </is>
      </c>
    </row>
    <row r="8" ht="16" customHeight="1">
      <c r="A8" s="28" t="n">
        <v>4</v>
      </c>
      <c r="B8" s="29" t="inlineStr">
        <is>
          <t>DSP World Gold Mining Overseas Equity Omni FoF - Regular Plan - Growth</t>
        </is>
      </c>
      <c r="C8" s="29" t="inlineStr">
        <is>
          <t>DSP Mutual Fund</t>
        </is>
      </c>
      <c r="D8" s="29" t="inlineStr">
        <is>
          <t>Gold</t>
        </is>
      </c>
      <c r="E8" s="30" t="n">
        <v>26.45</v>
      </c>
      <c r="F8" s="30" t="n">
        <v>6.81</v>
      </c>
      <c r="G8" s="91" t="n">
        <v>-4.09</v>
      </c>
      <c r="H8" s="30" t="n">
        <v>77.12</v>
      </c>
      <c r="I8" s="30" t="n">
        <v>68.1279274838062</v>
      </c>
      <c r="J8" s="30" t="n">
        <v>287.35</v>
      </c>
      <c r="K8" s="17" t="n">
        <v>64.2</v>
      </c>
      <c r="L8" s="25" t="n">
        <v>99.40000000000001</v>
      </c>
      <c r="M8" s="26" t="n">
        <v>80</v>
      </c>
      <c r="N8" s="31" t="inlineStr">
        <is>
          <t>📈 Good</t>
        </is>
      </c>
      <c r="O8" s="31" t="inlineStr">
        <is>
          <t>🏆 Elite</t>
        </is>
      </c>
      <c r="P8" s="31" t="inlineStr">
        <is>
          <t>⭐ Strong Buy</t>
        </is>
      </c>
      <c r="Q8" s="83" t="inlineStr">
        <is>
          <t>FULL</t>
        </is>
      </c>
    </row>
    <row r="9" ht="16" customHeight="1">
      <c r="A9" s="13" t="n">
        <v>5</v>
      </c>
      <c r="B9" s="14" t="inlineStr">
        <is>
          <t>Kotak US Specific Equity Passive FOF - Regular Plan - Growth</t>
        </is>
      </c>
      <c r="C9" s="14" t="inlineStr">
        <is>
          <t>Kotak Mahindra Mutual Fund</t>
        </is>
      </c>
      <c r="D9" s="14" t="inlineStr">
        <is>
          <t>Standard Equity/Debt</t>
        </is>
      </c>
      <c r="E9" s="15" t="n">
        <v>4.71</v>
      </c>
      <c r="F9" s="15" t="n">
        <v>4.11</v>
      </c>
      <c r="G9" s="15" t="n">
        <v>26.74</v>
      </c>
      <c r="H9" s="15" t="n">
        <v>37.91</v>
      </c>
      <c r="I9" s="15" t="n">
        <v>32.33291351738614</v>
      </c>
      <c r="J9" s="15" t="n">
        <v>134.72</v>
      </c>
      <c r="K9" s="24" t="n">
        <v>77</v>
      </c>
      <c r="L9" s="25" t="n">
        <v>79.90000000000001</v>
      </c>
      <c r="M9" s="26" t="n">
        <v>78.3</v>
      </c>
      <c r="N9" s="20" t="inlineStr">
        <is>
          <t>⭐ Strong</t>
        </is>
      </c>
      <c r="O9" s="20" t="inlineStr">
        <is>
          <t>⭐ Strong</t>
        </is>
      </c>
      <c r="P9" s="20" t="inlineStr">
        <is>
          <t>⭐ Strong Buy</t>
        </is>
      </c>
      <c r="Q9" s="83" t="inlineStr">
        <is>
          <t>FULL</t>
        </is>
      </c>
    </row>
    <row r="10" ht="16" customHeight="1">
      <c r="A10" s="28" t="n">
        <v>6</v>
      </c>
      <c r="B10" s="29" t="inlineStr">
        <is>
          <t>Edelweiss Emerging Markets Opportunities Equity Offshore Fund - Regular Plan - Growth Option</t>
        </is>
      </c>
      <c r="C10" s="29" t="inlineStr">
        <is>
          <t>Edelweiss Mutual Fund</t>
        </is>
      </c>
      <c r="D10" s="29" t="inlineStr">
        <is>
          <t>International</t>
        </is>
      </c>
      <c r="E10" s="30" t="n">
        <v>4.35</v>
      </c>
      <c r="F10" s="30" t="n">
        <v>3.24</v>
      </c>
      <c r="G10" s="30" t="n">
        <v>18.23</v>
      </c>
      <c r="H10" s="30" t="n">
        <v>56.11</v>
      </c>
      <c r="I10" s="30" t="n">
        <v>35.55810562264434</v>
      </c>
      <c r="J10" s="30" t="n">
        <v>110.57</v>
      </c>
      <c r="K10" s="17" t="n">
        <v>73.3</v>
      </c>
      <c r="L10" s="25" t="n">
        <v>81.90000000000001</v>
      </c>
      <c r="M10" s="26" t="n">
        <v>77.2</v>
      </c>
      <c r="N10" s="31" t="inlineStr">
        <is>
          <t>📈 Good</t>
        </is>
      </c>
      <c r="O10" s="31" t="inlineStr">
        <is>
          <t>⭐ Strong</t>
        </is>
      </c>
      <c r="P10" s="31" t="inlineStr">
        <is>
          <t>⭐ Strong Buy</t>
        </is>
      </c>
      <c r="Q10" s="83" t="inlineStr">
        <is>
          <t>FULL</t>
        </is>
      </c>
    </row>
    <row r="11" ht="16" customHeight="1">
      <c r="A11" s="13" t="n">
        <v>7</v>
      </c>
      <c r="B11" s="14" t="inlineStr">
        <is>
          <t>Axis NASDAQ 100 US Specific Equity Passive FOF - Regular Plan - Growth</t>
        </is>
      </c>
      <c r="C11" s="14" t="inlineStr">
        <is>
          <t>Axis Mutual Fund</t>
        </is>
      </c>
      <c r="D11" s="14" t="inlineStr">
        <is>
          <t>NASDAQ</t>
        </is>
      </c>
      <c r="E11" s="15" t="n">
        <v>4.68</v>
      </c>
      <c r="F11" s="15" t="n">
        <v>4.15</v>
      </c>
      <c r="G11" s="15" t="n">
        <v>26.34</v>
      </c>
      <c r="H11" s="15" t="n">
        <v>37.4</v>
      </c>
      <c r="I11" s="15" t="n">
        <v>31.78011989674314</v>
      </c>
      <c r="J11" s="15" t="n">
        <v>131.89</v>
      </c>
      <c r="K11" s="24" t="n">
        <v>75</v>
      </c>
      <c r="L11" s="25" t="n">
        <v>76.5</v>
      </c>
      <c r="M11" s="26" t="n">
        <v>75.7</v>
      </c>
      <c r="N11" s="20" t="inlineStr">
        <is>
          <t>⭐ Strong</t>
        </is>
      </c>
      <c r="O11" s="20" t="inlineStr">
        <is>
          <t>⭐ Strong</t>
        </is>
      </c>
      <c r="P11" s="20" t="inlineStr">
        <is>
          <t>⭐ Strong Buy</t>
        </is>
      </c>
      <c r="Q11" s="83" t="inlineStr">
        <is>
          <t>FULL</t>
        </is>
      </c>
    </row>
    <row r="12" ht="16" customHeight="1">
      <c r="A12" s="28" t="n">
        <v>8</v>
      </c>
      <c r="B12" s="29" t="inlineStr">
        <is>
          <t>Navi NASDAQ100 US Specific Equity Passive FOF- Regular- Growth</t>
        </is>
      </c>
      <c r="C12" s="29" t="inlineStr">
        <is>
          <t>Navi Mutual Fund</t>
        </is>
      </c>
      <c r="D12" s="29" t="inlineStr">
        <is>
          <t>NASDAQ</t>
        </is>
      </c>
      <c r="E12" s="30" t="n">
        <v>4.19</v>
      </c>
      <c r="F12" s="30" t="n">
        <v>3.03</v>
      </c>
      <c r="G12" s="30" t="n">
        <v>27.01</v>
      </c>
      <c r="H12" s="30" t="n">
        <v>37.36</v>
      </c>
      <c r="I12" s="30" t="n">
        <v>32.23085872821063</v>
      </c>
      <c r="J12" s="30" t="n">
        <v>134.87</v>
      </c>
      <c r="K12" s="17" t="n">
        <v>71.40000000000001</v>
      </c>
      <c r="L12" s="25" t="n">
        <v>79</v>
      </c>
      <c r="M12" s="35" t="n">
        <v>74.8</v>
      </c>
      <c r="N12" s="31" t="inlineStr">
        <is>
          <t>📈 Good</t>
        </is>
      </c>
      <c r="O12" s="31" t="inlineStr">
        <is>
          <t>⭐ Strong</t>
        </is>
      </c>
      <c r="P12" s="31" t="inlineStr">
        <is>
          <t>🏛️ Quality Hold</t>
        </is>
      </c>
      <c r="Q12" s="83" t="inlineStr">
        <is>
          <t>FULL</t>
        </is>
      </c>
    </row>
    <row r="13" ht="16" customHeight="1">
      <c r="A13" s="13" t="n">
        <v>9</v>
      </c>
      <c r="B13" s="14" t="inlineStr">
        <is>
          <t>DSP US Specific Equity Omni FoF - Regular Plan - Growth Option</t>
        </is>
      </c>
      <c r="C13" s="14" t="inlineStr">
        <is>
          <t>DSP Mutual Fund</t>
        </is>
      </c>
      <c r="D13" s="14" t="inlineStr">
        <is>
          <t>Standard Equity/Debt</t>
        </is>
      </c>
      <c r="E13" s="15" t="n">
        <v>4.24</v>
      </c>
      <c r="F13" s="15" t="n">
        <v>2.49</v>
      </c>
      <c r="G13" s="15" t="n">
        <v>22.74</v>
      </c>
      <c r="H13" s="15" t="n">
        <v>41.26</v>
      </c>
      <c r="I13" s="15" t="n">
        <v>32.52924205623451</v>
      </c>
      <c r="J13" s="15" t="n">
        <v>111.76</v>
      </c>
      <c r="K13" s="17" t="n">
        <v>70.09999999999999</v>
      </c>
      <c r="L13" s="25" t="n">
        <v>76.2</v>
      </c>
      <c r="M13" s="35" t="n">
        <v>72.8</v>
      </c>
      <c r="N13" s="20" t="inlineStr">
        <is>
          <t>📈 Good</t>
        </is>
      </c>
      <c r="O13" s="20" t="inlineStr">
        <is>
          <t>⭐ Strong</t>
        </is>
      </c>
      <c r="P13" s="20" t="inlineStr">
        <is>
          <t>🏛️ Quality Hold</t>
        </is>
      </c>
      <c r="Q13" s="83" t="inlineStr">
        <is>
          <t>FULL</t>
        </is>
      </c>
    </row>
    <row r="14" ht="16" customHeight="1">
      <c r="A14" s="28" t="n">
        <v>10</v>
      </c>
      <c r="B14" s="29" t="inlineStr">
        <is>
          <t>DSP Global Innovation Overseas Equity Omni FoF - Regular - Growth</t>
        </is>
      </c>
      <c r="C14" s="29" t="inlineStr">
        <is>
          <t>DSP Mutual Fund</t>
        </is>
      </c>
      <c r="D14" s="29" t="inlineStr">
        <is>
          <t>International</t>
        </is>
      </c>
      <c r="E14" s="30" t="n">
        <v>4.92</v>
      </c>
      <c r="F14" s="30" t="n">
        <v>8.02</v>
      </c>
      <c r="G14" s="30" t="n">
        <v>21.17</v>
      </c>
      <c r="H14" s="30" t="n">
        <v>31.73</v>
      </c>
      <c r="I14" s="30" t="n">
        <v>27.71061036577971</v>
      </c>
      <c r="J14" s="30" t="n">
        <v>114.68</v>
      </c>
      <c r="K14" s="24" t="n">
        <v>79.2</v>
      </c>
      <c r="L14" s="42" t="n">
        <v>64.09999999999999</v>
      </c>
      <c r="M14" s="35" t="n">
        <v>72.40000000000001</v>
      </c>
      <c r="N14" s="31" t="inlineStr">
        <is>
          <t>⭐ Strong</t>
        </is>
      </c>
      <c r="O14" s="31" t="inlineStr">
        <is>
          <t>🏛️ Solid</t>
        </is>
      </c>
      <c r="P14" s="31" t="inlineStr">
        <is>
          <t>📈 Momentum Play</t>
        </is>
      </c>
      <c r="Q14" s="83" t="inlineStr">
        <is>
          <t>FULL</t>
        </is>
      </c>
    </row>
    <row r="15" ht="16" customHeight="1">
      <c r="A15" s="13" t="n">
        <v>11</v>
      </c>
      <c r="B15" s="14" t="inlineStr">
        <is>
          <t>Edelweiss US Technology Equity Fund of Fund- Regular Plan- Growth</t>
        </is>
      </c>
      <c r="C15" s="14" t="inlineStr">
        <is>
          <t>Edelweiss Mutual Fund</t>
        </is>
      </c>
      <c r="D15" s="14" t="inlineStr">
        <is>
          <t>Technology</t>
        </is>
      </c>
      <c r="E15" s="15" t="n">
        <v>5.76</v>
      </c>
      <c r="F15" s="15" t="n">
        <v>2.9</v>
      </c>
      <c r="G15" s="15" t="n">
        <v>27.78</v>
      </c>
      <c r="H15" s="15" t="n">
        <v>30.92</v>
      </c>
      <c r="I15" s="15" t="n">
        <v>31.21356637177424</v>
      </c>
      <c r="J15" s="15" t="n">
        <v>129.92</v>
      </c>
      <c r="K15" s="17" t="n">
        <v>72.2</v>
      </c>
      <c r="L15" s="42" t="n">
        <v>68.2</v>
      </c>
      <c r="M15" s="35" t="n">
        <v>70.40000000000001</v>
      </c>
      <c r="N15" s="20" t="inlineStr">
        <is>
          <t>📈 Good</t>
        </is>
      </c>
      <c r="O15" s="20" t="inlineStr">
        <is>
          <t>🏛️ Solid</t>
        </is>
      </c>
      <c r="P15" s="20" t="inlineStr">
        <is>
          <t>📈 Momentum Play</t>
        </is>
      </c>
      <c r="Q15" s="83" t="inlineStr">
        <is>
          <t>FULL</t>
        </is>
      </c>
    </row>
    <row r="16" ht="16" customHeight="1">
      <c r="A16" s="28" t="n">
        <v>12</v>
      </c>
      <c r="B16" s="29" t="inlineStr">
        <is>
          <t>Axis Global Innovation Fund of Fund - Regular Plan - Growth</t>
        </is>
      </c>
      <c r="C16" s="29" t="inlineStr">
        <is>
          <t>Axis Mutual Fund</t>
        </is>
      </c>
      <c r="D16" s="29" t="inlineStr">
        <is>
          <t>International</t>
        </is>
      </c>
      <c r="E16" s="30" t="n">
        <v>8.23</v>
      </c>
      <c r="F16" s="30" t="n">
        <v>7.76</v>
      </c>
      <c r="G16" s="30" t="n">
        <v>26.56</v>
      </c>
      <c r="H16" s="30" t="n">
        <v>31.36</v>
      </c>
      <c r="I16" s="30" t="n">
        <v>25.43524225671188</v>
      </c>
      <c r="J16" s="30" t="n">
        <v>104.46</v>
      </c>
      <c r="K16" s="24" t="n">
        <v>83.2</v>
      </c>
      <c r="L16" s="42" t="n">
        <v>54.2</v>
      </c>
      <c r="M16" s="35" t="n">
        <v>70.2</v>
      </c>
      <c r="N16" s="31" t="inlineStr">
        <is>
          <t>⭐ Strong</t>
        </is>
      </c>
      <c r="O16" s="31" t="inlineStr">
        <is>
          <t>➡️ Average</t>
        </is>
      </c>
      <c r="P16" s="31" t="inlineStr">
        <is>
          <t>📈 Momentum Play</t>
        </is>
      </c>
      <c r="Q16" s="83" t="inlineStr">
        <is>
          <t>FULL</t>
        </is>
      </c>
    </row>
    <row r="17" ht="16" customHeight="1">
      <c r="A17" s="13" t="n">
        <v>13</v>
      </c>
      <c r="B17" s="14" t="inlineStr">
        <is>
          <t>Kotak Global Innovation Overseas Equity Omni FOF - Regular Plan-Growth</t>
        </is>
      </c>
      <c r="C17" s="14" t="inlineStr">
        <is>
          <t>Kotak Mahindra Mutual Fund</t>
        </is>
      </c>
      <c r="D17" s="14" t="inlineStr">
        <is>
          <t>International</t>
        </is>
      </c>
      <c r="E17" s="15" t="n">
        <v>6.97</v>
      </c>
      <c r="F17" s="15" t="n">
        <v>7.83</v>
      </c>
      <c r="G17" s="15" t="n">
        <v>22.55</v>
      </c>
      <c r="H17" s="15" t="n">
        <v>35.2</v>
      </c>
      <c r="I17" s="15" t="n">
        <v>24.75175349469041</v>
      </c>
      <c r="J17" s="15" t="n">
        <v>94.03</v>
      </c>
      <c r="K17" s="24" t="n">
        <v>85.8</v>
      </c>
      <c r="L17" s="18" t="n">
        <v>49.7</v>
      </c>
      <c r="M17" s="35" t="n">
        <v>69.59999999999999</v>
      </c>
      <c r="N17" s="20" t="inlineStr">
        <is>
          <t>⭐ Strong</t>
        </is>
      </c>
      <c r="O17" s="20" t="inlineStr">
        <is>
          <t>➡️ Average</t>
        </is>
      </c>
      <c r="P17" s="20" t="inlineStr">
        <is>
          <t>📈 Momentum Play</t>
        </is>
      </c>
      <c r="Q17" s="83" t="inlineStr">
        <is>
          <t>FULL</t>
        </is>
      </c>
    </row>
    <row r="18" ht="16" customHeight="1">
      <c r="A18" s="28" t="n">
        <v>14</v>
      </c>
      <c r="B18" s="29" t="inlineStr">
        <is>
          <t>Kotak Global Emerging Market Overseas Equity Omni FOF - Payout of Income Distribution cum capital withdrawal option</t>
        </is>
      </c>
      <c r="C18" s="29" t="inlineStr">
        <is>
          <t>Kotak Mahindra Mutual Fund</t>
        </is>
      </c>
      <c r="D18" s="29" t="inlineStr">
        <is>
          <t>International</t>
        </is>
      </c>
      <c r="E18" s="30" t="n">
        <v>5.45</v>
      </c>
      <c r="F18" s="30" t="n">
        <v>3.18</v>
      </c>
      <c r="G18" s="30" t="n">
        <v>15.91</v>
      </c>
      <c r="H18" s="30" t="n">
        <v>47.97</v>
      </c>
      <c r="I18" s="30" t="n">
        <v>32.79683731173721</v>
      </c>
      <c r="J18" s="30" t="n">
        <v>102.83</v>
      </c>
      <c r="K18" s="17" t="n">
        <v>69.5</v>
      </c>
      <c r="L18" s="42" t="n">
        <v>68.3</v>
      </c>
      <c r="M18" s="35" t="n">
        <v>69</v>
      </c>
      <c r="N18" s="31" t="inlineStr">
        <is>
          <t>📈 Good</t>
        </is>
      </c>
      <c r="O18" s="31" t="inlineStr">
        <is>
          <t>🏛️ Solid</t>
        </is>
      </c>
      <c r="P18" s="31" t="inlineStr">
        <is>
          <t>📈 Momentum Play</t>
        </is>
      </c>
      <c r="Q18" s="83" t="inlineStr">
        <is>
          <t>FULL</t>
        </is>
      </c>
    </row>
    <row r="19" ht="16" customHeight="1">
      <c r="A19" s="13" t="n">
        <v>14</v>
      </c>
      <c r="B19" s="14" t="inlineStr">
        <is>
          <t>Kotak Global Emerging Market Overseas Equity Omni FOF- Growth</t>
        </is>
      </c>
      <c r="C19" s="14" t="inlineStr">
        <is>
          <t>Kotak Mahindra Mutual Fund</t>
        </is>
      </c>
      <c r="D19" s="14" t="inlineStr">
        <is>
          <t>International</t>
        </is>
      </c>
      <c r="E19" s="15" t="n">
        <v>5.45</v>
      </c>
      <c r="F19" s="15" t="n">
        <v>3.18</v>
      </c>
      <c r="G19" s="15" t="n">
        <v>15.91</v>
      </c>
      <c r="H19" s="15" t="n">
        <v>47.97</v>
      </c>
      <c r="I19" s="15" t="n">
        <v>32.79683731173721</v>
      </c>
      <c r="J19" s="15" t="n">
        <v>102.83</v>
      </c>
      <c r="K19" s="17" t="n">
        <v>69.5</v>
      </c>
      <c r="L19" s="42" t="n">
        <v>68.3</v>
      </c>
      <c r="M19" s="35" t="n">
        <v>69</v>
      </c>
      <c r="N19" s="20" t="inlineStr">
        <is>
          <t>📈 Good</t>
        </is>
      </c>
      <c r="O19" s="20" t="inlineStr">
        <is>
          <t>🏛️ Solid</t>
        </is>
      </c>
      <c r="P19" s="20" t="inlineStr">
        <is>
          <t>📈 Momentum Play</t>
        </is>
      </c>
      <c r="Q19" s="83" t="inlineStr">
        <is>
          <t>FULL</t>
        </is>
      </c>
    </row>
    <row r="20" ht="16" customHeight="1">
      <c r="A20" s="28" t="n">
        <v>16</v>
      </c>
      <c r="B20" s="29" t="inlineStr">
        <is>
          <t>Edelweiss Greater China Equity Off-shore Fund - Regular Plan - Growth Option</t>
        </is>
      </c>
      <c r="C20" s="29" t="inlineStr">
        <is>
          <t>Edelweiss Mutual Fund</t>
        </is>
      </c>
      <c r="D20" s="29" t="inlineStr">
        <is>
          <t>International</t>
        </is>
      </c>
      <c r="E20" s="30" t="n">
        <v>6.93</v>
      </c>
      <c r="F20" s="30" t="n">
        <v>1</v>
      </c>
      <c r="G20" s="30" t="n">
        <v>18.19</v>
      </c>
      <c r="H20" s="30" t="n">
        <v>40.19</v>
      </c>
      <c r="I20" s="30" t="n">
        <v>39.62449641807129</v>
      </c>
      <c r="J20" s="30" t="n">
        <v>91.09999999999999</v>
      </c>
      <c r="K20" s="17" t="n">
        <v>67.40000000000001</v>
      </c>
      <c r="L20" s="42" t="n">
        <v>65.09999999999999</v>
      </c>
      <c r="M20" s="35" t="n">
        <v>66.40000000000001</v>
      </c>
      <c r="N20" s="31" t="inlineStr">
        <is>
          <t>📈 Good</t>
        </is>
      </c>
      <c r="O20" s="31" t="inlineStr">
        <is>
          <t>🏛️ Solid</t>
        </is>
      </c>
      <c r="P20" s="31" t="inlineStr">
        <is>
          <t>📈 Momentum Play</t>
        </is>
      </c>
      <c r="Q20" s="83" t="inlineStr">
        <is>
          <t>FULL</t>
        </is>
      </c>
    </row>
    <row r="21" ht="16" customHeight="1">
      <c r="A21" s="13" t="n">
        <v>17</v>
      </c>
      <c r="B21" s="14" t="inlineStr">
        <is>
          <t>Navi Total Stock Market US Specific Equity Passive FoF- Regular Plan- Growth</t>
        </is>
      </c>
      <c r="C21" s="14" t="inlineStr">
        <is>
          <t>Navi Mutual Fund</t>
        </is>
      </c>
      <c r="D21" s="14" t="inlineStr">
        <is>
          <t>Standard Equity/Debt</t>
        </is>
      </c>
      <c r="E21" s="15" t="n">
        <v>3.34</v>
      </c>
      <c r="F21" s="15" t="n">
        <v>5.22</v>
      </c>
      <c r="G21" s="15" t="n">
        <v>19.11</v>
      </c>
      <c r="H21" s="15" t="n">
        <v>32.28</v>
      </c>
      <c r="I21" s="15" t="n">
        <v>26.96456198483104</v>
      </c>
      <c r="J21" s="15" t="n">
        <v>107.02</v>
      </c>
      <c r="K21" s="17" t="n">
        <v>66.90000000000001</v>
      </c>
      <c r="L21" s="42" t="n">
        <v>59.2</v>
      </c>
      <c r="M21" s="35" t="n">
        <v>63.5</v>
      </c>
      <c r="N21" s="20" t="inlineStr">
        <is>
          <t>📈 Good</t>
        </is>
      </c>
      <c r="O21" s="20" t="inlineStr">
        <is>
          <t>➡️ Average</t>
        </is>
      </c>
      <c r="P21" s="20" t="inlineStr">
        <is>
          <t>📈 Momentum Play</t>
        </is>
      </c>
      <c r="Q21" s="83" t="inlineStr">
        <is>
          <t>FULL</t>
        </is>
      </c>
    </row>
    <row r="22" ht="16" customHeight="1">
      <c r="A22" s="28" t="n">
        <v>18</v>
      </c>
      <c r="B22" s="29" t="inlineStr">
        <is>
          <t>PGIM India Emerging Markets Equity Fund of Fund- Growth</t>
        </is>
      </c>
      <c r="C22" s="29" t="inlineStr">
        <is>
          <t>PGIM India Mutual Fund</t>
        </is>
      </c>
      <c r="D22" s="29" t="inlineStr">
        <is>
          <t>International</t>
        </is>
      </c>
      <c r="E22" s="30" t="n">
        <v>11.59</v>
      </c>
      <c r="F22" s="30" t="n">
        <v>0.8100000000000001</v>
      </c>
      <c r="G22" s="30" t="n">
        <v>13.13</v>
      </c>
      <c r="H22" s="30" t="n">
        <v>36.94</v>
      </c>
      <c r="I22" s="30" t="n">
        <v>28.17566071606574</v>
      </c>
      <c r="J22" s="30" t="n">
        <v>110.02</v>
      </c>
      <c r="K22" s="17" t="n">
        <v>61.2</v>
      </c>
      <c r="L22" s="42" t="n">
        <v>65.3</v>
      </c>
      <c r="M22" s="35" t="n">
        <v>63.1</v>
      </c>
      <c r="N22" s="31" t="inlineStr">
        <is>
          <t>📈 Good</t>
        </is>
      </c>
      <c r="O22" s="31" t="inlineStr">
        <is>
          <t>🏛️ Solid</t>
        </is>
      </c>
      <c r="P22" s="31" t="inlineStr">
        <is>
          <t>🏛️ Quality Hold</t>
        </is>
      </c>
      <c r="Q22" s="83" t="inlineStr">
        <is>
          <t>FULL</t>
        </is>
      </c>
    </row>
    <row r="23" ht="16" customHeight="1">
      <c r="A23" s="13" t="n">
        <v>19</v>
      </c>
      <c r="B23" s="14" t="inlineStr">
        <is>
          <t>HDFC Developed World Overseas Equity Passive FOF - Growth Option</t>
        </is>
      </c>
      <c r="C23" s="14" t="inlineStr">
        <is>
          <t>HDFC Mutual Fund</t>
        </is>
      </c>
      <c r="D23" s="14" t="inlineStr">
        <is>
          <t>International</t>
        </is>
      </c>
      <c r="E23" s="15" t="n">
        <v>3.36</v>
      </c>
      <c r="F23" s="15" t="n">
        <v>5.63</v>
      </c>
      <c r="G23" s="15" t="n">
        <v>16.86</v>
      </c>
      <c r="H23" s="15" t="n">
        <v>32.06</v>
      </c>
      <c r="I23" s="15" t="n">
        <v>27.14951828457708</v>
      </c>
      <c r="J23" s="15" t="n">
        <v>103.59</v>
      </c>
      <c r="K23" s="17" t="n">
        <v>65.8</v>
      </c>
      <c r="L23" s="42" t="n">
        <v>55.9</v>
      </c>
      <c r="M23" s="35" t="n">
        <v>61.3</v>
      </c>
      <c r="N23" s="20" t="inlineStr">
        <is>
          <t>📈 Good</t>
        </is>
      </c>
      <c r="O23" s="20" t="inlineStr">
        <is>
          <t>➡️ Average</t>
        </is>
      </c>
      <c r="P23" s="20" t="inlineStr">
        <is>
          <t>📈 Momentum Play</t>
        </is>
      </c>
      <c r="Q23" s="83" t="inlineStr">
        <is>
          <t>FULL</t>
        </is>
      </c>
    </row>
    <row r="24" ht="16" customHeight="1">
      <c r="A24" s="28" t="n">
        <v>20</v>
      </c>
      <c r="B24" s="29" t="inlineStr">
        <is>
          <t>Mirae Asset Global Electric &amp; Autonomous Vehicles Equity Passive FOF - Regular Plan - Growth</t>
        </is>
      </c>
      <c r="C24" s="29" t="inlineStr">
        <is>
          <t>Mirae Asset Mutual Fund</t>
        </is>
      </c>
      <c r="D24" s="29" t="inlineStr">
        <is>
          <t>International</t>
        </is>
      </c>
      <c r="E24" s="30" t="n">
        <v>6.96</v>
      </c>
      <c r="F24" s="91" t="n">
        <v>-5.25</v>
      </c>
      <c r="G24" s="30" t="n">
        <v>12.21</v>
      </c>
      <c r="H24" s="30" t="n">
        <v>55.87</v>
      </c>
      <c r="I24" s="30" t="n">
        <v>39.48118152639803</v>
      </c>
      <c r="J24" s="30" t="n">
        <v>71.47</v>
      </c>
      <c r="K24" s="17" t="n">
        <v>58.6</v>
      </c>
      <c r="L24" s="42" t="n">
        <v>60.1</v>
      </c>
      <c r="M24" s="35" t="n">
        <v>59.3</v>
      </c>
      <c r="N24" s="31" t="inlineStr">
        <is>
          <t>➡️ Neutral</t>
        </is>
      </c>
      <c r="O24" s="31" t="inlineStr">
        <is>
          <t>🏛️ Solid</t>
        </is>
      </c>
      <c r="P24" s="31" t="inlineStr">
        <is>
          <t>✅ Buy</t>
        </is>
      </c>
      <c r="Q24" s="83" t="inlineStr">
        <is>
          <t>FULL</t>
        </is>
      </c>
    </row>
    <row r="25" ht="16" customHeight="1">
      <c r="A25" s="13" t="n">
        <v>21</v>
      </c>
      <c r="B25" s="14" t="inlineStr">
        <is>
          <t>Axis Greater China Equity Fund of Fund - Regular Plan - Growth Option</t>
        </is>
      </c>
      <c r="C25" s="14" t="inlineStr">
        <is>
          <t>Axis Mutual Fund</t>
        </is>
      </c>
      <c r="D25" s="14" t="inlineStr">
        <is>
          <t>International</t>
        </is>
      </c>
      <c r="E25" s="15" t="n">
        <v>7.77</v>
      </c>
      <c r="F25" s="15" t="n">
        <v>2.29</v>
      </c>
      <c r="G25" s="15" t="n">
        <v>10.54</v>
      </c>
      <c r="H25" s="15" t="n">
        <v>35.35</v>
      </c>
      <c r="I25" s="15" t="n">
        <v>34.8703080740902</v>
      </c>
      <c r="J25" s="15" t="n">
        <v>80.81</v>
      </c>
      <c r="K25" s="17" t="n">
        <v>58.1</v>
      </c>
      <c r="L25" s="42" t="n">
        <v>56.2</v>
      </c>
      <c r="M25" s="35" t="n">
        <v>57.2</v>
      </c>
      <c r="N25" s="20" t="inlineStr">
        <is>
          <t>➡️ Neutral</t>
        </is>
      </c>
      <c r="O25" s="20" t="inlineStr">
        <is>
          <t>➡️ Average</t>
        </is>
      </c>
      <c r="P25" s="20" t="inlineStr">
        <is>
          <t>✅ Buy</t>
        </is>
      </c>
      <c r="Q25" s="83" t="inlineStr">
        <is>
          <t>FULL</t>
        </is>
      </c>
    </row>
    <row r="26" ht="16" customHeight="1">
      <c r="A26" s="28" t="n">
        <v>22</v>
      </c>
      <c r="B26" s="29" t="inlineStr">
        <is>
          <t>Axis Global Equity Alpha Fund of Fund - Regular Plan - Growth Option</t>
        </is>
      </c>
      <c r="C26" s="29" t="inlineStr">
        <is>
          <t>Axis Mutual Fund</t>
        </is>
      </c>
      <c r="D26" s="29" t="inlineStr">
        <is>
          <t>International</t>
        </is>
      </c>
      <c r="E26" s="30" t="n">
        <v>5.18</v>
      </c>
      <c r="F26" s="30" t="n">
        <v>6.07</v>
      </c>
      <c r="G26" s="30" t="n">
        <v>13.47</v>
      </c>
      <c r="H26" s="30" t="n">
        <v>25.69</v>
      </c>
      <c r="I26" s="30" t="n">
        <v>24.61540835707277</v>
      </c>
      <c r="J26" s="30" t="n">
        <v>92.45</v>
      </c>
      <c r="K26" s="17" t="n">
        <v>63.8</v>
      </c>
      <c r="L26" s="18" t="n">
        <v>40.8</v>
      </c>
      <c r="M26" s="35" t="n">
        <v>53.4</v>
      </c>
      <c r="N26" s="31" t="inlineStr">
        <is>
          <t>📈 Good</t>
        </is>
      </c>
      <c r="O26" s="31" t="inlineStr">
        <is>
          <t>➡️ Average</t>
        </is>
      </c>
      <c r="P26" s="31" t="inlineStr">
        <is>
          <t>⚠️ Watch</t>
        </is>
      </c>
      <c r="Q26" s="83" t="inlineStr">
        <is>
          <t>FULL</t>
        </is>
      </c>
    </row>
    <row r="27" ht="16" customHeight="1">
      <c r="A27" s="13" t="n">
        <v>23</v>
      </c>
      <c r="B27" s="14" t="inlineStr">
        <is>
          <t>Edelweiss US Value Equity Offshore Fund - Regular Plan - Growth Option</t>
        </is>
      </c>
      <c r="C27" s="14" t="inlineStr">
        <is>
          <t>Edelweiss Mutual Fund</t>
        </is>
      </c>
      <c r="D27" s="14" t="inlineStr">
        <is>
          <t>Standard Equity/Debt</t>
        </is>
      </c>
      <c r="E27" s="15" t="n">
        <v>1.54</v>
      </c>
      <c r="F27" s="15" t="n">
        <v>8.58</v>
      </c>
      <c r="G27" s="15" t="n">
        <v>16.09</v>
      </c>
      <c r="H27" s="15" t="n">
        <v>34.36</v>
      </c>
      <c r="I27" s="15" t="n">
        <v>21.89749792346027</v>
      </c>
      <c r="J27" s="15" t="n">
        <v>74.19</v>
      </c>
      <c r="K27" s="17" t="n">
        <v>65.8</v>
      </c>
      <c r="L27" s="18" t="n">
        <v>37.9</v>
      </c>
      <c r="M27" s="35" t="n">
        <v>53.3</v>
      </c>
      <c r="N27" s="20" t="inlineStr">
        <is>
          <t>📈 Good</t>
        </is>
      </c>
      <c r="O27" s="20" t="inlineStr">
        <is>
          <t>⚠️ Below Avg</t>
        </is>
      </c>
      <c r="P27" s="20" t="inlineStr">
        <is>
          <t>⚠️ Watch</t>
        </is>
      </c>
      <c r="Q27" s="83" t="inlineStr">
        <is>
          <t>FULL</t>
        </is>
      </c>
    </row>
    <row r="28" ht="16" customHeight="1">
      <c r="A28" s="28" t="n">
        <v>24</v>
      </c>
      <c r="B28" s="29" t="inlineStr">
        <is>
          <t>Edelweiss Europe Dynamic Equity Offshore Fund - Growth Option - Regular Plan</t>
        </is>
      </c>
      <c r="C28" s="29" t="inlineStr">
        <is>
          <t>Edelweiss Mutual Fund</t>
        </is>
      </c>
      <c r="D28" s="29" t="inlineStr">
        <is>
          <t>Standard Equity/Debt</t>
        </is>
      </c>
      <c r="E28" s="30" t="n">
        <v>2.93</v>
      </c>
      <c r="F28" s="30" t="n">
        <v>7.07</v>
      </c>
      <c r="G28" s="30" t="n">
        <v>8.279999999999999</v>
      </c>
      <c r="H28" s="30" t="n">
        <v>28.74</v>
      </c>
      <c r="I28" s="30" t="n">
        <v>28.8371064561759</v>
      </c>
      <c r="J28" s="30" t="n">
        <v>99.43000000000001</v>
      </c>
      <c r="K28" s="17" t="n">
        <v>51.5</v>
      </c>
      <c r="L28" s="42" t="n">
        <v>52.2</v>
      </c>
      <c r="M28" s="35" t="n">
        <v>51.8</v>
      </c>
      <c r="N28" s="31" t="inlineStr">
        <is>
          <t>➡️ Neutral</t>
        </is>
      </c>
      <c r="O28" s="31" t="inlineStr">
        <is>
          <t>➡️ Average</t>
        </is>
      </c>
      <c r="P28" s="31" t="inlineStr">
        <is>
          <t>⚠️ Watch</t>
        </is>
      </c>
      <c r="Q28" s="83" t="inlineStr">
        <is>
          <t>FULL</t>
        </is>
      </c>
    </row>
    <row r="29" ht="16" customHeight="1">
      <c r="A29" s="13" t="n">
        <v>25</v>
      </c>
      <c r="B29" s="14" t="inlineStr">
        <is>
          <t>DSP Global Clean Energy Overseas Equity Omni FoF - Regular Plan - Growth</t>
        </is>
      </c>
      <c r="C29" s="14" t="inlineStr">
        <is>
          <t>DSP Mutual Fund</t>
        </is>
      </c>
      <c r="D29" s="14" t="inlineStr">
        <is>
          <t>International</t>
        </is>
      </c>
      <c r="E29" s="15" t="n">
        <v>3.21</v>
      </c>
      <c r="F29" s="15" t="n">
        <v>0.46</v>
      </c>
      <c r="G29" s="15" t="n">
        <v>10.03</v>
      </c>
      <c r="H29" s="15" t="n">
        <v>48.58</v>
      </c>
      <c r="I29" s="15" t="n">
        <v>29.18591254467337</v>
      </c>
      <c r="J29" s="15" t="n">
        <v>73.72</v>
      </c>
      <c r="K29" s="37" t="n">
        <v>46.9</v>
      </c>
      <c r="L29" s="42" t="n">
        <v>52.3</v>
      </c>
      <c r="M29" s="19" t="n">
        <v>49.4</v>
      </c>
      <c r="N29" s="20" t="inlineStr">
        <is>
          <t>➡️ Neutral</t>
        </is>
      </c>
      <c r="O29" s="20" t="inlineStr">
        <is>
          <t>➡️ Average</t>
        </is>
      </c>
      <c r="P29" s="20" t="inlineStr">
        <is>
          <t>⚠️ Watch</t>
        </is>
      </c>
      <c r="Q29" s="83" t="inlineStr">
        <is>
          <t>FULL</t>
        </is>
      </c>
    </row>
    <row r="30" ht="16" customHeight="1">
      <c r="A30" s="28" t="n">
        <v>26</v>
      </c>
      <c r="B30" s="29" t="inlineStr">
        <is>
          <t>Franklin U.S. Opportunities Equity Active Fund of Funds - Growth</t>
        </is>
      </c>
      <c r="C30" s="29" t="inlineStr">
        <is>
          <t>Franklin Templeton Mutual Fund</t>
        </is>
      </c>
      <c r="D30" s="29" t="inlineStr">
        <is>
          <t>Standard Equity/Debt</t>
        </is>
      </c>
      <c r="E30" s="30" t="n">
        <v>4.13</v>
      </c>
      <c r="F30" s="30" t="n">
        <v>4.63</v>
      </c>
      <c r="G30" s="30" t="n">
        <v>19.7</v>
      </c>
      <c r="H30" s="30" t="n">
        <v>19.64</v>
      </c>
      <c r="I30" s="30" t="n">
        <v>18.04236527620073</v>
      </c>
      <c r="J30" s="30" t="n">
        <v>87.52</v>
      </c>
      <c r="K30" s="17" t="n">
        <v>60.9</v>
      </c>
      <c r="L30" s="18" t="n">
        <v>29.7</v>
      </c>
      <c r="M30" s="19" t="n">
        <v>46.9</v>
      </c>
      <c r="N30" s="31" t="inlineStr">
        <is>
          <t>📈 Good</t>
        </is>
      </c>
      <c r="O30" s="31" t="inlineStr">
        <is>
          <t>⚠️ Below Avg</t>
        </is>
      </c>
      <c r="P30" s="31" t="inlineStr">
        <is>
          <t>⚠️ Watch</t>
        </is>
      </c>
      <c r="Q30" s="83" t="inlineStr">
        <is>
          <t>FULL</t>
        </is>
      </c>
    </row>
    <row r="31" ht="16" customHeight="1">
      <c r="A31" s="13" t="n">
        <v>27</v>
      </c>
      <c r="B31" s="14" t="inlineStr">
        <is>
          <t>Aditya Birla SUn Life Global Emerging Opportunities Fund - Regular Plan - Growth Option</t>
        </is>
      </c>
      <c r="C31" s="14" t="inlineStr">
        <is>
          <t>Aditya Birla Sun Life Mutual Fund</t>
        </is>
      </c>
      <c r="D31" s="14" t="inlineStr">
        <is>
          <t>International</t>
        </is>
      </c>
      <c r="E31" s="15" t="n">
        <v>4.45</v>
      </c>
      <c r="F31" s="15" t="n">
        <v>2.64</v>
      </c>
      <c r="G31" s="15" t="n">
        <v>19.21</v>
      </c>
      <c r="H31" s="15" t="n">
        <v>25.91</v>
      </c>
      <c r="I31" s="15" t="n">
        <v>18.911731969558</v>
      </c>
      <c r="J31" s="15" t="n">
        <v>77.56</v>
      </c>
      <c r="K31" s="17" t="n">
        <v>59.3</v>
      </c>
      <c r="L31" s="18" t="n">
        <v>31</v>
      </c>
      <c r="M31" s="19" t="n">
        <v>46.6</v>
      </c>
      <c r="N31" s="20" t="inlineStr">
        <is>
          <t>➡️ Neutral</t>
        </is>
      </c>
      <c r="O31" s="20" t="inlineStr">
        <is>
          <t>⚠️ Below Avg</t>
        </is>
      </c>
      <c r="P31" s="20" t="inlineStr">
        <is>
          <t>⚠️ Watch</t>
        </is>
      </c>
      <c r="Q31" s="83" t="inlineStr">
        <is>
          <t>FULL</t>
        </is>
      </c>
    </row>
    <row r="32" ht="16" customHeight="1">
      <c r="A32" s="28" t="n">
        <v>28</v>
      </c>
      <c r="B32" s="29" t="inlineStr">
        <is>
          <t>Aditya Birla Sun Life Global Excellence Equity Fund Of Fund- Retail Plan - Regular Plan - Growth Option</t>
        </is>
      </c>
      <c r="C32" s="29" t="inlineStr">
        <is>
          <t>Aditya Birla Sun Life Mutual Fund</t>
        </is>
      </c>
      <c r="D32" s="29" t="inlineStr">
        <is>
          <t>International</t>
        </is>
      </c>
      <c r="E32" s="30" t="n">
        <v>3.02</v>
      </c>
      <c r="F32" s="30" t="n">
        <v>4.73</v>
      </c>
      <c r="G32" s="30" t="n">
        <v>14.26</v>
      </c>
      <c r="H32" s="30" t="n">
        <v>26.8</v>
      </c>
      <c r="I32" s="30" t="n">
        <v>18.52425912023243</v>
      </c>
      <c r="J32" s="30" t="n">
        <v>83.47</v>
      </c>
      <c r="K32" s="17" t="n">
        <v>55</v>
      </c>
      <c r="L32" s="18" t="n">
        <v>33.2</v>
      </c>
      <c r="M32" s="19" t="n">
        <v>45.2</v>
      </c>
      <c r="N32" s="31" t="inlineStr">
        <is>
          <t>➡️ Neutral</t>
        </is>
      </c>
      <c r="O32" s="31" t="inlineStr">
        <is>
          <t>⚠️ Below Avg</t>
        </is>
      </c>
      <c r="P32" s="31" t="inlineStr">
        <is>
          <t>⚠️ Watch</t>
        </is>
      </c>
      <c r="Q32" s="83" t="inlineStr">
        <is>
          <t>FULL</t>
        </is>
      </c>
    </row>
    <row r="33" ht="16" customHeight="1">
      <c r="A33" s="13" t="n">
        <v>29</v>
      </c>
      <c r="B33" s="14" t="inlineStr">
        <is>
          <t>SBI US Specific Equity Active FoF- Regular Plan - Growth</t>
        </is>
      </c>
      <c r="C33" s="14" t="inlineStr">
        <is>
          <t>SBI Mutual Fund</t>
        </is>
      </c>
      <c r="D33" s="14" t="inlineStr">
        <is>
          <t>Standard Equity/Debt</t>
        </is>
      </c>
      <c r="E33" s="15" t="n">
        <v>2.38</v>
      </c>
      <c r="F33" s="15" t="n">
        <v>1.35</v>
      </c>
      <c r="G33" s="15" t="n">
        <v>11.64</v>
      </c>
      <c r="H33" s="15" t="n">
        <v>28.43</v>
      </c>
      <c r="I33" s="15" t="n">
        <v>23.30450113438683</v>
      </c>
      <c r="J33" s="15" t="n">
        <v>105.11</v>
      </c>
      <c r="K33" s="37" t="n">
        <v>38.9</v>
      </c>
      <c r="L33" s="42" t="n">
        <v>51.2</v>
      </c>
      <c r="M33" s="19" t="n">
        <v>44.4</v>
      </c>
      <c r="N33" s="20" t="inlineStr">
        <is>
          <t>📉 Weak</t>
        </is>
      </c>
      <c r="O33" s="20" t="inlineStr">
        <is>
          <t>➡️ Average</t>
        </is>
      </c>
      <c r="P33" s="20" t="inlineStr">
        <is>
          <t>⚠️ Watch</t>
        </is>
      </c>
      <c r="Q33" s="83" t="inlineStr">
        <is>
          <t>FULL</t>
        </is>
      </c>
    </row>
    <row r="34" ht="16" customHeight="1">
      <c r="A34" s="28" t="n">
        <v>30</v>
      </c>
      <c r="B34" s="29" t="inlineStr">
        <is>
          <t>Edelweiss ASEAN Equity Off-shore Fund - Regular Plan - Growth Option</t>
        </is>
      </c>
      <c r="C34" s="29" t="inlineStr">
        <is>
          <t>Edelweiss Mutual Fund</t>
        </is>
      </c>
      <c r="D34" s="29" t="inlineStr">
        <is>
          <t>Standard Equity/Debt</t>
        </is>
      </c>
      <c r="E34" s="30" t="n">
        <v>3.4</v>
      </c>
      <c r="F34" s="30" t="n">
        <v>7.88</v>
      </c>
      <c r="G34" s="30" t="n">
        <v>12.9</v>
      </c>
      <c r="H34" s="30" t="n">
        <v>24.06</v>
      </c>
      <c r="I34" s="30" t="n">
        <v>21.97950647547318</v>
      </c>
      <c r="J34" s="30" t="n">
        <v>61.77</v>
      </c>
      <c r="K34" s="17" t="n">
        <v>57.6</v>
      </c>
      <c r="L34" s="18" t="n">
        <v>25.9</v>
      </c>
      <c r="M34" s="19" t="n">
        <v>43.3</v>
      </c>
      <c r="N34" s="31" t="inlineStr">
        <is>
          <t>➡️ Neutral</t>
        </is>
      </c>
      <c r="O34" s="31" t="inlineStr">
        <is>
          <t>⚠️ Below Avg</t>
        </is>
      </c>
      <c r="P34" s="31" t="inlineStr">
        <is>
          <t>⚠️ Watch</t>
        </is>
      </c>
      <c r="Q34" s="83" t="inlineStr">
        <is>
          <t>FULL</t>
        </is>
      </c>
    </row>
    <row r="35" ht="16" customHeight="1">
      <c r="A35" s="13" t="n">
        <v>31</v>
      </c>
      <c r="B35" s="14" t="inlineStr">
        <is>
          <t>Bandhan US specific Equity Active FOF - GROWTH - REGULAR PLAN</t>
        </is>
      </c>
      <c r="C35" s="14" t="inlineStr">
        <is>
          <t>Bandhan Mutual Fund</t>
        </is>
      </c>
      <c r="D35" s="14" t="inlineStr">
        <is>
          <t>Standard Equity/Debt</t>
        </is>
      </c>
      <c r="E35" s="15" t="n">
        <v>3.86</v>
      </c>
      <c r="F35" s="16" t="n">
        <v>-0.53</v>
      </c>
      <c r="G35" s="15" t="n">
        <v>13.45</v>
      </c>
      <c r="H35" s="15" t="n">
        <v>15.06</v>
      </c>
      <c r="I35" s="15" t="n">
        <v>19.18892566006289</v>
      </c>
      <c r="J35" s="15" t="n">
        <v>96.58</v>
      </c>
      <c r="K35" s="37" t="n">
        <v>36</v>
      </c>
      <c r="L35" s="18" t="n">
        <v>35.4</v>
      </c>
      <c r="M35" s="19" t="n">
        <v>35.7</v>
      </c>
      <c r="N35" s="20" t="inlineStr">
        <is>
          <t>📉 Weak</t>
        </is>
      </c>
      <c r="O35" s="20" t="inlineStr">
        <is>
          <t>⚠️ Below Avg</t>
        </is>
      </c>
      <c r="P35" s="20" t="inlineStr">
        <is>
          <t>🔴 Avoid</t>
        </is>
      </c>
      <c r="Q35" s="83" t="inlineStr">
        <is>
          <t>FULL</t>
        </is>
      </c>
    </row>
    <row r="36" ht="16" customHeight="1">
      <c r="A36" s="92" t="n">
        <v>32</v>
      </c>
      <c r="B36" s="93" t="inlineStr">
        <is>
          <t>Motilal Oswal Developed Market Ex US ETFs Fund of Funds Regular Plan Growth</t>
        </is>
      </c>
      <c r="C36" s="93" t="inlineStr">
        <is>
          <t>Motilal Oswal Mutual Fund</t>
        </is>
      </c>
      <c r="D36" s="93" t="inlineStr">
        <is>
          <t>Standard Equity/Debt</t>
        </is>
      </c>
      <c r="E36" s="94" t="n">
        <v>4.32</v>
      </c>
      <c r="F36" s="94" t="n">
        <v>6.38</v>
      </c>
      <c r="G36" s="94" t="n">
        <v>11.18</v>
      </c>
      <c r="H36" s="94" t="n">
        <v>33.45</v>
      </c>
      <c r="I36" s="94" t="n">
        <v>27.2949331277565</v>
      </c>
      <c r="J36" s="94" t="n">
        <v>0</v>
      </c>
      <c r="K36" s="17" t="n">
        <v>61.7</v>
      </c>
      <c r="L36" s="18" t="n">
        <v>0</v>
      </c>
      <c r="M36" s="19" t="n">
        <v>33.9</v>
      </c>
      <c r="N36" s="95" t="inlineStr">
        <is>
          <t>📈 Good</t>
        </is>
      </c>
      <c r="O36" s="95" t="inlineStr">
        <is>
          <t>⏳ New Fund</t>
        </is>
      </c>
      <c r="P36" s="95" t="inlineStr">
        <is>
          <t>📈 Momentum Only</t>
        </is>
      </c>
      <c r="Q36" s="96" t="inlineStr">
        <is>
          <t>MOMENTUM_ONLY</t>
        </is>
      </c>
    </row>
    <row r="37" ht="16" customHeight="1">
      <c r="A37" s="13" t="n">
        <v>33</v>
      </c>
      <c r="B37" s="14" t="inlineStr">
        <is>
          <t>Sundaram Global Brand Theme-Equity Active FOF - Regular Growth</t>
        </is>
      </c>
      <c r="C37" s="14" t="inlineStr">
        <is>
          <t>Sundaram Mutual Fund</t>
        </is>
      </c>
      <c r="D37" s="14" t="inlineStr">
        <is>
          <t>International</t>
        </is>
      </c>
      <c r="E37" s="15" t="n">
        <v>2.8</v>
      </c>
      <c r="F37" s="15" t="n">
        <v>2.37</v>
      </c>
      <c r="G37" s="15" t="n">
        <v>11.37</v>
      </c>
      <c r="H37" s="15" t="n">
        <v>21.75</v>
      </c>
      <c r="I37" s="15" t="n">
        <v>20.17071190602142</v>
      </c>
      <c r="J37" s="15" t="n">
        <v>66.91</v>
      </c>
      <c r="K37" s="37" t="n">
        <v>37.2</v>
      </c>
      <c r="L37" s="18" t="n">
        <v>25.4</v>
      </c>
      <c r="M37" s="19" t="n">
        <v>31.9</v>
      </c>
      <c r="N37" s="20" t="inlineStr">
        <is>
          <t>📉 Weak</t>
        </is>
      </c>
      <c r="O37" s="20" t="inlineStr">
        <is>
          <t>⚠️ Below Avg</t>
        </is>
      </c>
      <c r="P37" s="20" t="inlineStr">
        <is>
          <t>🔴 Avoid</t>
        </is>
      </c>
      <c r="Q37" s="83" t="inlineStr">
        <is>
          <t>FULL</t>
        </is>
      </c>
    </row>
    <row r="38" ht="16" customHeight="1">
      <c r="A38" s="28" t="n">
        <v>34</v>
      </c>
      <c r="B38" s="29" t="inlineStr">
        <is>
          <t>ICICI Prudential Global Stable Equity Fund (FOF) - Growth</t>
        </is>
      </c>
      <c r="C38" s="29" t="inlineStr">
        <is>
          <t>ICICI Prudential Mutual Fund</t>
        </is>
      </c>
      <c r="D38" s="29" t="inlineStr">
        <is>
          <t>International</t>
        </is>
      </c>
      <c r="E38" s="30" t="n">
        <v>1.67</v>
      </c>
      <c r="F38" s="30" t="n">
        <v>4.67</v>
      </c>
      <c r="G38" s="30" t="n">
        <v>7.08</v>
      </c>
      <c r="H38" s="30" t="n">
        <v>19.1</v>
      </c>
      <c r="I38" s="30" t="n">
        <v>15.71948841919411</v>
      </c>
      <c r="J38" s="30" t="n">
        <v>48.97</v>
      </c>
      <c r="K38" s="37" t="n">
        <v>38.2</v>
      </c>
      <c r="L38" s="18" t="n">
        <v>14.5</v>
      </c>
      <c r="M38" s="19" t="n">
        <v>27.5</v>
      </c>
      <c r="N38" s="31" t="inlineStr">
        <is>
          <t>📉 Weak</t>
        </is>
      </c>
      <c r="O38" s="31" t="inlineStr">
        <is>
          <t>⚠️ Below Avg</t>
        </is>
      </c>
      <c r="P38" s="31" t="inlineStr">
        <is>
          <t>🔴 Avoid</t>
        </is>
      </c>
      <c r="Q38" s="83" t="inlineStr">
        <is>
          <t>FULL</t>
        </is>
      </c>
    </row>
    <row r="39" ht="16" customHeight="1">
      <c r="A39" s="13" t="n">
        <v>35</v>
      </c>
      <c r="B39" s="14" t="inlineStr">
        <is>
          <t>PGIM India Global Equity Opportunities Fund of Fund- Growth</t>
        </is>
      </c>
      <c r="C39" s="14" t="inlineStr">
        <is>
          <t>PGIM India Mutual Fund</t>
        </is>
      </c>
      <c r="D39" s="14" t="inlineStr">
        <is>
          <t>International</t>
        </is>
      </c>
      <c r="E39" s="15" t="n">
        <v>1.8</v>
      </c>
      <c r="F39" s="15" t="n">
        <v>1.64</v>
      </c>
      <c r="G39" s="15" t="n">
        <v>14.18</v>
      </c>
      <c r="H39" s="15" t="n">
        <v>14.41</v>
      </c>
      <c r="I39" s="15" t="n">
        <v>10.79711187571633</v>
      </c>
      <c r="J39" s="15" t="n">
        <v>65.56999999999999</v>
      </c>
      <c r="K39" s="37" t="n">
        <v>37.6</v>
      </c>
      <c r="L39" s="18" t="n">
        <v>12.4</v>
      </c>
      <c r="M39" s="19" t="n">
        <v>26.3</v>
      </c>
      <c r="N39" s="20" t="inlineStr">
        <is>
          <t>📉 Weak</t>
        </is>
      </c>
      <c r="O39" s="20" t="inlineStr">
        <is>
          <t>⚠️ Below Avg</t>
        </is>
      </c>
      <c r="P39" s="20" t="inlineStr">
        <is>
          <t>🔴 Avoid</t>
        </is>
      </c>
      <c r="Q39" s="83" t="inlineStr">
        <is>
          <t>FULL</t>
        </is>
      </c>
    </row>
    <row r="40" ht="16" customHeight="1">
      <c r="A40" s="28" t="n">
        <v>36</v>
      </c>
      <c r="B40" s="29" t="inlineStr">
        <is>
          <t>PGIM India Global Select Real Estate Securities Fund of Fund - Regular Plan - Growth Option</t>
        </is>
      </c>
      <c r="C40" s="29" t="inlineStr">
        <is>
          <t>PGIM India Mutual Fund</t>
        </is>
      </c>
      <c r="D40" s="29" t="inlineStr">
        <is>
          <t>International</t>
        </is>
      </c>
      <c r="E40" s="91" t="n">
        <v>-2.51</v>
      </c>
      <c r="F40" s="30" t="n">
        <v>1.57</v>
      </c>
      <c r="G40" s="30" t="n">
        <v>6.93</v>
      </c>
      <c r="H40" s="30" t="n">
        <v>24.04</v>
      </c>
      <c r="I40" s="30" t="n">
        <v>14.66908912169835</v>
      </c>
      <c r="J40" s="30" t="n">
        <v>56.34</v>
      </c>
      <c r="K40" s="37" t="n">
        <v>26.1</v>
      </c>
      <c r="L40" s="18" t="n">
        <v>17.9</v>
      </c>
      <c r="M40" s="19" t="n">
        <v>22.5</v>
      </c>
      <c r="N40" s="31" t="inlineStr">
        <is>
          <t>📉 Weak</t>
        </is>
      </c>
      <c r="O40" s="31" t="inlineStr">
        <is>
          <t>⚠️ Below Avg</t>
        </is>
      </c>
      <c r="P40" s="31" t="inlineStr">
        <is>
          <t>🔴 Avoid</t>
        </is>
      </c>
      <c r="Q40" s="83" t="inlineStr">
        <is>
          <t>FULL</t>
        </is>
      </c>
    </row>
    <row r="41" ht="16" customHeight="1">
      <c r="A41" s="13" t="n">
        <v>37</v>
      </c>
      <c r="B41" s="14" t="inlineStr">
        <is>
          <t>Baroda BNP Paribas Aqua Fund of Fund - Regular Plan Growth</t>
        </is>
      </c>
      <c r="C41" s="14" t="inlineStr">
        <is>
          <t>Baroda BNP Paribas Mutual Fund</t>
        </is>
      </c>
      <c r="D41" s="14" t="inlineStr">
        <is>
          <t>Standard Equity/Debt</t>
        </is>
      </c>
      <c r="E41" s="16" t="n">
        <v>-1.03</v>
      </c>
      <c r="F41" s="15" t="n">
        <v>5.42</v>
      </c>
      <c r="G41" s="15" t="n">
        <v>1.66</v>
      </c>
      <c r="H41" s="15" t="n">
        <v>14.18</v>
      </c>
      <c r="I41" s="15" t="n">
        <v>13.37989239719715</v>
      </c>
      <c r="J41" s="15" t="n">
        <v>50.4</v>
      </c>
      <c r="K41" s="37" t="n">
        <v>26.9</v>
      </c>
      <c r="L41" s="18" t="n">
        <v>11.4</v>
      </c>
      <c r="M41" s="19" t="n">
        <v>19.9</v>
      </c>
      <c r="N41" s="20" t="inlineStr">
        <is>
          <t>📉 Weak</t>
        </is>
      </c>
      <c r="O41" s="20" t="inlineStr">
        <is>
          <t>⚠️ Below Avg</t>
        </is>
      </c>
      <c r="P41" s="20" t="inlineStr">
        <is>
          <t>🔴 Avoid</t>
        </is>
      </c>
      <c r="Q41" s="83" t="inlineStr">
        <is>
          <t>FULL</t>
        </is>
      </c>
    </row>
    <row r="42" ht="16" customHeight="1">
      <c r="A42" s="28" t="n">
        <v>38</v>
      </c>
      <c r="B42" s="29" t="inlineStr">
        <is>
          <t>Bandhan US Treasury Bond 0-1 year specific Debt Passive FOF - REGULAR PLAN - GROWTH</t>
        </is>
      </c>
      <c r="C42" s="29" t="inlineStr">
        <is>
          <t>Bandhan Mutual Fund</t>
        </is>
      </c>
      <c r="D42" s="29" t="inlineStr">
        <is>
          <t>Standard Equity/Debt</t>
        </is>
      </c>
      <c r="E42" s="91" t="n">
        <v>-0.44</v>
      </c>
      <c r="F42" s="30" t="n">
        <v>0.12</v>
      </c>
      <c r="G42" s="30" t="n">
        <v>7.22</v>
      </c>
      <c r="H42" s="30" t="n">
        <v>13.21</v>
      </c>
      <c r="I42" s="30" t="n">
        <v>10.86929241228158</v>
      </c>
      <c r="J42" s="30" t="n">
        <v>30.63</v>
      </c>
      <c r="K42" s="37" t="n">
        <v>24</v>
      </c>
      <c r="L42" s="18" t="n">
        <v>2.7</v>
      </c>
      <c r="M42" s="19" t="n">
        <v>14.4</v>
      </c>
      <c r="N42" s="31" t="inlineStr">
        <is>
          <t>📉 Weak</t>
        </is>
      </c>
      <c r="O42" s="31" t="inlineStr">
        <is>
          <t>⚠️ Below Avg</t>
        </is>
      </c>
      <c r="P42" s="31" t="inlineStr">
        <is>
          <t>🔴 Avoid</t>
        </is>
      </c>
      <c r="Q42" s="83" t="inlineStr">
        <is>
          <t>FULL</t>
        </is>
      </c>
    </row>
    <row r="43" ht="16" customHeight="1">
      <c r="A43" s="92" t="n">
        <v>39</v>
      </c>
      <c r="B43" s="93" t="inlineStr">
        <is>
          <t>Aditya Birla Sun Life US Treasury 1-3 Year Bond ETFs Fund Of Funds-Regular Growth</t>
        </is>
      </c>
      <c r="C43" s="93" t="inlineStr">
        <is>
          <t>Aditya Birla Sun Life Mutual Fund</t>
        </is>
      </c>
      <c r="D43" s="93" t="inlineStr">
        <is>
          <t>Standard Equity/Debt</t>
        </is>
      </c>
      <c r="E43" s="97" t="n">
        <v>-0.38</v>
      </c>
      <c r="F43" s="94" t="n">
        <v>0.02</v>
      </c>
      <c r="G43" s="94" t="n">
        <v>6.06</v>
      </c>
      <c r="H43" s="94" t="n">
        <v>12.25</v>
      </c>
      <c r="I43" s="94" t="n">
        <v>10.48076755707303</v>
      </c>
      <c r="J43" s="94" t="n">
        <v>0</v>
      </c>
      <c r="K43" s="37" t="n">
        <v>21</v>
      </c>
      <c r="L43" s="18" t="n">
        <v>0</v>
      </c>
      <c r="M43" s="19" t="n">
        <v>11.6</v>
      </c>
      <c r="N43" s="95" t="inlineStr">
        <is>
          <t>📉 Weak</t>
        </is>
      </c>
      <c r="O43" s="95" t="inlineStr">
        <is>
          <t>⏳ New Fund</t>
        </is>
      </c>
      <c r="P43" s="95" t="inlineStr">
        <is>
          <t>⏳ New Fund</t>
        </is>
      </c>
      <c r="Q43" s="96" t="inlineStr">
        <is>
          <t>MOMENTUM_ONLY</t>
        </is>
      </c>
    </row>
    <row r="44" ht="16" customHeight="1">
      <c r="A44" s="28" t="n">
        <v>40</v>
      </c>
      <c r="B44" s="29" t="inlineStr">
        <is>
          <t>Kotak International REIT Overseas Equity Omni FOF - Regular Plan - Growth</t>
        </is>
      </c>
      <c r="C44" s="29" t="inlineStr">
        <is>
          <t>Kotak Mahindra Mutual Fund</t>
        </is>
      </c>
      <c r="D44" s="29" t="inlineStr">
        <is>
          <t>International</t>
        </is>
      </c>
      <c r="E44" s="91" t="n">
        <v>-0.67</v>
      </c>
      <c r="F44" s="30" t="n">
        <v>1.13</v>
      </c>
      <c r="G44" s="30" t="n">
        <v>1.52</v>
      </c>
      <c r="H44" s="30" t="n">
        <v>8.58</v>
      </c>
      <c r="I44" s="30" t="n">
        <v>11.28791488746654</v>
      </c>
      <c r="J44" s="30" t="n">
        <v>34.24</v>
      </c>
      <c r="K44" s="37" t="n">
        <v>15.3</v>
      </c>
      <c r="L44" s="18" t="n">
        <v>4.5</v>
      </c>
      <c r="M44" s="19" t="n">
        <v>10.5</v>
      </c>
      <c r="N44" s="31" t="inlineStr">
        <is>
          <t>📉 Weak</t>
        </is>
      </c>
      <c r="O44" s="31" t="inlineStr">
        <is>
          <t>⚠️ Below Avg</t>
        </is>
      </c>
      <c r="P44" s="31" t="inlineStr">
        <is>
          <t>🔴 Avoid</t>
        </is>
      </c>
      <c r="Q44" s="83" t="inlineStr">
        <is>
          <t>FULL</t>
        </is>
      </c>
    </row>
    <row r="45" ht="16" customHeight="1">
      <c r="A45" s="13" t="n">
        <v>41</v>
      </c>
      <c r="B45" s="14" t="inlineStr">
        <is>
          <t>Kotak International REIT Overseas Equity Omni FOF - Regular Plan - Payout of Income Distribution cum capital withdrawal option</t>
        </is>
      </c>
      <c r="C45" s="14" t="inlineStr">
        <is>
          <t>Kotak Mahindra Mutual Fund</t>
        </is>
      </c>
      <c r="D45" s="14" t="inlineStr">
        <is>
          <t>International</t>
        </is>
      </c>
      <c r="E45" s="16" t="n">
        <v>-0.67</v>
      </c>
      <c r="F45" s="15" t="n">
        <v>1.13</v>
      </c>
      <c r="G45" s="15" t="n">
        <v>1.52</v>
      </c>
      <c r="H45" s="15" t="n">
        <v>8.57</v>
      </c>
      <c r="I45" s="15" t="n">
        <v>11.28791488746654</v>
      </c>
      <c r="J45" s="15" t="n">
        <v>34.24</v>
      </c>
      <c r="K45" s="37" t="n">
        <v>14.8</v>
      </c>
      <c r="L45" s="18" t="n">
        <v>3.8</v>
      </c>
      <c r="M45" s="19" t="n">
        <v>9.9</v>
      </c>
      <c r="N45" s="20" t="inlineStr">
        <is>
          <t>📉 Weak</t>
        </is>
      </c>
      <c r="O45" s="20" t="inlineStr">
        <is>
          <t>⚠️ Below Avg</t>
        </is>
      </c>
      <c r="P45" s="20" t="inlineStr">
        <is>
          <t>🔴 Avoid</t>
        </is>
      </c>
      <c r="Q45" s="83" t="inlineStr">
        <is>
          <t>FULL</t>
        </is>
      </c>
    </row>
    <row r="46" ht="16" customHeight="1">
      <c r="A46" s="28" t="n">
        <v>42</v>
      </c>
      <c r="B46" s="29" t="inlineStr">
        <is>
          <t>Mahindra Manulife Asia Pacific REITs FOF - Regular Plan - Growth</t>
        </is>
      </c>
      <c r="C46" s="29" t="inlineStr">
        <is>
          <t>Mahindra Manulife Mutual Fund</t>
        </is>
      </c>
      <c r="D46" s="29" t="inlineStr">
        <is>
          <t>Standard Equity/Debt</t>
        </is>
      </c>
      <c r="E46" s="91" t="n">
        <v>-0.85</v>
      </c>
      <c r="F46" s="91" t="n">
        <v>-0.57</v>
      </c>
      <c r="G46" s="91" t="n">
        <v>-0.1</v>
      </c>
      <c r="H46" s="30" t="n">
        <v>11.79</v>
      </c>
      <c r="I46" s="30" t="n">
        <v>13.47686988985906</v>
      </c>
      <c r="J46" s="30" t="n">
        <v>31.8</v>
      </c>
      <c r="K46" s="37" t="n">
        <v>11.8</v>
      </c>
      <c r="L46" s="18" t="n">
        <v>6.3</v>
      </c>
      <c r="M46" s="19" t="n">
        <v>9.300000000000001</v>
      </c>
      <c r="N46" s="31" t="inlineStr">
        <is>
          <t>📉 Weak</t>
        </is>
      </c>
      <c r="O46" s="31" t="inlineStr">
        <is>
          <t>⚠️ Below Avg</t>
        </is>
      </c>
      <c r="P46" s="31" t="inlineStr">
        <is>
          <t>🔴 Avoid</t>
        </is>
      </c>
      <c r="Q46" s="83" t="inlineStr">
        <is>
          <t>FULL</t>
        </is>
      </c>
    </row>
    <row r="47" ht="16" customHeight="1">
      <c r="A47" s="92" t="n">
        <v>43</v>
      </c>
      <c r="B47" s="93" t="inlineStr">
        <is>
          <t>Aditya Birla Sun Life US Treasury 3-10 Year Bond ETFs Fund Of Funds-Regular Growth</t>
        </is>
      </c>
      <c r="C47" s="93" t="inlineStr">
        <is>
          <t>Aditya Birla Sun Life Mutual Fund</t>
        </is>
      </c>
      <c r="D47" s="93" t="inlineStr">
        <is>
          <t>Standard Equity/Debt</t>
        </is>
      </c>
      <c r="E47" s="97" t="n">
        <v>-0.92</v>
      </c>
      <c r="F47" s="94" t="n">
        <v>0.06</v>
      </c>
      <c r="G47" s="94" t="n">
        <v>3.99</v>
      </c>
      <c r="H47" s="94" t="n">
        <v>10.83</v>
      </c>
      <c r="I47" s="94" t="n">
        <v>9.444049632677597</v>
      </c>
      <c r="J47" s="94" t="n">
        <v>0</v>
      </c>
      <c r="K47" s="37" t="n">
        <v>15.6</v>
      </c>
      <c r="L47" s="18" t="n">
        <v>0</v>
      </c>
      <c r="M47" s="19" t="n">
        <v>8.6</v>
      </c>
      <c r="N47" s="95" t="inlineStr">
        <is>
          <t>📉 Weak</t>
        </is>
      </c>
      <c r="O47" s="95" t="inlineStr">
        <is>
          <t>⏳ New Fund</t>
        </is>
      </c>
      <c r="P47" s="95" t="inlineStr">
        <is>
          <t>⏳ New Fund</t>
        </is>
      </c>
      <c r="Q47" s="96" t="inlineStr">
        <is>
          <t>MOMENTUM_ONLY</t>
        </is>
      </c>
    </row>
    <row r="48" ht="16" customHeight="1">
      <c r="A48" s="92" t="n">
        <v>44</v>
      </c>
      <c r="B48" s="93" t="inlineStr">
        <is>
          <t>DSP US Specific Debt Passive FoF - Regular - Growth</t>
        </is>
      </c>
      <c r="C48" s="93" t="inlineStr">
        <is>
          <t>DSP Mutual Fund</t>
        </is>
      </c>
      <c r="D48" s="93" t="inlineStr">
        <is>
          <t>Standard Equity/Debt</t>
        </is>
      </c>
      <c r="E48" s="97" t="n">
        <v>-1.32</v>
      </c>
      <c r="F48" s="94" t="n">
        <v>0.21</v>
      </c>
      <c r="G48" s="94" t="n">
        <v>3.53</v>
      </c>
      <c r="H48" s="94" t="n">
        <v>10.85</v>
      </c>
      <c r="I48" s="94" t="n">
        <v>8.903627120495861</v>
      </c>
      <c r="J48" s="94" t="n">
        <v>0</v>
      </c>
      <c r="K48" s="37" t="n">
        <v>15.2</v>
      </c>
      <c r="L48" s="18" t="n">
        <v>0</v>
      </c>
      <c r="M48" s="19" t="n">
        <v>8.4</v>
      </c>
      <c r="N48" s="95" t="inlineStr">
        <is>
          <t>📉 Weak</t>
        </is>
      </c>
      <c r="O48" s="95" t="inlineStr">
        <is>
          <t>⏳ New Fund</t>
        </is>
      </c>
      <c r="P48" s="95" t="inlineStr">
        <is>
          <t>⏳ New Fund</t>
        </is>
      </c>
      <c r="Q48" s="96" t="inlineStr">
        <is>
          <t>MOMENTUM_ONLY</t>
        </is>
      </c>
    </row>
    <row r="49" ht="16" customHeight="1">
      <c r="A49" s="92" t="n">
        <v>45</v>
      </c>
      <c r="B49" s="93" t="inlineStr">
        <is>
          <t>Axis US Specific Treasury Dynamic Debt Passive FOF - Regular Plan - Growth Option</t>
        </is>
      </c>
      <c r="C49" s="93" t="inlineStr">
        <is>
          <t>Axis Mutual Fund</t>
        </is>
      </c>
      <c r="D49" s="93" t="inlineStr">
        <is>
          <t>Standard Equity/Debt</t>
        </is>
      </c>
      <c r="E49" s="97" t="n">
        <v>-1.46</v>
      </c>
      <c r="F49" s="94" t="n">
        <v>0.23</v>
      </c>
      <c r="G49" s="94" t="n">
        <v>3.04</v>
      </c>
      <c r="H49" s="94" t="n">
        <v>10.43</v>
      </c>
      <c r="I49" s="94" t="n">
        <v>8.494239478416542</v>
      </c>
      <c r="J49" s="94" t="n">
        <v>0</v>
      </c>
      <c r="K49" s="37" t="n">
        <v>13.3</v>
      </c>
      <c r="L49" s="18" t="n">
        <v>0</v>
      </c>
      <c r="M49" s="19" t="n">
        <v>7.3</v>
      </c>
      <c r="N49" s="95" t="inlineStr">
        <is>
          <t>📉 Weak</t>
        </is>
      </c>
      <c r="O49" s="95" t="inlineStr">
        <is>
          <t>⏳ New Fund</t>
        </is>
      </c>
      <c r="P49" s="95" t="inlineStr">
        <is>
          <t>⏳ New Fund</t>
        </is>
      </c>
      <c r="Q49" s="96" t="inlineStr">
        <is>
          <t>MOMENTUM_ONLY</t>
        </is>
      </c>
    </row>
    <row r="50" ht="16" customHeight="1">
      <c r="A50" s="98" t="n">
        <v>0</v>
      </c>
      <c r="B50" s="99" t="inlineStr">
        <is>
          <t>Kotak Quality Overseas Equity Omni FOF - Regular Plan - Growth</t>
        </is>
      </c>
      <c r="C50" s="99" t="inlineStr">
        <is>
          <t>Kotak Mahindra Mutual Fund</t>
        </is>
      </c>
      <c r="D50" s="99" t="inlineStr">
        <is>
          <t>International</t>
        </is>
      </c>
      <c r="E50" s="100" t="n">
        <v>3.39</v>
      </c>
      <c r="F50" s="100" t="n">
        <v>5.2</v>
      </c>
      <c r="G50" s="100" t="n">
        <v>0</v>
      </c>
      <c r="H50" s="100" t="n">
        <v>0</v>
      </c>
      <c r="I50" s="100" t="n">
        <v>0</v>
      </c>
      <c r="J50" s="100" t="n">
        <v>0</v>
      </c>
      <c r="K50" s="37" t="n">
        <v>0</v>
      </c>
      <c r="L50" s="18" t="n">
        <v>0</v>
      </c>
      <c r="M50" s="19" t="n">
        <v>0</v>
      </c>
      <c r="N50" s="101" t="inlineStr">
        <is>
          <t>❌ N/A</t>
        </is>
      </c>
      <c r="O50" s="101" t="inlineStr">
        <is>
          <t>❌ N/A</t>
        </is>
      </c>
      <c r="P50" s="101" t="inlineStr">
        <is>
          <t>❌ Missing Data</t>
        </is>
      </c>
      <c r="Q50" s="102" t="inlineStr">
        <is>
          <t>MISSING</t>
        </is>
      </c>
    </row>
  </sheetData>
  <autoFilter ref="A4:Q5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4" t="inlineStr">
        <is>
          <t>✦  GOLD ETF  ✦</t>
        </is>
      </c>
    </row>
    <row r="2" ht="16" customHeight="1">
      <c r="A2" s="2">
        <f>"Dual Engine: 55% Momentum + 45% Quality | ✅ Full: "&amp;COUNTIF(Q5:Q27,"FULL")&amp;" | ⚠️ Momentum: "&amp;COUNTIF(Q5:Q27,"MOMENTUM_ONLY")&amp;" | ❌ Missing: "&amp;COUNTIF(Q5:Q27,"MISSING")&amp;" | Total: "&amp;COUNTA(B5:B27)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9" t="n">
        <v>1</v>
      </c>
      <c r="B5" s="80" t="inlineStr">
        <is>
          <t>Quantum Gold ETF</t>
        </is>
      </c>
      <c r="C5" s="80" t="inlineStr">
        <is>
          <t>Quantum Mutual Fund</t>
        </is>
      </c>
      <c r="D5" s="80" t="inlineStr">
        <is>
          <t>Gold</t>
        </is>
      </c>
      <c r="E5" s="81" t="n">
        <v>9.050000000000001</v>
      </c>
      <c r="F5" s="82" t="n">
        <v>-3.16</v>
      </c>
      <c r="G5" s="81" t="n">
        <v>1.31</v>
      </c>
      <c r="H5" s="81" t="n">
        <v>52.76</v>
      </c>
      <c r="I5" s="81" t="n">
        <v>46.58444665106867</v>
      </c>
      <c r="J5" s="81" t="n">
        <v>156.52</v>
      </c>
      <c r="K5" s="17" t="n">
        <v>66.09999999999999</v>
      </c>
      <c r="L5" s="25" t="n">
        <v>88.90000000000001</v>
      </c>
      <c r="M5" s="26" t="n">
        <v>76.3</v>
      </c>
      <c r="N5" s="41" t="inlineStr">
        <is>
          <t>📈 Good</t>
        </is>
      </c>
      <c r="O5" s="41" t="inlineStr">
        <is>
          <t>⭐ Strong</t>
        </is>
      </c>
      <c r="P5" s="41" t="inlineStr">
        <is>
          <t>⭐ Strong Buy</t>
        </is>
      </c>
      <c r="Q5" s="83" t="inlineStr">
        <is>
          <t>FULL</t>
        </is>
      </c>
    </row>
    <row r="6" ht="16" customHeight="1">
      <c r="A6" s="84" t="n">
        <v>2</v>
      </c>
      <c r="B6" s="85" t="inlineStr">
        <is>
          <t>UTI GOLD Exchange Traded Fund</t>
        </is>
      </c>
      <c r="C6" s="85" t="inlineStr">
        <is>
          <t>UTI Mutual Fund</t>
        </is>
      </c>
      <c r="D6" s="85" t="inlineStr">
        <is>
          <t>Gold</t>
        </is>
      </c>
      <c r="E6" s="86" t="n">
        <v>9.06</v>
      </c>
      <c r="F6" s="104" t="n">
        <v>-3.16</v>
      </c>
      <c r="G6" s="86" t="n">
        <v>1.11</v>
      </c>
      <c r="H6" s="86" t="n">
        <v>52.86</v>
      </c>
      <c r="I6" s="86" t="n">
        <v>46.696966567138</v>
      </c>
      <c r="J6" s="86" t="n">
        <v>158.67</v>
      </c>
      <c r="K6" s="17" t="n">
        <v>55.6</v>
      </c>
      <c r="L6" s="25" t="n">
        <v>100</v>
      </c>
      <c r="M6" s="26" t="n">
        <v>75.59999999999999</v>
      </c>
      <c r="N6" s="27" t="inlineStr">
        <is>
          <t>➡️ Neutral</t>
        </is>
      </c>
      <c r="O6" s="27" t="inlineStr">
        <is>
          <t>🏆 Elite</t>
        </is>
      </c>
      <c r="P6" s="27" t="inlineStr">
        <is>
          <t>⭐ Strong Buy</t>
        </is>
      </c>
      <c r="Q6" s="83" t="inlineStr">
        <is>
          <t>FULL</t>
        </is>
      </c>
    </row>
    <row r="7" ht="16" customHeight="1">
      <c r="A7" s="87" t="n">
        <v>3</v>
      </c>
      <c r="B7" s="88" t="inlineStr">
        <is>
          <t>ICICI Prudential Gold ETF</t>
        </is>
      </c>
      <c r="C7" s="88" t="inlineStr">
        <is>
          <t>ICICI Prudential Mutual Fund</t>
        </is>
      </c>
      <c r="D7" s="88" t="inlineStr">
        <is>
          <t>Gold</t>
        </is>
      </c>
      <c r="E7" s="89" t="n">
        <v>8.99</v>
      </c>
      <c r="F7" s="90" t="n">
        <v>-3.13</v>
      </c>
      <c r="G7" s="89" t="n">
        <v>1.32</v>
      </c>
      <c r="H7" s="89" t="n">
        <v>52.43</v>
      </c>
      <c r="I7" s="89" t="n">
        <v>46.2805523642839</v>
      </c>
      <c r="J7" s="89" t="n">
        <v>156.05</v>
      </c>
      <c r="K7" s="17" t="n">
        <v>65.59999999999999</v>
      </c>
      <c r="L7" s="42" t="n">
        <v>72.8</v>
      </c>
      <c r="M7" s="35" t="n">
        <v>68.8</v>
      </c>
      <c r="N7" s="36" t="inlineStr">
        <is>
          <t>📈 Good</t>
        </is>
      </c>
      <c r="O7" s="36" t="inlineStr">
        <is>
          <t>🏛️ Solid</t>
        </is>
      </c>
      <c r="P7" s="36" t="inlineStr">
        <is>
          <t>🏛️ Quality Hold</t>
        </is>
      </c>
      <c r="Q7" s="83" t="inlineStr">
        <is>
          <t>FULL</t>
        </is>
      </c>
    </row>
    <row r="8" ht="16" customHeight="1">
      <c r="A8" s="28" t="n">
        <v>4</v>
      </c>
      <c r="B8" s="29" t="inlineStr">
        <is>
          <t>KOTAK GOLD ETF</t>
        </is>
      </c>
      <c r="C8" s="29" t="inlineStr">
        <is>
          <t>Kotak Mahindra Mutual Fund</t>
        </is>
      </c>
      <c r="D8" s="29" t="inlineStr">
        <is>
          <t>Gold</t>
        </is>
      </c>
      <c r="E8" s="30" t="n">
        <v>9.039999999999999</v>
      </c>
      <c r="F8" s="91" t="n">
        <v>-3.14</v>
      </c>
      <c r="G8" s="30" t="n">
        <v>1.32</v>
      </c>
      <c r="H8" s="30" t="n">
        <v>52.34</v>
      </c>
      <c r="I8" s="30" t="n">
        <v>46.12323566086265</v>
      </c>
      <c r="J8" s="30" t="n">
        <v>155.52</v>
      </c>
      <c r="K8" s="17" t="n">
        <v>68.2</v>
      </c>
      <c r="L8" s="42" t="n">
        <v>56.7</v>
      </c>
      <c r="M8" s="35" t="n">
        <v>63</v>
      </c>
      <c r="N8" s="31" t="inlineStr">
        <is>
          <t>📈 Good</t>
        </is>
      </c>
      <c r="O8" s="31" t="inlineStr">
        <is>
          <t>➡️ Average</t>
        </is>
      </c>
      <c r="P8" s="31" t="inlineStr">
        <is>
          <t>📈 Momentum Play</t>
        </is>
      </c>
      <c r="Q8" s="83" t="inlineStr">
        <is>
          <t>FULL</t>
        </is>
      </c>
    </row>
    <row r="9" ht="16" customHeight="1">
      <c r="A9" s="13" t="n">
        <v>5</v>
      </c>
      <c r="B9" s="14" t="inlineStr">
        <is>
          <t>Mirae Asset Gold ETF</t>
        </is>
      </c>
      <c r="C9" s="14" t="inlineStr">
        <is>
          <t>Mirae Asset Mutual Fund</t>
        </is>
      </c>
      <c r="D9" s="14" t="inlineStr">
        <is>
          <t>Gold</t>
        </is>
      </c>
      <c r="E9" s="15" t="n">
        <v>8.98</v>
      </c>
      <c r="F9" s="16" t="n">
        <v>-3.1</v>
      </c>
      <c r="G9" s="15" t="n">
        <v>1.38</v>
      </c>
      <c r="H9" s="15" t="n">
        <v>52.17</v>
      </c>
      <c r="I9" s="15" t="n">
        <v>46.04451376207188</v>
      </c>
      <c r="J9" s="15" t="n">
        <v>155.48</v>
      </c>
      <c r="K9" s="17" t="n">
        <v>72.3</v>
      </c>
      <c r="L9" s="18" t="n">
        <v>33.3</v>
      </c>
      <c r="M9" s="35" t="n">
        <v>54.7</v>
      </c>
      <c r="N9" s="20" t="inlineStr">
        <is>
          <t>📈 Good</t>
        </is>
      </c>
      <c r="O9" s="20" t="inlineStr">
        <is>
          <t>⚠️ Below Avg</t>
        </is>
      </c>
      <c r="P9" s="20" t="inlineStr">
        <is>
          <t>⚠️ Watch</t>
        </is>
      </c>
      <c r="Q9" s="83" t="inlineStr">
        <is>
          <t>FULL</t>
        </is>
      </c>
    </row>
    <row r="10" ht="16" customHeight="1">
      <c r="A10" s="28" t="n">
        <v>6</v>
      </c>
      <c r="B10" s="29" t="inlineStr">
        <is>
          <t>DSP Gold ETF</t>
        </is>
      </c>
      <c r="C10" s="29" t="inlineStr">
        <is>
          <t>DSP Mutual Fund</t>
        </is>
      </c>
      <c r="D10" s="29" t="inlineStr">
        <is>
          <t>Gold</t>
        </is>
      </c>
      <c r="E10" s="30" t="n">
        <v>8.99</v>
      </c>
      <c r="F10" s="91" t="n">
        <v>-3.11</v>
      </c>
      <c r="G10" s="30" t="n">
        <v>1.34</v>
      </c>
      <c r="H10" s="30" t="n">
        <v>52.3</v>
      </c>
      <c r="I10" s="30" t="n">
        <v>46.05478424207814</v>
      </c>
      <c r="J10" s="30" t="n">
        <v>155.14</v>
      </c>
      <c r="K10" s="17" t="n">
        <v>68.90000000000001</v>
      </c>
      <c r="L10" s="18" t="n">
        <v>37.2</v>
      </c>
      <c r="M10" s="35" t="n">
        <v>54.7</v>
      </c>
      <c r="N10" s="31" t="inlineStr">
        <is>
          <t>📈 Good</t>
        </is>
      </c>
      <c r="O10" s="31" t="inlineStr">
        <is>
          <t>⚠️ Below Avg</t>
        </is>
      </c>
      <c r="P10" s="31" t="inlineStr">
        <is>
          <t>⚠️ Watch</t>
        </is>
      </c>
      <c r="Q10" s="83" t="inlineStr">
        <is>
          <t>FULL</t>
        </is>
      </c>
    </row>
    <row r="11" ht="16" customHeight="1">
      <c r="A11" s="13" t="n">
        <v>7</v>
      </c>
      <c r="B11" s="14" t="inlineStr">
        <is>
          <t>HDFC Gold ETF - Growth Option</t>
        </is>
      </c>
      <c r="C11" s="14" t="inlineStr">
        <is>
          <t>HDFC Mutual Fund</t>
        </is>
      </c>
      <c r="D11" s="14" t="inlineStr">
        <is>
          <t>Gold</t>
        </is>
      </c>
      <c r="E11" s="15" t="n">
        <v>9.02</v>
      </c>
      <c r="F11" s="16" t="n">
        <v>-3.16</v>
      </c>
      <c r="G11" s="15" t="n">
        <v>1.28</v>
      </c>
      <c r="H11" s="15" t="n">
        <v>52.29</v>
      </c>
      <c r="I11" s="15" t="n">
        <v>45.88694252742431</v>
      </c>
      <c r="J11" s="15" t="n">
        <v>156.11</v>
      </c>
      <c r="K11" s="17" t="n">
        <v>53.7</v>
      </c>
      <c r="L11" s="18" t="n">
        <v>49.4</v>
      </c>
      <c r="M11" s="35" t="n">
        <v>51.8</v>
      </c>
      <c r="N11" s="20" t="inlineStr">
        <is>
          <t>➡️ Neutral</t>
        </is>
      </c>
      <c r="O11" s="20" t="inlineStr">
        <is>
          <t>➡️ Average</t>
        </is>
      </c>
      <c r="P11" s="20" t="inlineStr">
        <is>
          <t>⚠️ Watch</t>
        </is>
      </c>
      <c r="Q11" s="83" t="inlineStr">
        <is>
          <t>FULL</t>
        </is>
      </c>
    </row>
    <row r="12" ht="16" customHeight="1">
      <c r="A12" s="92" t="n">
        <v>8</v>
      </c>
      <c r="B12" s="93" t="inlineStr">
        <is>
          <t>Tata Gold Exchange Traded Fund</t>
        </is>
      </c>
      <c r="C12" s="93" t="inlineStr">
        <is>
          <t>Tata Mutual Fund</t>
        </is>
      </c>
      <c r="D12" s="93" t="inlineStr">
        <is>
          <t>Gold</t>
        </is>
      </c>
      <c r="E12" s="94" t="n">
        <v>8.949999999999999</v>
      </c>
      <c r="F12" s="97" t="n">
        <v>-3.08</v>
      </c>
      <c r="G12" s="94" t="n">
        <v>1.38</v>
      </c>
      <c r="H12" s="94" t="n">
        <v>52.36</v>
      </c>
      <c r="I12" s="94" t="n">
        <v>46.11981385151023</v>
      </c>
      <c r="J12" s="94" t="n">
        <v>0</v>
      </c>
      <c r="K12" s="24" t="n">
        <v>75.09999999999999</v>
      </c>
      <c r="L12" s="18" t="n">
        <v>0</v>
      </c>
      <c r="M12" s="19" t="n">
        <v>41.3</v>
      </c>
      <c r="N12" s="95" t="inlineStr">
        <is>
          <t>⭐ Strong</t>
        </is>
      </c>
      <c r="O12" s="95" t="inlineStr">
        <is>
          <t>⏳ New Fund</t>
        </is>
      </c>
      <c r="P12" s="95" t="inlineStr">
        <is>
          <t>📈 Momentum Only</t>
        </is>
      </c>
      <c r="Q12" s="96" t="inlineStr">
        <is>
          <t>MOMENTUM_ONLY</t>
        </is>
      </c>
    </row>
    <row r="13" ht="16" customHeight="1">
      <c r="A13" s="13" t="n">
        <v>9</v>
      </c>
      <c r="B13" s="14" t="inlineStr">
        <is>
          <t>Axis Gold ETF</t>
        </is>
      </c>
      <c r="C13" s="14" t="inlineStr">
        <is>
          <t>Axis Mutual Fund</t>
        </is>
      </c>
      <c r="D13" s="14" t="inlineStr">
        <is>
          <t>Gold</t>
        </is>
      </c>
      <c r="E13" s="15" t="n">
        <v>8.98</v>
      </c>
      <c r="F13" s="16" t="n">
        <v>-3.19</v>
      </c>
      <c r="G13" s="15" t="n">
        <v>1.15</v>
      </c>
      <c r="H13" s="15" t="n">
        <v>52.07</v>
      </c>
      <c r="I13" s="15" t="n">
        <v>46.05820757492543</v>
      </c>
      <c r="J13" s="15" t="n">
        <v>156.04</v>
      </c>
      <c r="K13" s="37" t="n">
        <v>31.3</v>
      </c>
      <c r="L13" s="18" t="n">
        <v>44.4</v>
      </c>
      <c r="M13" s="19" t="n">
        <v>37.2</v>
      </c>
      <c r="N13" s="20" t="inlineStr">
        <is>
          <t>📉 Weak</t>
        </is>
      </c>
      <c r="O13" s="20" t="inlineStr">
        <is>
          <t>➡️ Average</t>
        </is>
      </c>
      <c r="P13" s="20" t="inlineStr">
        <is>
          <t>🔴 Avoid</t>
        </is>
      </c>
      <c r="Q13" s="83" t="inlineStr">
        <is>
          <t>FULL</t>
        </is>
      </c>
    </row>
    <row r="14" ht="16" customHeight="1">
      <c r="A14" s="92" t="n">
        <v>10</v>
      </c>
      <c r="B14" s="93" t="inlineStr">
        <is>
          <t>360 ONE Gold ETF</t>
        </is>
      </c>
      <c r="C14" s="93" t="inlineStr">
        <is>
          <t>360 ONE Mutual Fund</t>
        </is>
      </c>
      <c r="D14" s="93" t="inlineStr">
        <is>
          <t>Gold</t>
        </is>
      </c>
      <c r="E14" s="94" t="n">
        <v>8.949999999999999</v>
      </c>
      <c r="F14" s="97" t="n">
        <v>-3.08</v>
      </c>
      <c r="G14" s="94" t="n">
        <v>1.37</v>
      </c>
      <c r="H14" s="94" t="n">
        <v>51.35</v>
      </c>
      <c r="I14" s="94" t="n">
        <v>0</v>
      </c>
      <c r="J14" s="94" t="n">
        <v>0</v>
      </c>
      <c r="K14" s="17" t="n">
        <v>59.4</v>
      </c>
      <c r="L14" s="18" t="n">
        <v>0</v>
      </c>
      <c r="M14" s="19" t="n">
        <v>32.7</v>
      </c>
      <c r="N14" s="95" t="inlineStr">
        <is>
          <t>➡️ Neutral</t>
        </is>
      </c>
      <c r="O14" s="95" t="inlineStr">
        <is>
          <t>⏳ New Fund</t>
        </is>
      </c>
      <c r="P14" s="95" t="inlineStr">
        <is>
          <t>⏳ New Fund</t>
        </is>
      </c>
      <c r="Q14" s="96" t="inlineStr">
        <is>
          <t>MOMENTUM_ONLY</t>
        </is>
      </c>
    </row>
    <row r="15" ht="16" customHeight="1">
      <c r="A15" s="92" t="n">
        <v>11</v>
      </c>
      <c r="B15" s="93" t="inlineStr">
        <is>
          <t>Zerodha Gold ETF</t>
        </is>
      </c>
      <c r="C15" s="93" t="inlineStr">
        <is>
          <t>Zerodha Mutual Fund</t>
        </is>
      </c>
      <c r="D15" s="93" t="inlineStr">
        <is>
          <t>Gold</t>
        </is>
      </c>
      <c r="E15" s="94" t="n">
        <v>9.109999999999999</v>
      </c>
      <c r="F15" s="97" t="n">
        <v>-3.16</v>
      </c>
      <c r="G15" s="94" t="n">
        <v>1.27</v>
      </c>
      <c r="H15" s="94" t="n">
        <v>52.36</v>
      </c>
      <c r="I15" s="94" t="n">
        <v>46.13350060817676</v>
      </c>
      <c r="J15" s="94" t="n">
        <v>0</v>
      </c>
      <c r="K15" s="17" t="n">
        <v>57.7</v>
      </c>
      <c r="L15" s="18" t="n">
        <v>0</v>
      </c>
      <c r="M15" s="19" t="n">
        <v>31.8</v>
      </c>
      <c r="N15" s="95" t="inlineStr">
        <is>
          <t>➡️ Neutral</t>
        </is>
      </c>
      <c r="O15" s="95" t="inlineStr">
        <is>
          <t>⏳ New Fund</t>
        </is>
      </c>
      <c r="P15" s="95" t="inlineStr">
        <is>
          <t>⏳ New Fund</t>
        </is>
      </c>
      <c r="Q15" s="96" t="inlineStr">
        <is>
          <t>MOMENTUM_ONLY</t>
        </is>
      </c>
    </row>
    <row r="16" ht="16" customHeight="1">
      <c r="A16" s="92" t="n">
        <v>12</v>
      </c>
      <c r="B16" s="93" t="inlineStr">
        <is>
          <t>The Wealth Company Gold ETF</t>
        </is>
      </c>
      <c r="C16" s="93" t="inlineStr">
        <is>
          <t>The Wealth Company Mutual Fund</t>
        </is>
      </c>
      <c r="D16" s="93" t="inlineStr">
        <is>
          <t>Gold</t>
        </is>
      </c>
      <c r="E16" s="94" t="n">
        <v>8.789999999999999</v>
      </c>
      <c r="F16" s="97" t="n">
        <v>-2.97</v>
      </c>
      <c r="G16" s="94" t="n">
        <v>1.42</v>
      </c>
      <c r="H16" s="94" t="n">
        <v>0</v>
      </c>
      <c r="I16" s="94" t="n">
        <v>0</v>
      </c>
      <c r="J16" s="94" t="n">
        <v>0</v>
      </c>
      <c r="K16" s="17" t="n">
        <v>53.7</v>
      </c>
      <c r="L16" s="18" t="n">
        <v>0</v>
      </c>
      <c r="M16" s="19" t="n">
        <v>29.5</v>
      </c>
      <c r="N16" s="95" t="inlineStr">
        <is>
          <t>➡️ Neutral</t>
        </is>
      </c>
      <c r="O16" s="95" t="inlineStr">
        <is>
          <t>⏳ New Fund</t>
        </is>
      </c>
      <c r="P16" s="95" t="inlineStr">
        <is>
          <t>⏳ New Fund</t>
        </is>
      </c>
      <c r="Q16" s="96" t="inlineStr">
        <is>
          <t>MOMENTUM_ONLY</t>
        </is>
      </c>
    </row>
    <row r="17" ht="16" customHeight="1">
      <c r="A17" s="13" t="n">
        <v>13</v>
      </c>
      <c r="B17" s="14" t="inlineStr">
        <is>
          <t>SBI Gold ETF</t>
        </is>
      </c>
      <c r="C17" s="14" t="inlineStr">
        <is>
          <t>SBI Mutual Fund</t>
        </is>
      </c>
      <c r="D17" s="14" t="inlineStr">
        <is>
          <t>Gold</t>
        </is>
      </c>
      <c r="E17" s="15" t="n">
        <v>8.99</v>
      </c>
      <c r="F17" s="16" t="n">
        <v>-3.17</v>
      </c>
      <c r="G17" s="15" t="n">
        <v>1.25</v>
      </c>
      <c r="H17" s="15" t="n">
        <v>52.13</v>
      </c>
      <c r="I17" s="15" t="n">
        <v>45.99657530229948</v>
      </c>
      <c r="J17" s="15" t="n">
        <v>154.99</v>
      </c>
      <c r="K17" s="37" t="n">
        <v>38.7</v>
      </c>
      <c r="L17" s="18" t="n">
        <v>17.2</v>
      </c>
      <c r="M17" s="19" t="n">
        <v>29</v>
      </c>
      <c r="N17" s="20" t="inlineStr">
        <is>
          <t>📉 Weak</t>
        </is>
      </c>
      <c r="O17" s="20" t="inlineStr">
        <is>
          <t>⚠️ Below Avg</t>
        </is>
      </c>
      <c r="P17" s="20" t="inlineStr">
        <is>
          <t>🔴 Avoid</t>
        </is>
      </c>
      <c r="Q17" s="83" t="inlineStr">
        <is>
          <t>FULL</t>
        </is>
      </c>
    </row>
    <row r="18" ht="16" customHeight="1">
      <c r="A18" s="92" t="n">
        <v>14</v>
      </c>
      <c r="B18" s="93" t="inlineStr">
        <is>
          <t>Edelweiss Gold ETF</t>
        </is>
      </c>
      <c r="C18" s="93" t="inlineStr">
        <is>
          <t>Edelweiss Mutual Fund</t>
        </is>
      </c>
      <c r="D18" s="93" t="inlineStr">
        <is>
          <t>Gold</t>
        </is>
      </c>
      <c r="E18" s="94" t="n">
        <v>8.94</v>
      </c>
      <c r="F18" s="97" t="n">
        <v>-3.11</v>
      </c>
      <c r="G18" s="94" t="n">
        <v>1.32</v>
      </c>
      <c r="H18" s="94" t="n">
        <v>51.88</v>
      </c>
      <c r="I18" s="94" t="n">
        <v>45.72576985557495</v>
      </c>
      <c r="J18" s="94" t="n">
        <v>0</v>
      </c>
      <c r="K18" s="37" t="n">
        <v>49.2</v>
      </c>
      <c r="L18" s="18" t="n">
        <v>0</v>
      </c>
      <c r="M18" s="19" t="n">
        <v>27</v>
      </c>
      <c r="N18" s="95" t="inlineStr">
        <is>
          <t>➡️ Neutral</t>
        </is>
      </c>
      <c r="O18" s="95" t="inlineStr">
        <is>
          <t>⏳ New Fund</t>
        </is>
      </c>
      <c r="P18" s="95" t="inlineStr">
        <is>
          <t>⏳ New Fund</t>
        </is>
      </c>
      <c r="Q18" s="96" t="inlineStr">
        <is>
          <t>MOMENTUM_ONLY</t>
        </is>
      </c>
    </row>
    <row r="19" ht="16" customHeight="1">
      <c r="A19" s="92" t="n">
        <v>15</v>
      </c>
      <c r="B19" s="93" t="inlineStr">
        <is>
          <t>ANGEL ONE GOLD ETF</t>
        </is>
      </c>
      <c r="C19" s="93" t="inlineStr">
        <is>
          <t>Angel One Mutual Fund</t>
        </is>
      </c>
      <c r="D19" s="93" t="inlineStr">
        <is>
          <t>Gold</t>
        </is>
      </c>
      <c r="E19" s="94" t="n">
        <v>8.92</v>
      </c>
      <c r="F19" s="97" t="n">
        <v>-3.1</v>
      </c>
      <c r="G19" s="94" t="n">
        <v>1.36</v>
      </c>
      <c r="H19" s="94" t="n">
        <v>0</v>
      </c>
      <c r="I19" s="94" t="n">
        <v>0</v>
      </c>
      <c r="J19" s="94" t="n">
        <v>0</v>
      </c>
      <c r="K19" s="37" t="n">
        <v>46.8</v>
      </c>
      <c r="L19" s="18" t="n">
        <v>0</v>
      </c>
      <c r="M19" s="19" t="n">
        <v>25.7</v>
      </c>
      <c r="N19" s="95" t="inlineStr">
        <is>
          <t>➡️ Neutral</t>
        </is>
      </c>
      <c r="O19" s="95" t="inlineStr">
        <is>
          <t>⏳ New Fund</t>
        </is>
      </c>
      <c r="P19" s="95" t="inlineStr">
        <is>
          <t>⏳ New Fund</t>
        </is>
      </c>
      <c r="Q19" s="96" t="inlineStr">
        <is>
          <t>MOMENTUM_ONLY</t>
        </is>
      </c>
    </row>
    <row r="20" ht="16" customHeight="1">
      <c r="A20" s="92" t="n">
        <v>16</v>
      </c>
      <c r="B20" s="93" t="inlineStr">
        <is>
          <t>Baroda BNP Paribas Gold ETF</t>
        </is>
      </c>
      <c r="C20" s="93" t="inlineStr">
        <is>
          <t>Baroda BNP Paribas Mutual Fund</t>
        </is>
      </c>
      <c r="D20" s="93" t="inlineStr">
        <is>
          <t>Gold</t>
        </is>
      </c>
      <c r="E20" s="94" t="n">
        <v>8.960000000000001</v>
      </c>
      <c r="F20" s="97" t="n">
        <v>-3.13</v>
      </c>
      <c r="G20" s="94" t="n">
        <v>1.28</v>
      </c>
      <c r="H20" s="94" t="n">
        <v>51.8</v>
      </c>
      <c r="I20" s="94" t="n">
        <v>45.76693726630878</v>
      </c>
      <c r="J20" s="94" t="n">
        <v>0</v>
      </c>
      <c r="K20" s="37" t="n">
        <v>40.6</v>
      </c>
      <c r="L20" s="18" t="n">
        <v>0</v>
      </c>
      <c r="M20" s="19" t="n">
        <v>22.3</v>
      </c>
      <c r="N20" s="95" t="inlineStr">
        <is>
          <t>➡️ Neutral</t>
        </is>
      </c>
      <c r="O20" s="95" t="inlineStr">
        <is>
          <t>⏳ New Fund</t>
        </is>
      </c>
      <c r="P20" s="95" t="inlineStr">
        <is>
          <t>⏳ New Fund</t>
        </is>
      </c>
      <c r="Q20" s="96" t="inlineStr">
        <is>
          <t>MOMENTUM_ONLY</t>
        </is>
      </c>
    </row>
    <row r="21" ht="16" customHeight="1">
      <c r="A21" s="92" t="n">
        <v>17</v>
      </c>
      <c r="B21" s="93" t="inlineStr">
        <is>
          <t>Bandhan Gold ETF</t>
        </is>
      </c>
      <c r="C21" s="93" t="inlineStr">
        <is>
          <t>Bandhan Mutual Fund</t>
        </is>
      </c>
      <c r="D21" s="93" t="inlineStr">
        <is>
          <t>Gold</t>
        </is>
      </c>
      <c r="E21" s="94" t="n">
        <v>8.880000000000001</v>
      </c>
      <c r="F21" s="97" t="n">
        <v>-3.09</v>
      </c>
      <c r="G21" s="94" t="n">
        <v>1.31</v>
      </c>
      <c r="H21" s="94" t="n">
        <v>0</v>
      </c>
      <c r="I21" s="94" t="n">
        <v>0</v>
      </c>
      <c r="J21" s="94" t="n">
        <v>0</v>
      </c>
      <c r="K21" s="37" t="n">
        <v>36.3</v>
      </c>
      <c r="L21" s="18" t="n">
        <v>0</v>
      </c>
      <c r="M21" s="19" t="n">
        <v>20</v>
      </c>
      <c r="N21" s="95" t="inlineStr">
        <is>
          <t>📉 Weak</t>
        </is>
      </c>
      <c r="O21" s="95" t="inlineStr">
        <is>
          <t>⏳ New Fund</t>
        </is>
      </c>
      <c r="P21" s="95" t="inlineStr">
        <is>
          <t>⏳ New Fund</t>
        </is>
      </c>
      <c r="Q21" s="96" t="inlineStr">
        <is>
          <t>MOMENTUM_ONLY</t>
        </is>
      </c>
    </row>
    <row r="22" ht="16" customHeight="1">
      <c r="A22" s="92" t="n">
        <v>18</v>
      </c>
      <c r="B22" s="93" t="inlineStr">
        <is>
          <t>Union Gold ETF</t>
        </is>
      </c>
      <c r="C22" s="93" t="inlineStr">
        <is>
          <t>Union Mutual Fund</t>
        </is>
      </c>
      <c r="D22" s="93" t="inlineStr">
        <is>
          <t>Gold</t>
        </is>
      </c>
      <c r="E22" s="94" t="n">
        <v>8.890000000000001</v>
      </c>
      <c r="F22" s="97" t="n">
        <v>-3.13</v>
      </c>
      <c r="G22" s="94" t="n">
        <v>1.31</v>
      </c>
      <c r="H22" s="94" t="n">
        <v>51.72</v>
      </c>
      <c r="I22" s="94" t="n">
        <v>0</v>
      </c>
      <c r="J22" s="94" t="n">
        <v>0</v>
      </c>
      <c r="K22" s="37" t="n">
        <v>35.1</v>
      </c>
      <c r="L22" s="18" t="n">
        <v>0</v>
      </c>
      <c r="M22" s="19" t="n">
        <v>19.3</v>
      </c>
      <c r="N22" s="95" t="inlineStr">
        <is>
          <t>📉 Weak</t>
        </is>
      </c>
      <c r="O22" s="95" t="inlineStr">
        <is>
          <t>⏳ New Fund</t>
        </is>
      </c>
      <c r="P22" s="95" t="inlineStr">
        <is>
          <t>⏳ New Fund</t>
        </is>
      </c>
      <c r="Q22" s="96" t="inlineStr">
        <is>
          <t>MOMENTUM_ONLY</t>
        </is>
      </c>
    </row>
    <row r="23" ht="16" customHeight="1">
      <c r="A23" s="13" t="n">
        <v>19</v>
      </c>
      <c r="B23" s="14" t="inlineStr">
        <is>
          <t>Nippon India ETF Gold BeES</t>
        </is>
      </c>
      <c r="C23" s="14" t="inlineStr">
        <is>
          <t>Nippon India Mutual Fund</t>
        </is>
      </c>
      <c r="D23" s="14" t="inlineStr">
        <is>
          <t>Gold</t>
        </is>
      </c>
      <c r="E23" s="15" t="n">
        <v>8.99</v>
      </c>
      <c r="F23" s="16" t="n">
        <v>-3.21</v>
      </c>
      <c r="G23" s="15" t="n">
        <v>1.17</v>
      </c>
      <c r="H23" s="15" t="n">
        <v>51.99</v>
      </c>
      <c r="I23" s="15" t="n">
        <v>45.8698049631931</v>
      </c>
      <c r="J23" s="15" t="n">
        <v>154.19</v>
      </c>
      <c r="K23" s="37" t="n">
        <v>33</v>
      </c>
      <c r="L23" s="18" t="n">
        <v>0</v>
      </c>
      <c r="M23" s="19" t="n">
        <v>18.1</v>
      </c>
      <c r="N23" s="20" t="inlineStr">
        <is>
          <t>📉 Weak</t>
        </is>
      </c>
      <c r="O23" s="20" t="inlineStr">
        <is>
          <t>🔴 Not Qualified</t>
        </is>
      </c>
      <c r="P23" s="20" t="inlineStr">
        <is>
          <t>🔴 Avoid</t>
        </is>
      </c>
      <c r="Q23" s="83" t="inlineStr">
        <is>
          <t>FULL</t>
        </is>
      </c>
    </row>
    <row r="24" ht="16" customHeight="1">
      <c r="A24" s="92" t="n">
        <v>19</v>
      </c>
      <c r="B24" s="93" t="inlineStr">
        <is>
          <t>Choice Gold ETF</t>
        </is>
      </c>
      <c r="C24" s="93" t="inlineStr">
        <is>
          <t>Choice Mutual Fund</t>
        </is>
      </c>
      <c r="D24" s="93" t="inlineStr">
        <is>
          <t>Gold</t>
        </is>
      </c>
      <c r="E24" s="94" t="n">
        <v>8.970000000000001</v>
      </c>
      <c r="F24" s="97" t="n">
        <v>-3.11</v>
      </c>
      <c r="G24" s="94" t="n">
        <v>1.27</v>
      </c>
      <c r="H24" s="94" t="n">
        <v>0</v>
      </c>
      <c r="I24" s="94" t="n">
        <v>0</v>
      </c>
      <c r="J24" s="94" t="n">
        <v>0</v>
      </c>
      <c r="K24" s="37" t="n">
        <v>33</v>
      </c>
      <c r="L24" s="18" t="n">
        <v>0</v>
      </c>
      <c r="M24" s="19" t="n">
        <v>18.1</v>
      </c>
      <c r="N24" s="95" t="inlineStr">
        <is>
          <t>📉 Weak</t>
        </is>
      </c>
      <c r="O24" s="95" t="inlineStr">
        <is>
          <t>⏳ New Fund</t>
        </is>
      </c>
      <c r="P24" s="95" t="inlineStr">
        <is>
          <t>⏳ New Fund</t>
        </is>
      </c>
      <c r="Q24" s="96" t="inlineStr">
        <is>
          <t>MOMENTUM_ONLY</t>
        </is>
      </c>
    </row>
    <row r="25" ht="16" customHeight="1">
      <c r="A25" s="13" t="n">
        <v>21</v>
      </c>
      <c r="B25" s="14" t="inlineStr">
        <is>
          <t>LIC MF Gold Exchange Traded Fund</t>
        </is>
      </c>
      <c r="C25" s="14" t="inlineStr">
        <is>
          <t>LIC Mutual Fund</t>
        </is>
      </c>
      <c r="D25" s="14" t="inlineStr">
        <is>
          <t>Gold</t>
        </is>
      </c>
      <c r="E25" s="15" t="n">
        <v>9</v>
      </c>
      <c r="F25" s="16" t="n">
        <v>-3.11</v>
      </c>
      <c r="G25" s="16" t="n">
        <v>-98.98999999999999</v>
      </c>
      <c r="H25" s="16" t="n">
        <v>-98.47</v>
      </c>
      <c r="I25" s="16" t="n">
        <v>-85.33712170138479</v>
      </c>
      <c r="J25" s="16" t="n">
        <v>-97.42</v>
      </c>
      <c r="K25" s="37" t="n">
        <v>28</v>
      </c>
      <c r="L25" s="18" t="n">
        <v>0</v>
      </c>
      <c r="M25" s="19" t="n">
        <v>15.4</v>
      </c>
      <c r="N25" s="20" t="inlineStr">
        <is>
          <t>📉 Weak</t>
        </is>
      </c>
      <c r="O25" s="20" t="inlineStr">
        <is>
          <t>🔴 Not Qualified</t>
        </is>
      </c>
      <c r="P25" s="20" t="inlineStr">
        <is>
          <t>🔴 Avoid</t>
        </is>
      </c>
      <c r="Q25" s="83" t="inlineStr">
        <is>
          <t>FULL</t>
        </is>
      </c>
    </row>
    <row r="26" ht="16" customHeight="1">
      <c r="A26" s="92" t="n">
        <v>21</v>
      </c>
      <c r="B26" s="93" t="inlineStr">
        <is>
          <t>Motilal Oswal Gold ETF</t>
        </is>
      </c>
      <c r="C26" s="93" t="inlineStr">
        <is>
          <t>Motilal Oswal Mutual Fund</t>
        </is>
      </c>
      <c r="D26" s="93" t="inlineStr">
        <is>
          <t>Gold</t>
        </is>
      </c>
      <c r="E26" s="94" t="n">
        <v>8.92</v>
      </c>
      <c r="F26" s="97" t="n">
        <v>-3.13</v>
      </c>
      <c r="G26" s="94" t="n">
        <v>1.27</v>
      </c>
      <c r="H26" s="94" t="n">
        <v>51.68</v>
      </c>
      <c r="I26" s="94" t="n">
        <v>0</v>
      </c>
      <c r="J26" s="94" t="n">
        <v>0</v>
      </c>
      <c r="K26" s="37" t="n">
        <v>28</v>
      </c>
      <c r="L26" s="18" t="n">
        <v>0</v>
      </c>
      <c r="M26" s="19" t="n">
        <v>15.4</v>
      </c>
      <c r="N26" s="95" t="inlineStr">
        <is>
          <t>📉 Weak</t>
        </is>
      </c>
      <c r="O26" s="95" t="inlineStr">
        <is>
          <t>⏳ New Fund</t>
        </is>
      </c>
      <c r="P26" s="95" t="inlineStr">
        <is>
          <t>⏳ New Fund</t>
        </is>
      </c>
      <c r="Q26" s="96" t="inlineStr">
        <is>
          <t>MOMENTUM_ONLY</t>
        </is>
      </c>
    </row>
    <row r="27" ht="16" customHeight="1">
      <c r="A27" s="98" t="n">
        <v>0</v>
      </c>
      <c r="B27" s="99" t="inlineStr">
        <is>
          <t>HSBC Gold ETF</t>
        </is>
      </c>
      <c r="C27" s="99" t="inlineStr">
        <is>
          <t>HSBC Mutual Fund</t>
        </is>
      </c>
      <c r="D27" s="99" t="inlineStr">
        <is>
          <t>Gold</t>
        </is>
      </c>
      <c r="E27" s="100" t="n">
        <v>8.880000000000001</v>
      </c>
      <c r="F27" s="103" t="n">
        <v>-3.12</v>
      </c>
      <c r="G27" s="100" t="n">
        <v>0</v>
      </c>
      <c r="H27" s="100" t="n">
        <v>0</v>
      </c>
      <c r="I27" s="100" t="n">
        <v>0</v>
      </c>
      <c r="J27" s="100" t="n">
        <v>0</v>
      </c>
      <c r="K27" s="37" t="n">
        <v>0</v>
      </c>
      <c r="L27" s="18" t="n">
        <v>0</v>
      </c>
      <c r="M27" s="19" t="n">
        <v>0</v>
      </c>
      <c r="N27" s="101" t="inlineStr">
        <is>
          <t>❌ N/A</t>
        </is>
      </c>
      <c r="O27" s="101" t="inlineStr">
        <is>
          <t>❌ N/A</t>
        </is>
      </c>
      <c r="P27" s="101" t="inlineStr">
        <is>
          <t>❌ Missing Data</t>
        </is>
      </c>
      <c r="Q27" s="102" t="inlineStr">
        <is>
          <t>MISSING</t>
        </is>
      </c>
    </row>
  </sheetData>
  <autoFilter ref="A4:Q2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4" t="inlineStr">
        <is>
          <t>✦  INDEX FUNDS  ✦</t>
        </is>
      </c>
    </row>
    <row r="2" ht="16" customHeight="1">
      <c r="A2" s="2">
        <f>"Dual Engine: 55% Momentum + 45% Quality | ✅ Full: "&amp;COUNTIF(Q5:Q346,"FULL")&amp;" | ⚠️ Momentum: "&amp;COUNTIF(Q5:Q346,"MOMENTUM_ONLY")&amp;" | ❌ Missing: "&amp;COUNTIF(Q5:Q346,"MISSING")&amp;" | Total: "&amp;COUNTA(B5:B346)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9" t="n">
        <v>1</v>
      </c>
      <c r="B5" s="80" t="inlineStr">
        <is>
          <t>ICICI Prudential NASDAQ 100 Index Fund - Growth</t>
        </is>
      </c>
      <c r="C5" s="80" t="inlineStr">
        <is>
          <t>ICICI Prudential Mutual Fund</t>
        </is>
      </c>
      <c r="D5" s="80" t="inlineStr">
        <is>
          <t>NASDAQ</t>
        </is>
      </c>
      <c r="E5" s="81" t="n">
        <v>4</v>
      </c>
      <c r="F5" s="81" t="n">
        <v>3.08</v>
      </c>
      <c r="G5" s="81" t="n">
        <v>26.6</v>
      </c>
      <c r="H5" s="81" t="n">
        <v>36.72</v>
      </c>
      <c r="I5" s="81" t="n">
        <v>31.68902763708143</v>
      </c>
      <c r="J5" s="81" t="n">
        <v>131.73</v>
      </c>
      <c r="K5" s="24" t="n">
        <v>89.7</v>
      </c>
      <c r="L5" s="25" t="n">
        <v>100</v>
      </c>
      <c r="M5" s="26" t="n">
        <v>94.3</v>
      </c>
      <c r="N5" s="41" t="inlineStr">
        <is>
          <t>⭐ Strong</t>
        </is>
      </c>
      <c r="O5" s="41" t="inlineStr">
        <is>
          <t>🏆 Elite</t>
        </is>
      </c>
      <c r="P5" s="41" t="inlineStr">
        <is>
          <t>⭐ Strong Buy</t>
        </is>
      </c>
      <c r="Q5" s="83" t="inlineStr">
        <is>
          <t>FULL</t>
        </is>
      </c>
    </row>
    <row r="6" ht="16" customHeight="1">
      <c r="A6" s="84" t="n">
        <v>2</v>
      </c>
      <c r="B6" s="85" t="inlineStr">
        <is>
          <t>Motilal Oswal S&amp;P 500 Index Fund - Regular Plan Growth</t>
        </is>
      </c>
      <c r="C6" s="85" t="inlineStr">
        <is>
          <t>Motilal Oswal Mutual Fund</t>
        </is>
      </c>
      <c r="D6" s="85" t="inlineStr">
        <is>
          <t>S&amp;P 500</t>
        </is>
      </c>
      <c r="E6" s="86" t="n">
        <v>3.08</v>
      </c>
      <c r="F6" s="86" t="n">
        <v>4.25</v>
      </c>
      <c r="G6" s="86" t="n">
        <v>18.48</v>
      </c>
      <c r="H6" s="86" t="n">
        <v>30.38</v>
      </c>
      <c r="I6" s="86" t="n">
        <v>25.61050911448453</v>
      </c>
      <c r="J6" s="86" t="n">
        <v>102.13</v>
      </c>
      <c r="K6" s="24" t="n">
        <v>93</v>
      </c>
      <c r="L6" s="42" t="n">
        <v>50</v>
      </c>
      <c r="M6" s="35" t="n">
        <v>73.7</v>
      </c>
      <c r="N6" s="27" t="inlineStr">
        <is>
          <t>🔥 Hot</t>
        </is>
      </c>
      <c r="O6" s="27" t="inlineStr">
        <is>
          <t>➡️ Average</t>
        </is>
      </c>
      <c r="P6" s="27" t="inlineStr">
        <is>
          <t>📈 Momentum Play</t>
        </is>
      </c>
      <c r="Q6" s="83" t="inlineStr">
        <is>
          <t>FULL</t>
        </is>
      </c>
    </row>
    <row r="7" ht="16" customHeight="1">
      <c r="A7" s="92" t="n">
        <v>3</v>
      </c>
      <c r="B7" s="93" t="inlineStr">
        <is>
          <t>Motilal Oswal Nifty India Defence Index Fund Regular Plan Growth</t>
        </is>
      </c>
      <c r="C7" s="93" t="inlineStr">
        <is>
          <t>Motilal Oswal Mutual Fund</t>
        </is>
      </c>
      <c r="D7" s="93" t="inlineStr">
        <is>
          <t>Index Fund</t>
        </is>
      </c>
      <c r="E7" s="94" t="n">
        <v>6.68</v>
      </c>
      <c r="F7" s="94" t="n">
        <v>11.61</v>
      </c>
      <c r="G7" s="94" t="n">
        <v>21.49</v>
      </c>
      <c r="H7" s="94" t="n">
        <v>27.07</v>
      </c>
      <c r="I7" s="94" t="n">
        <v>17.39250401963492</v>
      </c>
      <c r="J7" s="94" t="n">
        <v>0</v>
      </c>
      <c r="K7" s="24" t="n">
        <v>100</v>
      </c>
      <c r="L7" s="18" t="n">
        <v>0</v>
      </c>
      <c r="M7" s="35" t="n">
        <v>55</v>
      </c>
      <c r="N7" s="95" t="inlineStr">
        <is>
          <t>🔥 Hot</t>
        </is>
      </c>
      <c r="O7" s="95" t="inlineStr">
        <is>
          <t>⏳ New Fund</t>
        </is>
      </c>
      <c r="P7" s="95" t="inlineStr">
        <is>
          <t>🔥 Hot Momentum</t>
        </is>
      </c>
      <c r="Q7" s="96" t="inlineStr">
        <is>
          <t>MOMENTUM_ONLY</t>
        </is>
      </c>
    </row>
    <row r="8" ht="16" customHeight="1">
      <c r="A8" s="87" t="n">
        <v>3</v>
      </c>
      <c r="B8" s="88" t="inlineStr">
        <is>
          <t>Motilal Oswal Nifty Microcap 250 Index Fund- Regular- Growth Option</t>
        </is>
      </c>
      <c r="C8" s="88" t="inlineStr">
        <is>
          <t>Motilal Oswal Mutual Fund</t>
        </is>
      </c>
      <c r="D8" s="88" t="inlineStr">
        <is>
          <t>Index Fund</t>
        </is>
      </c>
      <c r="E8" s="89" t="n">
        <v>4.94</v>
      </c>
      <c r="F8" s="89" t="n">
        <v>14.96</v>
      </c>
      <c r="G8" s="89" t="n">
        <v>18.85</v>
      </c>
      <c r="H8" s="89" t="n">
        <v>12.52</v>
      </c>
      <c r="I8" s="89" t="n">
        <v>2.718060729357608</v>
      </c>
      <c r="J8" s="89" t="n">
        <v>69.86</v>
      </c>
      <c r="K8" s="24" t="n">
        <v>100</v>
      </c>
      <c r="L8" s="18" t="n">
        <v>0</v>
      </c>
      <c r="M8" s="35" t="n">
        <v>55</v>
      </c>
      <c r="N8" s="36" t="inlineStr">
        <is>
          <t>🔥 Hot</t>
        </is>
      </c>
      <c r="O8" s="36" t="inlineStr">
        <is>
          <t>🔴 Not Qualified</t>
        </is>
      </c>
      <c r="P8" s="36" t="inlineStr">
        <is>
          <t>✅ Buy</t>
        </is>
      </c>
      <c r="Q8" s="83" t="inlineStr">
        <is>
          <t>FULL</t>
        </is>
      </c>
    </row>
    <row r="9" ht="16" customHeight="1">
      <c r="A9" s="13" t="n">
        <v>5</v>
      </c>
      <c r="B9" s="14" t="inlineStr">
        <is>
          <t>Axis Nifty Smallcap 50 Index Fund - Regular Plan - Growth Option</t>
        </is>
      </c>
      <c r="C9" s="14" t="inlineStr">
        <is>
          <t>Axis Mutual Fund</t>
        </is>
      </c>
      <c r="D9" s="14" t="inlineStr">
        <is>
          <t>Index Fund</t>
        </is>
      </c>
      <c r="E9" s="15" t="n">
        <v>3.4</v>
      </c>
      <c r="F9" s="15" t="n">
        <v>12.21</v>
      </c>
      <c r="G9" s="15" t="n">
        <v>16.79</v>
      </c>
      <c r="H9" s="15" t="n">
        <v>15.83</v>
      </c>
      <c r="I9" s="15" t="n">
        <v>6.136704301575158</v>
      </c>
      <c r="J9" s="15" t="n">
        <v>81.37</v>
      </c>
      <c r="K9" s="24" t="n">
        <v>99.40000000000001</v>
      </c>
      <c r="L9" s="18" t="n">
        <v>0</v>
      </c>
      <c r="M9" s="35" t="n">
        <v>54.7</v>
      </c>
      <c r="N9" s="20" t="inlineStr">
        <is>
          <t>🔥 Hot</t>
        </is>
      </c>
      <c r="O9" s="20" t="inlineStr">
        <is>
          <t>🔴 Not Qualified</t>
        </is>
      </c>
      <c r="P9" s="20" t="inlineStr">
        <is>
          <t>⚠️ Watch</t>
        </is>
      </c>
      <c r="Q9" s="83" t="inlineStr">
        <is>
          <t>FULL</t>
        </is>
      </c>
    </row>
    <row r="10" ht="16" customHeight="1">
      <c r="A10" s="28" t="n">
        <v>6</v>
      </c>
      <c r="B10" s="29" t="inlineStr">
        <is>
          <t>Kotak Nifty Smallcap 50 Index Fund - Regular Plan - Growth</t>
        </is>
      </c>
      <c r="C10" s="29" t="inlineStr">
        <is>
          <t>Kotak Mahindra Mutual Fund</t>
        </is>
      </c>
      <c r="D10" s="29" t="inlineStr">
        <is>
          <t>Index Fund</t>
        </is>
      </c>
      <c r="E10" s="30" t="n">
        <v>3.42</v>
      </c>
      <c r="F10" s="30" t="n">
        <v>12.29</v>
      </c>
      <c r="G10" s="30" t="n">
        <v>16.63</v>
      </c>
      <c r="H10" s="30" t="n">
        <v>15.7</v>
      </c>
      <c r="I10" s="30" t="n">
        <v>6.367288204597932</v>
      </c>
      <c r="J10" s="30" t="n">
        <v>82.27</v>
      </c>
      <c r="K10" s="24" t="n">
        <v>99.3</v>
      </c>
      <c r="L10" s="18" t="n">
        <v>0</v>
      </c>
      <c r="M10" s="35" t="n">
        <v>54.6</v>
      </c>
      <c r="N10" s="31" t="inlineStr">
        <is>
          <t>🔥 Hot</t>
        </is>
      </c>
      <c r="O10" s="31" t="inlineStr">
        <is>
          <t>🔴 Not Qualified</t>
        </is>
      </c>
      <c r="P10" s="31" t="inlineStr">
        <is>
          <t>⚠️ Watch</t>
        </is>
      </c>
      <c r="Q10" s="83" t="inlineStr">
        <is>
          <t>FULL</t>
        </is>
      </c>
    </row>
    <row r="11" ht="16" customHeight="1">
      <c r="A11" s="92" t="n">
        <v>7</v>
      </c>
      <c r="B11" s="93" t="inlineStr">
        <is>
          <t>Bandhan Nifty Alpha 50 Index Fund - Regular Plan - Growth</t>
        </is>
      </c>
      <c r="C11" s="93" t="inlineStr">
        <is>
          <t>Bandhan Mutual Fund</t>
        </is>
      </c>
      <c r="D11" s="93" t="inlineStr">
        <is>
          <t>Index Fund</t>
        </is>
      </c>
      <c r="E11" s="94" t="n">
        <v>5.18</v>
      </c>
      <c r="F11" s="94" t="n">
        <v>9.25</v>
      </c>
      <c r="G11" s="94" t="n">
        <v>9.359999999999999</v>
      </c>
      <c r="H11" s="94" t="n">
        <v>11.2</v>
      </c>
      <c r="I11" s="97" t="n">
        <v>-3.092827922800268</v>
      </c>
      <c r="J11" s="94" t="n">
        <v>0</v>
      </c>
      <c r="K11" s="24" t="n">
        <v>97.2</v>
      </c>
      <c r="L11" s="18" t="n">
        <v>0</v>
      </c>
      <c r="M11" s="35" t="n">
        <v>53.5</v>
      </c>
      <c r="N11" s="95" t="inlineStr">
        <is>
          <t>🔥 Hot</t>
        </is>
      </c>
      <c r="O11" s="95" t="inlineStr">
        <is>
          <t>⏳ New Fund</t>
        </is>
      </c>
      <c r="P11" s="95" t="inlineStr">
        <is>
          <t>🔥 Hot Momentum</t>
        </is>
      </c>
      <c r="Q11" s="96" t="inlineStr">
        <is>
          <t>MOMENTUM_ONLY</t>
        </is>
      </c>
    </row>
    <row r="12" ht="16" customHeight="1">
      <c r="A12" s="92" t="n">
        <v>8</v>
      </c>
      <c r="B12" s="93" t="inlineStr">
        <is>
          <t>Nippon India Nifty Auto Index Fund - Regular Plan- Growth Option</t>
        </is>
      </c>
      <c r="C12" s="93" t="inlineStr">
        <is>
          <t>Nippon India Mutual Fund</t>
        </is>
      </c>
      <c r="D12" s="93" t="inlineStr">
        <is>
          <t>Index Fund</t>
        </is>
      </c>
      <c r="E12" s="94" t="n">
        <v>8.220000000000001</v>
      </c>
      <c r="F12" s="94" t="n">
        <v>14.7</v>
      </c>
      <c r="G12" s="94" t="n">
        <v>4.01</v>
      </c>
      <c r="H12" s="94" t="n">
        <v>21.7</v>
      </c>
      <c r="I12" s="94" t="n">
        <v>0</v>
      </c>
      <c r="J12" s="94" t="n">
        <v>0</v>
      </c>
      <c r="K12" s="24" t="n">
        <v>94.59999999999999</v>
      </c>
      <c r="L12" s="18" t="n">
        <v>0</v>
      </c>
      <c r="M12" s="35" t="n">
        <v>52</v>
      </c>
      <c r="N12" s="95" t="inlineStr">
        <is>
          <t>🔥 Hot</t>
        </is>
      </c>
      <c r="O12" s="95" t="inlineStr">
        <is>
          <t>⏳ New Fund</t>
        </is>
      </c>
      <c r="P12" s="95" t="inlineStr">
        <is>
          <t>🔥 Hot Momentum</t>
        </is>
      </c>
      <c r="Q12" s="96" t="inlineStr">
        <is>
          <t>MOMENTUM_ONLY</t>
        </is>
      </c>
    </row>
    <row r="13" ht="16" customHeight="1">
      <c r="A13" s="92" t="n">
        <v>9</v>
      </c>
      <c r="B13" s="93" t="inlineStr">
        <is>
          <t>Edelweiss BSE Internet Economy Index Fund - Regular Plan - Growth</t>
        </is>
      </c>
      <c r="C13" s="93" t="inlineStr">
        <is>
          <t>Edelweiss Mutual Fund</t>
        </is>
      </c>
      <c r="D13" s="93" t="inlineStr">
        <is>
          <t>Index Fund</t>
        </is>
      </c>
      <c r="E13" s="94" t="n">
        <v>5.39</v>
      </c>
      <c r="F13" s="94" t="n">
        <v>9.390000000000001</v>
      </c>
      <c r="G13" s="94" t="n">
        <v>10.2</v>
      </c>
      <c r="H13" s="94" t="n">
        <v>6.51</v>
      </c>
      <c r="I13" s="94" t="n">
        <v>0</v>
      </c>
      <c r="J13" s="94" t="n">
        <v>0</v>
      </c>
      <c r="K13" s="24" t="n">
        <v>94.5</v>
      </c>
      <c r="L13" s="18" t="n">
        <v>0</v>
      </c>
      <c r="M13" s="35" t="n">
        <v>52</v>
      </c>
      <c r="N13" s="95" t="inlineStr">
        <is>
          <t>🔥 Hot</t>
        </is>
      </c>
      <c r="O13" s="95" t="inlineStr">
        <is>
          <t>⏳ New Fund</t>
        </is>
      </c>
      <c r="P13" s="95" t="inlineStr">
        <is>
          <t>🔥 Hot Momentum</t>
        </is>
      </c>
      <c r="Q13" s="96" t="inlineStr">
        <is>
          <t>MOMENTUM_ONLY</t>
        </is>
      </c>
    </row>
    <row r="14" ht="16" customHeight="1">
      <c r="A14" s="92" t="n">
        <v>10</v>
      </c>
      <c r="B14" s="93" t="inlineStr">
        <is>
          <t>Motilal Oswal Nifty MidSmall Healthcare Index Fund-Regular Plan-Growth</t>
        </is>
      </c>
      <c r="C14" s="93" t="inlineStr">
        <is>
          <t>Motilal Oswal Mutual Fund</t>
        </is>
      </c>
      <c r="D14" s="93" t="inlineStr">
        <is>
          <t>Pharma/Healthcare</t>
        </is>
      </c>
      <c r="E14" s="94" t="n">
        <v>2.75</v>
      </c>
      <c r="F14" s="94" t="n">
        <v>7.29</v>
      </c>
      <c r="G14" s="94" t="n">
        <v>21.16</v>
      </c>
      <c r="H14" s="94" t="n">
        <v>16.43</v>
      </c>
      <c r="I14" s="94" t="n">
        <v>0</v>
      </c>
      <c r="J14" s="94" t="n">
        <v>0</v>
      </c>
      <c r="K14" s="24" t="n">
        <v>94.40000000000001</v>
      </c>
      <c r="L14" s="18" t="n">
        <v>0</v>
      </c>
      <c r="M14" s="35" t="n">
        <v>51.9</v>
      </c>
      <c r="N14" s="95" t="inlineStr">
        <is>
          <t>🔥 Hot</t>
        </is>
      </c>
      <c r="O14" s="95" t="inlineStr">
        <is>
          <t>⏳ New Fund</t>
        </is>
      </c>
      <c r="P14" s="95" t="inlineStr">
        <is>
          <t>🔥 Hot Momentum</t>
        </is>
      </c>
      <c r="Q14" s="96" t="inlineStr">
        <is>
          <t>MOMENTUM_ONLY</t>
        </is>
      </c>
    </row>
    <row r="15" ht="16" customHeight="1">
      <c r="A15" s="92" t="n">
        <v>11</v>
      </c>
      <c r="B15" s="93" t="inlineStr">
        <is>
          <t>Tata Nifty500 Multicap India Manufacturing 50:30:20 Index Fund -Regular Plan-Growth</t>
        </is>
      </c>
      <c r="C15" s="93" t="inlineStr">
        <is>
          <t>Tata Mutual Fund</t>
        </is>
      </c>
      <c r="D15" s="93" t="inlineStr">
        <is>
          <t>Index Fund</t>
        </is>
      </c>
      <c r="E15" s="94" t="n">
        <v>3.67</v>
      </c>
      <c r="F15" s="94" t="n">
        <v>6.27</v>
      </c>
      <c r="G15" s="94" t="n">
        <v>6.53</v>
      </c>
      <c r="H15" s="94" t="n">
        <v>14.07</v>
      </c>
      <c r="I15" s="94" t="n">
        <v>5.20931517693668</v>
      </c>
      <c r="J15" s="94" t="n">
        <v>0</v>
      </c>
      <c r="K15" s="24" t="n">
        <v>94.40000000000001</v>
      </c>
      <c r="L15" s="18" t="n">
        <v>0</v>
      </c>
      <c r="M15" s="35" t="n">
        <v>51.9</v>
      </c>
      <c r="N15" s="95" t="inlineStr">
        <is>
          <t>🔥 Hot</t>
        </is>
      </c>
      <c r="O15" s="95" t="inlineStr">
        <is>
          <t>⏳ New Fund</t>
        </is>
      </c>
      <c r="P15" s="95" t="inlineStr">
        <is>
          <t>🔥 Hot Momentum</t>
        </is>
      </c>
      <c r="Q15" s="96" t="inlineStr">
        <is>
          <t>MOMENTUM_ONLY</t>
        </is>
      </c>
    </row>
    <row r="16" ht="16" customHeight="1">
      <c r="A16" s="28" t="n">
        <v>12</v>
      </c>
      <c r="B16" s="29" t="inlineStr">
        <is>
          <t>ICICI Prudential Nifty Auto Index Fund - Growth</t>
        </is>
      </c>
      <c r="C16" s="29" t="inlineStr">
        <is>
          <t>ICICI Prudential Mutual Fund</t>
        </is>
      </c>
      <c r="D16" s="29" t="inlineStr">
        <is>
          <t>Index Fund</t>
        </is>
      </c>
      <c r="E16" s="30" t="n">
        <v>8.220000000000001</v>
      </c>
      <c r="F16" s="30" t="n">
        <v>14.55</v>
      </c>
      <c r="G16" s="30" t="n">
        <v>3.78</v>
      </c>
      <c r="H16" s="30" t="n">
        <v>21.46</v>
      </c>
      <c r="I16" s="30" t="n">
        <v>6.953260819855323</v>
      </c>
      <c r="J16" s="30" t="n">
        <v>89.59999999999999</v>
      </c>
      <c r="K16" s="24" t="n">
        <v>94.3</v>
      </c>
      <c r="L16" s="18" t="n">
        <v>0</v>
      </c>
      <c r="M16" s="35" t="n">
        <v>51.8</v>
      </c>
      <c r="N16" s="31" t="inlineStr">
        <is>
          <t>🔥 Hot</t>
        </is>
      </c>
      <c r="O16" s="31" t="inlineStr">
        <is>
          <t>🔴 Not Qualified</t>
        </is>
      </c>
      <c r="P16" s="31" t="inlineStr">
        <is>
          <t>⚠️ Watch</t>
        </is>
      </c>
      <c r="Q16" s="83" t="inlineStr">
        <is>
          <t>FULL</t>
        </is>
      </c>
    </row>
    <row r="17" ht="16" customHeight="1">
      <c r="A17" s="92" t="n">
        <v>13</v>
      </c>
      <c r="B17" s="93" t="inlineStr">
        <is>
          <t>Navi Nifty Smallcap 250 Momentum quality index fund- Regular Plan</t>
        </is>
      </c>
      <c r="C17" s="93" t="inlineStr">
        <is>
          <t>Navi Mutual Fund</t>
        </is>
      </c>
      <c r="D17" s="93" t="inlineStr">
        <is>
          <t>Index Fund</t>
        </is>
      </c>
      <c r="E17" s="94" t="n">
        <v>3.44</v>
      </c>
      <c r="F17" s="94" t="n">
        <v>8.68</v>
      </c>
      <c r="G17" s="94" t="n">
        <v>14.02</v>
      </c>
      <c r="H17" s="94" t="n">
        <v>8.93</v>
      </c>
      <c r="I17" s="94" t="n">
        <v>0</v>
      </c>
      <c r="J17" s="94" t="n">
        <v>0</v>
      </c>
      <c r="K17" s="24" t="n">
        <v>94.2</v>
      </c>
      <c r="L17" s="18" t="n">
        <v>0</v>
      </c>
      <c r="M17" s="35" t="n">
        <v>51.8</v>
      </c>
      <c r="N17" s="95" t="inlineStr">
        <is>
          <t>🔥 Hot</t>
        </is>
      </c>
      <c r="O17" s="95" t="inlineStr">
        <is>
          <t>⏳ New Fund</t>
        </is>
      </c>
      <c r="P17" s="95" t="inlineStr">
        <is>
          <t>🔥 Hot Momentum</t>
        </is>
      </c>
      <c r="Q17" s="96" t="inlineStr">
        <is>
          <t>MOMENTUM_ONLY</t>
        </is>
      </c>
    </row>
    <row r="18" ht="16" customHeight="1">
      <c r="A18" s="92" t="n">
        <v>14</v>
      </c>
      <c r="B18" s="93" t="inlineStr">
        <is>
          <t>Tata Nifty MidSmall Healthcare Index Fund - Regular Plan - Growth</t>
        </is>
      </c>
      <c r="C18" s="93" t="inlineStr">
        <is>
          <t>Tata Mutual Fund</t>
        </is>
      </c>
      <c r="D18" s="93" t="inlineStr">
        <is>
          <t>Pharma/Healthcare</t>
        </is>
      </c>
      <c r="E18" s="94" t="n">
        <v>2.74</v>
      </c>
      <c r="F18" s="94" t="n">
        <v>7.28</v>
      </c>
      <c r="G18" s="94" t="n">
        <v>21.19</v>
      </c>
      <c r="H18" s="94" t="n">
        <v>16.26</v>
      </c>
      <c r="I18" s="94" t="n">
        <v>13.7453295744489</v>
      </c>
      <c r="J18" s="94" t="n">
        <v>0</v>
      </c>
      <c r="K18" s="24" t="n">
        <v>94.09999999999999</v>
      </c>
      <c r="L18" s="18" t="n">
        <v>0</v>
      </c>
      <c r="M18" s="35" t="n">
        <v>51.8</v>
      </c>
      <c r="N18" s="95" t="inlineStr">
        <is>
          <t>🔥 Hot</t>
        </is>
      </c>
      <c r="O18" s="95" t="inlineStr">
        <is>
          <t>⏳ New Fund</t>
        </is>
      </c>
      <c r="P18" s="95" t="inlineStr">
        <is>
          <t>🔥 Hot Momentum</t>
        </is>
      </c>
      <c r="Q18" s="96" t="inlineStr">
        <is>
          <t>MOMENTUM_ONLY</t>
        </is>
      </c>
    </row>
    <row r="19" ht="16" customHeight="1">
      <c r="A19" s="92" t="n">
        <v>15</v>
      </c>
      <c r="B19" s="93" t="inlineStr">
        <is>
          <t>Tata Nifty Auto Index Fund - Regular Plan - Growth</t>
        </is>
      </c>
      <c r="C19" s="93" t="inlineStr">
        <is>
          <t>Tata Mutual Fund</t>
        </is>
      </c>
      <c r="D19" s="93" t="inlineStr">
        <is>
          <t>Index Fund</t>
        </is>
      </c>
      <c r="E19" s="94" t="n">
        <v>8.220000000000001</v>
      </c>
      <c r="F19" s="94" t="n">
        <v>14.53</v>
      </c>
      <c r="G19" s="94" t="n">
        <v>3.64</v>
      </c>
      <c r="H19" s="94" t="n">
        <v>21.18</v>
      </c>
      <c r="I19" s="94" t="n">
        <v>6.723942955646089</v>
      </c>
      <c r="J19" s="94" t="n">
        <v>0</v>
      </c>
      <c r="K19" s="24" t="n">
        <v>93.7</v>
      </c>
      <c r="L19" s="18" t="n">
        <v>0</v>
      </c>
      <c r="M19" s="35" t="n">
        <v>51.5</v>
      </c>
      <c r="N19" s="95" t="inlineStr">
        <is>
          <t>🔥 Hot</t>
        </is>
      </c>
      <c r="O19" s="95" t="inlineStr">
        <is>
          <t>⏳ New Fund</t>
        </is>
      </c>
      <c r="P19" s="95" t="inlineStr">
        <is>
          <t>🔥 Hot Momentum</t>
        </is>
      </c>
      <c r="Q19" s="96" t="inlineStr">
        <is>
          <t>MOMENTUM_ONLY</t>
        </is>
      </c>
    </row>
    <row r="20" ht="16" customHeight="1">
      <c r="A20" s="28" t="n">
        <v>16</v>
      </c>
      <c r="B20" s="29" t="inlineStr">
        <is>
          <t>ICICI Prudential Nifty Pharma Index Fund - Growth</t>
        </is>
      </c>
      <c r="C20" s="29" t="inlineStr">
        <is>
          <t>ICICI Prudential Mutual Fund</t>
        </is>
      </c>
      <c r="D20" s="29" t="inlineStr">
        <is>
          <t>Pharma/Healthcare</t>
        </is>
      </c>
      <c r="E20" s="30" t="n">
        <v>2.79</v>
      </c>
      <c r="F20" s="30" t="n">
        <v>6.07</v>
      </c>
      <c r="G20" s="30" t="n">
        <v>16.69</v>
      </c>
      <c r="H20" s="30" t="n">
        <v>18.29</v>
      </c>
      <c r="I20" s="30" t="n">
        <v>8.696826080617459</v>
      </c>
      <c r="J20" s="30" t="n">
        <v>69.56</v>
      </c>
      <c r="K20" s="24" t="n">
        <v>93.40000000000001</v>
      </c>
      <c r="L20" s="18" t="n">
        <v>0</v>
      </c>
      <c r="M20" s="35" t="n">
        <v>51.4</v>
      </c>
      <c r="N20" s="31" t="inlineStr">
        <is>
          <t>🔥 Hot</t>
        </is>
      </c>
      <c r="O20" s="31" t="inlineStr">
        <is>
          <t>🔴 Not Qualified</t>
        </is>
      </c>
      <c r="P20" s="31" t="inlineStr">
        <is>
          <t>⚠️ Watch</t>
        </is>
      </c>
      <c r="Q20" s="83" t="inlineStr">
        <is>
          <t>FULL</t>
        </is>
      </c>
    </row>
    <row r="21" ht="16" customHeight="1">
      <c r="A21" s="13" t="n">
        <v>17</v>
      </c>
      <c r="B21" s="14" t="inlineStr">
        <is>
          <t>LIC MF Nifty Next 50 Index Fund-Regular Plan-Growth</t>
        </is>
      </c>
      <c r="C21" s="14" t="inlineStr">
        <is>
          <t>LIC Mutual Fund</t>
        </is>
      </c>
      <c r="D21" s="14" t="inlineStr">
        <is>
          <t>Index Fund</t>
        </is>
      </c>
      <c r="E21" s="15" t="n">
        <v>3.6</v>
      </c>
      <c r="F21" s="15" t="n">
        <v>8.220000000000001</v>
      </c>
      <c r="G21" s="15" t="n">
        <v>6.24</v>
      </c>
      <c r="H21" s="15" t="n">
        <v>12.11</v>
      </c>
      <c r="I21" s="15" t="n">
        <v>1.118742080783419</v>
      </c>
      <c r="J21" s="15" t="n">
        <v>69.76000000000001</v>
      </c>
      <c r="K21" s="24" t="n">
        <v>92.7</v>
      </c>
      <c r="L21" s="18" t="n">
        <v>0</v>
      </c>
      <c r="M21" s="35" t="n">
        <v>51</v>
      </c>
      <c r="N21" s="20" t="inlineStr">
        <is>
          <t>🔥 Hot</t>
        </is>
      </c>
      <c r="O21" s="20" t="inlineStr">
        <is>
          <t>🔴 Not Qualified</t>
        </is>
      </c>
      <c r="P21" s="20" t="inlineStr">
        <is>
          <t>⚠️ Watch</t>
        </is>
      </c>
      <c r="Q21" s="83" t="inlineStr">
        <is>
          <t>FULL</t>
        </is>
      </c>
    </row>
    <row r="22" ht="16" customHeight="1">
      <c r="A22" s="28" t="n">
        <v>18</v>
      </c>
      <c r="B22" s="29" t="inlineStr">
        <is>
          <t>Kotak Nifty Next 50 Index Fund - Regular Plan - Growth Option</t>
        </is>
      </c>
      <c r="C22" s="29" t="inlineStr">
        <is>
          <t>Kotak Mahindra Mutual Fund</t>
        </is>
      </c>
      <c r="D22" s="29" t="inlineStr">
        <is>
          <t>Index Fund</t>
        </is>
      </c>
      <c r="E22" s="30" t="n">
        <v>3.65</v>
      </c>
      <c r="F22" s="30" t="n">
        <v>7.93</v>
      </c>
      <c r="G22" s="30" t="n">
        <v>6.02</v>
      </c>
      <c r="H22" s="30" t="n">
        <v>12.04</v>
      </c>
      <c r="I22" s="30" t="n">
        <v>1.183002525127708</v>
      </c>
      <c r="J22" s="30" t="n">
        <v>70.37</v>
      </c>
      <c r="K22" s="24" t="n">
        <v>92.59999999999999</v>
      </c>
      <c r="L22" s="18" t="n">
        <v>0</v>
      </c>
      <c r="M22" s="35" t="n">
        <v>50.9</v>
      </c>
      <c r="N22" s="31" t="inlineStr">
        <is>
          <t>🔥 Hot</t>
        </is>
      </c>
      <c r="O22" s="31" t="inlineStr">
        <is>
          <t>🔴 Not Qualified</t>
        </is>
      </c>
      <c r="P22" s="31" t="inlineStr">
        <is>
          <t>⚠️ Watch</t>
        </is>
      </c>
      <c r="Q22" s="83" t="inlineStr">
        <is>
          <t>FULL</t>
        </is>
      </c>
    </row>
    <row r="23" ht="16" customHeight="1">
      <c r="A23" s="13" t="n">
        <v>18</v>
      </c>
      <c r="B23" s="14" t="inlineStr">
        <is>
          <t>Kotak Nifty Next 50 Index Fund - Regular Plan - Payout of Income Distribution cum capital withdrawal option</t>
        </is>
      </c>
      <c r="C23" s="14" t="inlineStr">
        <is>
          <t>Kotak Mahindra Mutual Fund</t>
        </is>
      </c>
      <c r="D23" s="14" t="inlineStr">
        <is>
          <t>Index Fund</t>
        </is>
      </c>
      <c r="E23" s="15" t="n">
        <v>3.65</v>
      </c>
      <c r="F23" s="15" t="n">
        <v>7.93</v>
      </c>
      <c r="G23" s="15" t="n">
        <v>6.02</v>
      </c>
      <c r="H23" s="15" t="n">
        <v>12.04</v>
      </c>
      <c r="I23" s="15" t="n">
        <v>1.183002525127708</v>
      </c>
      <c r="J23" s="15" t="n">
        <v>70.37</v>
      </c>
      <c r="K23" s="24" t="n">
        <v>92.59999999999999</v>
      </c>
      <c r="L23" s="18" t="n">
        <v>0</v>
      </c>
      <c r="M23" s="35" t="n">
        <v>50.9</v>
      </c>
      <c r="N23" s="20" t="inlineStr">
        <is>
          <t>🔥 Hot</t>
        </is>
      </c>
      <c r="O23" s="20" t="inlineStr">
        <is>
          <t>🔴 Not Qualified</t>
        </is>
      </c>
      <c r="P23" s="20" t="inlineStr">
        <is>
          <t>⚠️ Watch</t>
        </is>
      </c>
      <c r="Q23" s="83" t="inlineStr">
        <is>
          <t>FULL</t>
        </is>
      </c>
    </row>
    <row r="24" ht="16" customHeight="1">
      <c r="A24" s="92" t="n">
        <v>20</v>
      </c>
      <c r="B24" s="93" t="inlineStr">
        <is>
          <t>Bandhan BSE Healthcare Index Fund Regular Plan - Growth</t>
        </is>
      </c>
      <c r="C24" s="93" t="inlineStr">
        <is>
          <t>Bandhan Mutual Fund</t>
        </is>
      </c>
      <c r="D24" s="93" t="inlineStr">
        <is>
          <t>Pharma/Healthcare</t>
        </is>
      </c>
      <c r="E24" s="94" t="n">
        <v>2.05</v>
      </c>
      <c r="F24" s="94" t="n">
        <v>6.85</v>
      </c>
      <c r="G24" s="94" t="n">
        <v>16.99</v>
      </c>
      <c r="H24" s="94" t="n">
        <v>13.56</v>
      </c>
      <c r="I24" s="94" t="n">
        <v>0</v>
      </c>
      <c r="J24" s="94" t="n">
        <v>0</v>
      </c>
      <c r="K24" s="24" t="n">
        <v>92.5</v>
      </c>
      <c r="L24" s="18" t="n">
        <v>0</v>
      </c>
      <c r="M24" s="35" t="n">
        <v>50.9</v>
      </c>
      <c r="N24" s="95" t="inlineStr">
        <is>
          <t>🔥 Hot</t>
        </is>
      </c>
      <c r="O24" s="95" t="inlineStr">
        <is>
          <t>⏳ New Fund</t>
        </is>
      </c>
      <c r="P24" s="95" t="inlineStr">
        <is>
          <t>🔥 Hot Momentum</t>
        </is>
      </c>
      <c r="Q24" s="96" t="inlineStr">
        <is>
          <t>MOMENTUM_ONLY</t>
        </is>
      </c>
    </row>
    <row r="25" ht="16" customHeight="1">
      <c r="A25" s="13" t="n">
        <v>21</v>
      </c>
      <c r="B25" s="14" t="inlineStr">
        <is>
          <t>SBI Nifty Next 50 Index Fund - Regular Plan - Growth</t>
        </is>
      </c>
      <c r="C25" s="14" t="inlineStr">
        <is>
          <t>SBI Mutual Fund</t>
        </is>
      </c>
      <c r="D25" s="14" t="inlineStr">
        <is>
          <t>Index Fund</t>
        </is>
      </c>
      <c r="E25" s="15" t="n">
        <v>3.65</v>
      </c>
      <c r="F25" s="15" t="n">
        <v>7.95</v>
      </c>
      <c r="G25" s="15" t="n">
        <v>5.99</v>
      </c>
      <c r="H25" s="15" t="n">
        <v>11.98</v>
      </c>
      <c r="I25" s="15" t="n">
        <v>1.094015648800895</v>
      </c>
      <c r="J25" s="15" t="n">
        <v>70.31999999999999</v>
      </c>
      <c r="K25" s="24" t="n">
        <v>92.5</v>
      </c>
      <c r="L25" s="18" t="n">
        <v>0</v>
      </c>
      <c r="M25" s="35" t="n">
        <v>50.9</v>
      </c>
      <c r="N25" s="20" t="inlineStr">
        <is>
          <t>🔥 Hot</t>
        </is>
      </c>
      <c r="O25" s="20" t="inlineStr">
        <is>
          <t>🔴 Not Qualified</t>
        </is>
      </c>
      <c r="P25" s="20" t="inlineStr">
        <is>
          <t>⚠️ Watch</t>
        </is>
      </c>
      <c r="Q25" s="83" t="inlineStr">
        <is>
          <t>FULL</t>
        </is>
      </c>
    </row>
    <row r="26" ht="16" customHeight="1">
      <c r="A26" s="28" t="n">
        <v>22</v>
      </c>
      <c r="B26" s="29" t="inlineStr">
        <is>
          <t>Edelweiss MSCI India Domestic &amp; World Healthcare 45 index Fund Regular Plan - Growth</t>
        </is>
      </c>
      <c r="C26" s="29" t="inlineStr">
        <is>
          <t>Edelweiss Mutual Fund</t>
        </is>
      </c>
      <c r="D26" s="29" t="inlineStr">
        <is>
          <t>International</t>
        </is>
      </c>
      <c r="E26" s="30" t="n">
        <v>1.86</v>
      </c>
      <c r="F26" s="30" t="n">
        <v>7.87</v>
      </c>
      <c r="G26" s="30" t="n">
        <v>12.79</v>
      </c>
      <c r="H26" s="30" t="n">
        <v>20.77</v>
      </c>
      <c r="I26" s="30" t="n">
        <v>10.91438139393828</v>
      </c>
      <c r="J26" s="30" t="n">
        <v>68.20999999999999</v>
      </c>
      <c r="K26" s="24" t="n">
        <v>92.5</v>
      </c>
      <c r="L26" s="18" t="n">
        <v>0</v>
      </c>
      <c r="M26" s="35" t="n">
        <v>50.9</v>
      </c>
      <c r="N26" s="31" t="inlineStr">
        <is>
          <t>🔥 Hot</t>
        </is>
      </c>
      <c r="O26" s="31" t="inlineStr">
        <is>
          <t>🔴 Not Qualified</t>
        </is>
      </c>
      <c r="P26" s="31" t="inlineStr">
        <is>
          <t>⚠️ Watch</t>
        </is>
      </c>
      <c r="Q26" s="83" t="inlineStr">
        <is>
          <t>FULL</t>
        </is>
      </c>
    </row>
    <row r="27" ht="16" customHeight="1">
      <c r="A27" s="13" t="n">
        <v>23</v>
      </c>
      <c r="B27" s="14" t="inlineStr">
        <is>
          <t>UTI Nifty Next 50 Index Fund - Regular Plan - Growth Option</t>
        </is>
      </c>
      <c r="C27" s="14" t="inlineStr">
        <is>
          <t>UTI Mutual Fund</t>
        </is>
      </c>
      <c r="D27" s="14" t="inlineStr">
        <is>
          <t>Index Fund</t>
        </is>
      </c>
      <c r="E27" s="15" t="n">
        <v>3.65</v>
      </c>
      <c r="F27" s="15" t="n">
        <v>7.92</v>
      </c>
      <c r="G27" s="15" t="n">
        <v>5.97</v>
      </c>
      <c r="H27" s="15" t="n">
        <v>11.94</v>
      </c>
      <c r="I27" s="15" t="n">
        <v>1.113797278116313</v>
      </c>
      <c r="J27" s="15" t="n">
        <v>70.39</v>
      </c>
      <c r="K27" s="24" t="n">
        <v>92.09999999999999</v>
      </c>
      <c r="L27" s="18" t="n">
        <v>0</v>
      </c>
      <c r="M27" s="35" t="n">
        <v>50.7</v>
      </c>
      <c r="N27" s="20" t="inlineStr">
        <is>
          <t>🔥 Hot</t>
        </is>
      </c>
      <c r="O27" s="20" t="inlineStr">
        <is>
          <t>🔴 Not Qualified</t>
        </is>
      </c>
      <c r="P27" s="20" t="inlineStr">
        <is>
          <t>⚠️ Watch</t>
        </is>
      </c>
      <c r="Q27" s="83" t="inlineStr">
        <is>
          <t>FULL</t>
        </is>
      </c>
    </row>
    <row r="28" ht="16" customHeight="1">
      <c r="A28" s="28" t="n">
        <v>24</v>
      </c>
      <c r="B28" s="29" t="inlineStr">
        <is>
          <t>Edelweiss Nifty Smallcap 250 Index Fund - Regular Plan - Growth</t>
        </is>
      </c>
      <c r="C28" s="29" t="inlineStr">
        <is>
          <t>Edelweiss Mutual Fund</t>
        </is>
      </c>
      <c r="D28" s="29" t="inlineStr">
        <is>
          <t>Index Fund</t>
        </is>
      </c>
      <c r="E28" s="30" t="n">
        <v>1.99</v>
      </c>
      <c r="F28" s="30" t="n">
        <v>10.17</v>
      </c>
      <c r="G28" s="30" t="n">
        <v>13.31</v>
      </c>
      <c r="H28" s="30" t="n">
        <v>9.77</v>
      </c>
      <c r="I28" s="30" t="n">
        <v>2.33279044372825</v>
      </c>
      <c r="J28" s="30" t="n">
        <v>60.05</v>
      </c>
      <c r="K28" s="24" t="n">
        <v>91.8</v>
      </c>
      <c r="L28" s="18" t="n">
        <v>0</v>
      </c>
      <c r="M28" s="35" t="n">
        <v>50.5</v>
      </c>
      <c r="N28" s="31" t="inlineStr">
        <is>
          <t>🔥 Hot</t>
        </is>
      </c>
      <c r="O28" s="31" t="inlineStr">
        <is>
          <t>🔴 Not Qualified</t>
        </is>
      </c>
      <c r="P28" s="31" t="inlineStr">
        <is>
          <t>⚠️ Watch</t>
        </is>
      </c>
      <c r="Q28" s="83" t="inlineStr">
        <is>
          <t>FULL</t>
        </is>
      </c>
    </row>
    <row r="29" ht="16" customHeight="1">
      <c r="A29" s="13" t="n">
        <v>25</v>
      </c>
      <c r="B29" s="14" t="inlineStr">
        <is>
          <t>SBI Nifty Smallcap 250 Index Fund - Regular Plan - Growth</t>
        </is>
      </c>
      <c r="C29" s="14" t="inlineStr">
        <is>
          <t>SBI Mutual Fund</t>
        </is>
      </c>
      <c r="D29" s="14" t="inlineStr">
        <is>
          <t>Index Fund</t>
        </is>
      </c>
      <c r="E29" s="15" t="n">
        <v>1.99</v>
      </c>
      <c r="F29" s="15" t="n">
        <v>10.19</v>
      </c>
      <c r="G29" s="15" t="n">
        <v>13.26</v>
      </c>
      <c r="H29" s="15" t="n">
        <v>9.75</v>
      </c>
      <c r="I29" s="15" t="n">
        <v>2.293694820355374</v>
      </c>
      <c r="J29" s="15" t="n">
        <v>59.41</v>
      </c>
      <c r="K29" s="24" t="n">
        <v>91.59999999999999</v>
      </c>
      <c r="L29" s="18" t="n">
        <v>0</v>
      </c>
      <c r="M29" s="35" t="n">
        <v>50.4</v>
      </c>
      <c r="N29" s="20" t="inlineStr">
        <is>
          <t>🔥 Hot</t>
        </is>
      </c>
      <c r="O29" s="20" t="inlineStr">
        <is>
          <t>🔴 Not Qualified</t>
        </is>
      </c>
      <c r="P29" s="20" t="inlineStr">
        <is>
          <t>⚠️ Watch</t>
        </is>
      </c>
      <c r="Q29" s="83" t="inlineStr">
        <is>
          <t>FULL</t>
        </is>
      </c>
    </row>
    <row r="30" ht="16" customHeight="1">
      <c r="A30" s="28" t="n">
        <v>26</v>
      </c>
      <c r="B30" s="29" t="inlineStr">
        <is>
          <t>HDFC NIFTY Next 50 Index Fund - Growth Option</t>
        </is>
      </c>
      <c r="C30" s="29" t="inlineStr">
        <is>
          <t>HDFC Mutual Fund</t>
        </is>
      </c>
      <c r="D30" s="29" t="inlineStr">
        <is>
          <t>Index Fund</t>
        </is>
      </c>
      <c r="E30" s="30" t="n">
        <v>3.63</v>
      </c>
      <c r="F30" s="30" t="n">
        <v>7.91</v>
      </c>
      <c r="G30" s="30" t="n">
        <v>5.93</v>
      </c>
      <c r="H30" s="30" t="n">
        <v>11.91</v>
      </c>
      <c r="I30" s="30" t="n">
        <v>0.9752444909147062</v>
      </c>
      <c r="J30" s="30" t="n">
        <v>69.69</v>
      </c>
      <c r="K30" s="24" t="n">
        <v>91.5</v>
      </c>
      <c r="L30" s="18" t="n">
        <v>0</v>
      </c>
      <c r="M30" s="35" t="n">
        <v>50.3</v>
      </c>
      <c r="N30" s="31" t="inlineStr">
        <is>
          <t>🔥 Hot</t>
        </is>
      </c>
      <c r="O30" s="31" t="inlineStr">
        <is>
          <t>🔴 Not Qualified</t>
        </is>
      </c>
      <c r="P30" s="31" t="inlineStr">
        <is>
          <t>⚠️ Watch</t>
        </is>
      </c>
      <c r="Q30" s="83" t="inlineStr">
        <is>
          <t>FULL</t>
        </is>
      </c>
    </row>
    <row r="31" ht="16" customHeight="1">
      <c r="A31" s="13" t="n">
        <v>27</v>
      </c>
      <c r="B31" s="14" t="inlineStr">
        <is>
          <t>DSP Nifty Next 50 Index Fund - Regular Plan - Growth</t>
        </is>
      </c>
      <c r="C31" s="14" t="inlineStr">
        <is>
          <t>DSP Mutual Fund</t>
        </is>
      </c>
      <c r="D31" s="14" t="inlineStr">
        <is>
          <t>Index Fund</t>
        </is>
      </c>
      <c r="E31" s="15" t="n">
        <v>3.66</v>
      </c>
      <c r="F31" s="15" t="n">
        <v>7.85</v>
      </c>
      <c r="G31" s="15" t="n">
        <v>5.84</v>
      </c>
      <c r="H31" s="15" t="n">
        <v>11.9</v>
      </c>
      <c r="I31" s="15" t="n">
        <v>1.064335944981121</v>
      </c>
      <c r="J31" s="15" t="n">
        <v>70.34</v>
      </c>
      <c r="K31" s="24" t="n">
        <v>91.40000000000001</v>
      </c>
      <c r="L31" s="18" t="n">
        <v>0</v>
      </c>
      <c r="M31" s="35" t="n">
        <v>50.3</v>
      </c>
      <c r="N31" s="20" t="inlineStr">
        <is>
          <t>🔥 Hot</t>
        </is>
      </c>
      <c r="O31" s="20" t="inlineStr">
        <is>
          <t>🔴 Not Qualified</t>
        </is>
      </c>
      <c r="P31" s="20" t="inlineStr">
        <is>
          <t>⚠️ Watch</t>
        </is>
      </c>
      <c r="Q31" s="83" t="inlineStr">
        <is>
          <t>FULL</t>
        </is>
      </c>
    </row>
    <row r="32" ht="16" customHeight="1">
      <c r="A32" s="28" t="n">
        <v>28</v>
      </c>
      <c r="B32" s="29" t="inlineStr">
        <is>
          <t>HDFC NIFTY Smallcap 250 Index Fund - Growth Option</t>
        </is>
      </c>
      <c r="C32" s="29" t="inlineStr">
        <is>
          <t>HDFC Mutual Fund</t>
        </is>
      </c>
      <c r="D32" s="29" t="inlineStr">
        <is>
          <t>Index Fund</t>
        </is>
      </c>
      <c r="E32" s="30" t="n">
        <v>1.99</v>
      </c>
      <c r="F32" s="30" t="n">
        <v>10.19</v>
      </c>
      <c r="G32" s="30" t="n">
        <v>13.24</v>
      </c>
      <c r="H32" s="30" t="n">
        <v>9.720000000000001</v>
      </c>
      <c r="I32" s="30" t="n">
        <v>2.31324449942929</v>
      </c>
      <c r="J32" s="30" t="n">
        <v>59.2</v>
      </c>
      <c r="K32" s="24" t="n">
        <v>91.40000000000001</v>
      </c>
      <c r="L32" s="18" t="n">
        <v>0</v>
      </c>
      <c r="M32" s="35" t="n">
        <v>50.3</v>
      </c>
      <c r="N32" s="31" t="inlineStr">
        <is>
          <t>🔥 Hot</t>
        </is>
      </c>
      <c r="O32" s="31" t="inlineStr">
        <is>
          <t>🔴 Not Qualified</t>
        </is>
      </c>
      <c r="P32" s="31" t="inlineStr">
        <is>
          <t>⚠️ Watch</t>
        </is>
      </c>
      <c r="Q32" s="83" t="inlineStr">
        <is>
          <t>FULL</t>
        </is>
      </c>
    </row>
    <row r="33" ht="16" customHeight="1">
      <c r="A33" s="13" t="n">
        <v>29</v>
      </c>
      <c r="B33" s="14" t="inlineStr">
        <is>
          <t>Edelweiss Nifty Next 50 Index Fund - Regular Plan - Growth</t>
        </is>
      </c>
      <c r="C33" s="14" t="inlineStr">
        <is>
          <t>Edelweiss Mutual Fund</t>
        </is>
      </c>
      <c r="D33" s="14" t="inlineStr">
        <is>
          <t>Index Fund</t>
        </is>
      </c>
      <c r="E33" s="15" t="n">
        <v>3.64</v>
      </c>
      <c r="F33" s="15" t="n">
        <v>7.91</v>
      </c>
      <c r="G33" s="15" t="n">
        <v>5.86</v>
      </c>
      <c r="H33" s="15" t="n">
        <v>11.73</v>
      </c>
      <c r="I33" s="15" t="n">
        <v>0.8563334649837495</v>
      </c>
      <c r="J33" s="15" t="n">
        <v>68.97</v>
      </c>
      <c r="K33" s="24" t="n">
        <v>91.2</v>
      </c>
      <c r="L33" s="18" t="n">
        <v>0</v>
      </c>
      <c r="M33" s="35" t="n">
        <v>50.2</v>
      </c>
      <c r="N33" s="20" t="inlineStr">
        <is>
          <t>🔥 Hot</t>
        </is>
      </c>
      <c r="O33" s="20" t="inlineStr">
        <is>
          <t>🔴 Not Qualified</t>
        </is>
      </c>
      <c r="P33" s="20" t="inlineStr">
        <is>
          <t>⚠️ Watch</t>
        </is>
      </c>
      <c r="Q33" s="83" t="inlineStr">
        <is>
          <t>FULL</t>
        </is>
      </c>
    </row>
    <row r="34" ht="16" customHeight="1">
      <c r="A34" s="92" t="n">
        <v>30</v>
      </c>
      <c r="B34" s="93" t="inlineStr">
        <is>
          <t>Kotak Nifty SmallCap 250 Index Fund- Regular - Growth</t>
        </is>
      </c>
      <c r="C34" s="93" t="inlineStr">
        <is>
          <t>Kotak Mahindra Mutual Fund</t>
        </is>
      </c>
      <c r="D34" s="93" t="inlineStr">
        <is>
          <t>Index Fund</t>
        </is>
      </c>
      <c r="E34" s="94" t="n">
        <v>1.94</v>
      </c>
      <c r="F34" s="94" t="n">
        <v>10.15</v>
      </c>
      <c r="G34" s="94" t="n">
        <v>13.28</v>
      </c>
      <c r="H34" s="94" t="n">
        <v>9.77</v>
      </c>
      <c r="I34" s="94" t="n">
        <v>0</v>
      </c>
      <c r="J34" s="94" t="n">
        <v>0</v>
      </c>
      <c r="K34" s="24" t="n">
        <v>91</v>
      </c>
      <c r="L34" s="18" t="n">
        <v>0</v>
      </c>
      <c r="M34" s="35" t="n">
        <v>50.1</v>
      </c>
      <c r="N34" s="95" t="inlineStr">
        <is>
          <t>🔥 Hot</t>
        </is>
      </c>
      <c r="O34" s="95" t="inlineStr">
        <is>
          <t>⏳ New Fund</t>
        </is>
      </c>
      <c r="P34" s="95" t="inlineStr">
        <is>
          <t>🔥 Hot Momentum</t>
        </is>
      </c>
      <c r="Q34" s="96" t="inlineStr">
        <is>
          <t>MOMENTUM_ONLY</t>
        </is>
      </c>
    </row>
    <row r="35" ht="16" customHeight="1">
      <c r="A35" s="13" t="n">
        <v>31</v>
      </c>
      <c r="B35" s="14" t="inlineStr">
        <is>
          <t>Nippon India Nifty Smallcap 250 Index Fund - Regular Plan - Growth Option</t>
        </is>
      </c>
      <c r="C35" s="14" t="inlineStr">
        <is>
          <t>Nippon India Mutual Fund</t>
        </is>
      </c>
      <c r="D35" s="14" t="inlineStr">
        <is>
          <t>Index Fund</t>
        </is>
      </c>
      <c r="E35" s="15" t="n">
        <v>1.98</v>
      </c>
      <c r="F35" s="15" t="n">
        <v>10.16</v>
      </c>
      <c r="G35" s="15" t="n">
        <v>13.2</v>
      </c>
      <c r="H35" s="15" t="n">
        <v>9.630000000000001</v>
      </c>
      <c r="I35" s="15" t="n">
        <v>1.970583993620445</v>
      </c>
      <c r="J35" s="15" t="n">
        <v>58.12</v>
      </c>
      <c r="K35" s="24" t="n">
        <v>91</v>
      </c>
      <c r="L35" s="18" t="n">
        <v>0</v>
      </c>
      <c r="M35" s="35" t="n">
        <v>50</v>
      </c>
      <c r="N35" s="20" t="inlineStr">
        <is>
          <t>🔥 Hot</t>
        </is>
      </c>
      <c r="O35" s="20" t="inlineStr">
        <is>
          <t>🔴 Not Qualified</t>
        </is>
      </c>
      <c r="P35" s="20" t="inlineStr">
        <is>
          <t>⚠️ Watch</t>
        </is>
      </c>
      <c r="Q35" s="83" t="inlineStr">
        <is>
          <t>FULL</t>
        </is>
      </c>
    </row>
    <row r="36" ht="16" customHeight="1">
      <c r="A36" s="28" t="n">
        <v>32</v>
      </c>
      <c r="B36" s="29" t="inlineStr">
        <is>
          <t>ICICI Prudential Nifty Next 50 Index Fund - Growth</t>
        </is>
      </c>
      <c r="C36" s="29" t="inlineStr">
        <is>
          <t>ICICI Prudential Mutual Fund</t>
        </is>
      </c>
      <c r="D36" s="29" t="inlineStr">
        <is>
          <t>Index Fund</t>
        </is>
      </c>
      <c r="E36" s="30" t="n">
        <v>3.64</v>
      </c>
      <c r="F36" s="30" t="n">
        <v>7.81</v>
      </c>
      <c r="G36" s="30" t="n">
        <v>5.84</v>
      </c>
      <c r="H36" s="30" t="n">
        <v>11.78</v>
      </c>
      <c r="I36" s="30" t="n">
        <v>0.8959860450355128</v>
      </c>
      <c r="J36" s="30" t="n">
        <v>69.93000000000001</v>
      </c>
      <c r="K36" s="24" t="n">
        <v>90.8</v>
      </c>
      <c r="L36" s="18" t="n">
        <v>0</v>
      </c>
      <c r="M36" s="19" t="n">
        <v>49.9</v>
      </c>
      <c r="N36" s="31" t="inlineStr">
        <is>
          <t>🔥 Hot</t>
        </is>
      </c>
      <c r="O36" s="31" t="inlineStr">
        <is>
          <t>🔴 Not Qualified</t>
        </is>
      </c>
      <c r="P36" s="31" t="inlineStr">
        <is>
          <t>⚠️ Watch</t>
        </is>
      </c>
      <c r="Q36" s="83" t="inlineStr">
        <is>
          <t>FULL</t>
        </is>
      </c>
    </row>
    <row r="37" ht="16" customHeight="1">
      <c r="A37" s="13" t="n">
        <v>33</v>
      </c>
      <c r="B37" s="14" t="inlineStr">
        <is>
          <t>ICICI Prudential Nifty Smallcap 250 Index Fund - Growth</t>
        </is>
      </c>
      <c r="C37" s="14" t="inlineStr">
        <is>
          <t>ICICI Prudential Mutual Fund</t>
        </is>
      </c>
      <c r="D37" s="14" t="inlineStr">
        <is>
          <t>Index Fund</t>
        </is>
      </c>
      <c r="E37" s="15" t="n">
        <v>1.98</v>
      </c>
      <c r="F37" s="15" t="n">
        <v>10.14</v>
      </c>
      <c r="G37" s="15" t="n">
        <v>13.16</v>
      </c>
      <c r="H37" s="15" t="n">
        <v>9.609999999999999</v>
      </c>
      <c r="I37" s="15" t="n">
        <v>2.190997646563764</v>
      </c>
      <c r="J37" s="15" t="n">
        <v>59.1</v>
      </c>
      <c r="K37" s="24" t="n">
        <v>90.59999999999999</v>
      </c>
      <c r="L37" s="18" t="n">
        <v>0</v>
      </c>
      <c r="M37" s="19" t="n">
        <v>49.8</v>
      </c>
      <c r="N37" s="20" t="inlineStr">
        <is>
          <t>🔥 Hot</t>
        </is>
      </c>
      <c r="O37" s="20" t="inlineStr">
        <is>
          <t>🔴 Not Qualified</t>
        </is>
      </c>
      <c r="P37" s="20" t="inlineStr">
        <is>
          <t>⚠️ Watch</t>
        </is>
      </c>
      <c r="Q37" s="83" t="inlineStr">
        <is>
          <t>FULL</t>
        </is>
      </c>
    </row>
    <row r="38" ht="16" customHeight="1">
      <c r="A38" s="92" t="n">
        <v>34</v>
      </c>
      <c r="B38" s="93" t="inlineStr">
        <is>
          <t>BANDHAN Nifty Smallcap 250 Index Fund - Regular Plan - Growth</t>
        </is>
      </c>
      <c r="C38" s="93" t="inlineStr">
        <is>
          <t>Bandhan Mutual Fund</t>
        </is>
      </c>
      <c r="D38" s="93" t="inlineStr">
        <is>
          <t>Index Fund</t>
        </is>
      </c>
      <c r="E38" s="94" t="n">
        <v>1.97</v>
      </c>
      <c r="F38" s="94" t="n">
        <v>10.14</v>
      </c>
      <c r="G38" s="94" t="n">
        <v>13.14</v>
      </c>
      <c r="H38" s="94" t="n">
        <v>9.58</v>
      </c>
      <c r="I38" s="94" t="n">
        <v>2.088197163041339</v>
      </c>
      <c r="J38" s="94" t="n">
        <v>0</v>
      </c>
      <c r="K38" s="24" t="n">
        <v>90.2</v>
      </c>
      <c r="L38" s="18" t="n">
        <v>0</v>
      </c>
      <c r="M38" s="19" t="n">
        <v>49.6</v>
      </c>
      <c r="N38" s="95" t="inlineStr">
        <is>
          <t>🔥 Hot</t>
        </is>
      </c>
      <c r="O38" s="95" t="inlineStr">
        <is>
          <t>⏳ New Fund</t>
        </is>
      </c>
      <c r="P38" s="95" t="inlineStr">
        <is>
          <t>🔥 Hot Momentum</t>
        </is>
      </c>
      <c r="Q38" s="96" t="inlineStr">
        <is>
          <t>MOMENTUM_ONLY</t>
        </is>
      </c>
    </row>
    <row r="39" ht="16" customHeight="1">
      <c r="A39" s="92" t="n">
        <v>35</v>
      </c>
      <c r="B39" s="93" t="inlineStr">
        <is>
          <t>UTI Nifty India Manufacturing Index Fund - Regular Plan - Growth Option</t>
        </is>
      </c>
      <c r="C39" s="93" t="inlineStr">
        <is>
          <t>UTI Mutual Fund</t>
        </is>
      </c>
      <c r="D39" s="93" t="inlineStr">
        <is>
          <t>Index Fund</t>
        </is>
      </c>
      <c r="E39" s="94" t="n">
        <v>3.99</v>
      </c>
      <c r="F39" s="94" t="n">
        <v>6.34</v>
      </c>
      <c r="G39" s="94" t="n">
        <v>5.25</v>
      </c>
      <c r="H39" s="94" t="n">
        <v>16.62</v>
      </c>
      <c r="I39" s="94" t="n">
        <v>0</v>
      </c>
      <c r="J39" s="94" t="n">
        <v>0</v>
      </c>
      <c r="K39" s="24" t="n">
        <v>90.2</v>
      </c>
      <c r="L39" s="18" t="n">
        <v>0</v>
      </c>
      <c r="M39" s="19" t="n">
        <v>49.6</v>
      </c>
      <c r="N39" s="95" t="inlineStr">
        <is>
          <t>🔥 Hot</t>
        </is>
      </c>
      <c r="O39" s="95" t="inlineStr">
        <is>
          <t>⏳ New Fund</t>
        </is>
      </c>
      <c r="P39" s="95" t="inlineStr">
        <is>
          <t>🔥 Hot Momentum</t>
        </is>
      </c>
      <c r="Q39" s="96" t="inlineStr">
        <is>
          <t>MOMENTUM_ONLY</t>
        </is>
      </c>
    </row>
    <row r="40" ht="16" customHeight="1">
      <c r="A40" s="28" t="n">
        <v>36</v>
      </c>
      <c r="B40" s="29" t="inlineStr">
        <is>
          <t>Navi Nifty India Manufacturing Index Fund- Regular Plan- Growth</t>
        </is>
      </c>
      <c r="C40" s="29" t="inlineStr">
        <is>
          <t>Navi Mutual Fund</t>
        </is>
      </c>
      <c r="D40" s="29" t="inlineStr">
        <is>
          <t>Index Fund</t>
        </is>
      </c>
      <c r="E40" s="30" t="n">
        <v>3.99</v>
      </c>
      <c r="F40" s="30" t="n">
        <v>6.23</v>
      </c>
      <c r="G40" s="30" t="n">
        <v>5.29</v>
      </c>
      <c r="H40" s="30" t="n">
        <v>16.75</v>
      </c>
      <c r="I40" s="30" t="n">
        <v>5.621967412087137</v>
      </c>
      <c r="J40" s="30" t="n">
        <v>70.73</v>
      </c>
      <c r="K40" s="24" t="n">
        <v>90</v>
      </c>
      <c r="L40" s="18" t="n">
        <v>0</v>
      </c>
      <c r="M40" s="19" t="n">
        <v>49.5</v>
      </c>
      <c r="N40" s="31" t="inlineStr">
        <is>
          <t>⭐ Strong</t>
        </is>
      </c>
      <c r="O40" s="31" t="inlineStr">
        <is>
          <t>🔴 Not Qualified</t>
        </is>
      </c>
      <c r="P40" s="31" t="inlineStr">
        <is>
          <t>⚠️ Watch</t>
        </is>
      </c>
      <c r="Q40" s="83" t="inlineStr">
        <is>
          <t>FULL</t>
        </is>
      </c>
    </row>
    <row r="41" ht="16" customHeight="1">
      <c r="A41" s="13" t="n">
        <v>37</v>
      </c>
      <c r="B41" s="14" t="inlineStr">
        <is>
          <t>Motilal Oswal Nifty Smallcap 250 Index - Regular Plan</t>
        </is>
      </c>
      <c r="C41" s="14" t="inlineStr">
        <is>
          <t>Motilal Oswal Mutual Fund</t>
        </is>
      </c>
      <c r="D41" s="14" t="inlineStr">
        <is>
          <t>Index Fund</t>
        </is>
      </c>
      <c r="E41" s="15" t="n">
        <v>1.97</v>
      </c>
      <c r="F41" s="15" t="n">
        <v>10.13</v>
      </c>
      <c r="G41" s="15" t="n">
        <v>13.11</v>
      </c>
      <c r="H41" s="15" t="n">
        <v>9.550000000000001</v>
      </c>
      <c r="I41" s="15" t="n">
        <v>2.264363294355864</v>
      </c>
      <c r="J41" s="15" t="n">
        <v>59.41</v>
      </c>
      <c r="K41" s="24" t="n">
        <v>90</v>
      </c>
      <c r="L41" s="18" t="n">
        <v>0</v>
      </c>
      <c r="M41" s="19" t="n">
        <v>49.5</v>
      </c>
      <c r="N41" s="20" t="inlineStr">
        <is>
          <t>⭐ Strong</t>
        </is>
      </c>
      <c r="O41" s="20" t="inlineStr">
        <is>
          <t>🔴 Not Qualified</t>
        </is>
      </c>
      <c r="P41" s="20" t="inlineStr">
        <is>
          <t>⚠️ Watch</t>
        </is>
      </c>
      <c r="Q41" s="83" t="inlineStr">
        <is>
          <t>FULL</t>
        </is>
      </c>
    </row>
    <row r="42" ht="16" customHeight="1">
      <c r="A42" s="28" t="n">
        <v>38</v>
      </c>
      <c r="B42" s="29" t="inlineStr">
        <is>
          <t>Motilal Oswal Nifty Next 50 Index Fund - Regular plan - Growth</t>
        </is>
      </c>
      <c r="C42" s="29" t="inlineStr">
        <is>
          <t>Motilal Oswal Mutual Fund</t>
        </is>
      </c>
      <c r="D42" s="29" t="inlineStr">
        <is>
          <t>Index Fund</t>
        </is>
      </c>
      <c r="E42" s="30" t="n">
        <v>3.61</v>
      </c>
      <c r="F42" s="30" t="n">
        <v>7.8</v>
      </c>
      <c r="G42" s="30" t="n">
        <v>5.74</v>
      </c>
      <c r="H42" s="30" t="n">
        <v>11.53</v>
      </c>
      <c r="I42" s="30" t="n">
        <v>0.8216246645529779</v>
      </c>
      <c r="J42" s="30" t="n">
        <v>68.89</v>
      </c>
      <c r="K42" s="24" t="n">
        <v>89.8</v>
      </c>
      <c r="L42" s="18" t="n">
        <v>0</v>
      </c>
      <c r="M42" s="19" t="n">
        <v>49.4</v>
      </c>
      <c r="N42" s="31" t="inlineStr">
        <is>
          <t>⭐ Strong</t>
        </is>
      </c>
      <c r="O42" s="31" t="inlineStr">
        <is>
          <t>🔴 Not Qualified</t>
        </is>
      </c>
      <c r="P42" s="31" t="inlineStr">
        <is>
          <t>⚠️ Watch</t>
        </is>
      </c>
      <c r="Q42" s="83" t="inlineStr">
        <is>
          <t>FULL</t>
        </is>
      </c>
    </row>
    <row r="43" ht="16" customHeight="1">
      <c r="A43" s="92" t="n">
        <v>39</v>
      </c>
      <c r="B43" s="93" t="inlineStr">
        <is>
          <t>Bandhan Nifty Next 50 Index Fund - Regular Plan - Growth</t>
        </is>
      </c>
      <c r="C43" s="93" t="inlineStr">
        <is>
          <t>Bandhan Mutual Fund</t>
        </is>
      </c>
      <c r="D43" s="93" t="inlineStr">
        <is>
          <t>Index Fund</t>
        </is>
      </c>
      <c r="E43" s="94" t="n">
        <v>3.6</v>
      </c>
      <c r="F43" s="94" t="n">
        <v>7.79</v>
      </c>
      <c r="G43" s="94" t="n">
        <v>5.81</v>
      </c>
      <c r="H43" s="94" t="n">
        <v>11.54</v>
      </c>
      <c r="I43" s="94" t="n">
        <v>0</v>
      </c>
      <c r="J43" s="94" t="n">
        <v>0</v>
      </c>
      <c r="K43" s="24" t="n">
        <v>89.59999999999999</v>
      </c>
      <c r="L43" s="18" t="n">
        <v>0</v>
      </c>
      <c r="M43" s="19" t="n">
        <v>49.3</v>
      </c>
      <c r="N43" s="95" t="inlineStr">
        <is>
          <t>⭐ Strong</t>
        </is>
      </c>
      <c r="O43" s="95" t="inlineStr">
        <is>
          <t>⏳ New Fund</t>
        </is>
      </c>
      <c r="P43" s="95" t="inlineStr">
        <is>
          <t>🔥 Hot Momentum</t>
        </is>
      </c>
      <c r="Q43" s="96" t="inlineStr">
        <is>
          <t>MOMENTUM_ONLY</t>
        </is>
      </c>
    </row>
    <row r="44" ht="16" customHeight="1">
      <c r="A44" s="28" t="n">
        <v>40</v>
      </c>
      <c r="B44" s="29" t="inlineStr">
        <is>
          <t>Axis Nifty Next 50 Index Fund - Regular Plan - Growth</t>
        </is>
      </c>
      <c r="C44" s="29" t="inlineStr">
        <is>
          <t>Axis Mutual Fund</t>
        </is>
      </c>
      <c r="D44" s="29" t="inlineStr">
        <is>
          <t>Index Fund</t>
        </is>
      </c>
      <c r="E44" s="30" t="n">
        <v>3.6</v>
      </c>
      <c r="F44" s="30" t="n">
        <v>7.79</v>
      </c>
      <c r="G44" s="30" t="n">
        <v>5.77</v>
      </c>
      <c r="H44" s="30" t="n">
        <v>11.57</v>
      </c>
      <c r="I44" s="30" t="n">
        <v>0.8117056695302605</v>
      </c>
      <c r="J44" s="30" t="n">
        <v>68.73999999999999</v>
      </c>
      <c r="K44" s="24" t="n">
        <v>89.59999999999999</v>
      </c>
      <c r="L44" s="18" t="n">
        <v>0</v>
      </c>
      <c r="M44" s="19" t="n">
        <v>49.3</v>
      </c>
      <c r="N44" s="31" t="inlineStr">
        <is>
          <t>⭐ Strong</t>
        </is>
      </c>
      <c r="O44" s="31" t="inlineStr">
        <is>
          <t>🔴 Not Qualified</t>
        </is>
      </c>
      <c r="P44" s="31" t="inlineStr">
        <is>
          <t>⚠️ Watch</t>
        </is>
      </c>
      <c r="Q44" s="83" t="inlineStr">
        <is>
          <t>FULL</t>
        </is>
      </c>
    </row>
    <row r="45" ht="16" customHeight="1">
      <c r="A45" s="13" t="n">
        <v>41</v>
      </c>
      <c r="B45" s="14" t="inlineStr">
        <is>
          <t>Navi Nifty Next 50 Index Fund- Regular Plan- Growth</t>
        </is>
      </c>
      <c r="C45" s="14" t="inlineStr">
        <is>
          <t>Navi Mutual Fund</t>
        </is>
      </c>
      <c r="D45" s="14" t="inlineStr">
        <is>
          <t>Index Fund</t>
        </is>
      </c>
      <c r="E45" s="15" t="n">
        <v>3.59</v>
      </c>
      <c r="F45" s="15" t="n">
        <v>7.8</v>
      </c>
      <c r="G45" s="15" t="n">
        <v>5.66</v>
      </c>
      <c r="H45" s="15" t="n">
        <v>11.44</v>
      </c>
      <c r="I45" s="15" t="n">
        <v>0.8662480713940379</v>
      </c>
      <c r="J45" s="15" t="n">
        <v>69.12</v>
      </c>
      <c r="K45" s="24" t="n">
        <v>89</v>
      </c>
      <c r="L45" s="18" t="n">
        <v>0</v>
      </c>
      <c r="M45" s="19" t="n">
        <v>48.9</v>
      </c>
      <c r="N45" s="20" t="inlineStr">
        <is>
          <t>⭐ Strong</t>
        </is>
      </c>
      <c r="O45" s="20" t="inlineStr">
        <is>
          <t>🔴 Not Qualified</t>
        </is>
      </c>
      <c r="P45" s="20" t="inlineStr">
        <is>
          <t>⚠️ Watch</t>
        </is>
      </c>
      <c r="Q45" s="83" t="inlineStr">
        <is>
          <t>FULL</t>
        </is>
      </c>
    </row>
    <row r="46" ht="16" customHeight="1">
      <c r="A46" s="92" t="n">
        <v>42</v>
      </c>
      <c r="B46" s="93" t="inlineStr">
        <is>
          <t>Bajaj Finserv Nifty Next 50 Index Fund - Regular - Growth</t>
        </is>
      </c>
      <c r="C46" s="93" t="inlineStr">
        <is>
          <t>Bajaj Finserv Mutual Fund</t>
        </is>
      </c>
      <c r="D46" s="93" t="inlineStr">
        <is>
          <t>Index Fund</t>
        </is>
      </c>
      <c r="E46" s="94" t="n">
        <v>3.6</v>
      </c>
      <c r="F46" s="94" t="n">
        <v>7.75</v>
      </c>
      <c r="G46" s="94" t="n">
        <v>5.57</v>
      </c>
      <c r="H46" s="94" t="n">
        <v>10.93</v>
      </c>
      <c r="I46" s="94" t="n">
        <v>0</v>
      </c>
      <c r="J46" s="94" t="n">
        <v>0</v>
      </c>
      <c r="K46" s="24" t="n">
        <v>88.5</v>
      </c>
      <c r="L46" s="18" t="n">
        <v>0</v>
      </c>
      <c r="M46" s="19" t="n">
        <v>48.7</v>
      </c>
      <c r="N46" s="95" t="inlineStr">
        <is>
          <t>⭐ Strong</t>
        </is>
      </c>
      <c r="O46" s="95" t="inlineStr">
        <is>
          <t>⏳ New Fund</t>
        </is>
      </c>
      <c r="P46" s="95" t="inlineStr">
        <is>
          <t>🔥 Hot Momentum</t>
        </is>
      </c>
      <c r="Q46" s="96" t="inlineStr">
        <is>
          <t>MOMENTUM_ONLY</t>
        </is>
      </c>
    </row>
    <row r="47" ht="16" customHeight="1">
      <c r="A47" s="92" t="n">
        <v>43</v>
      </c>
      <c r="B47" s="93" t="inlineStr">
        <is>
          <t>Motilal Oswal Nifty MidSmall IT and Telecom Index Fund-Regular Plan-Growth</t>
        </is>
      </c>
      <c r="C47" s="93" t="inlineStr">
        <is>
          <t>Motilal Oswal Mutual Fund</t>
        </is>
      </c>
      <c r="D47" s="93" t="inlineStr">
        <is>
          <t>Index Fund</t>
        </is>
      </c>
      <c r="E47" s="94" t="n">
        <v>3.06</v>
      </c>
      <c r="F47" s="94" t="n">
        <v>7.9</v>
      </c>
      <c r="G47" s="94" t="n">
        <v>7.39</v>
      </c>
      <c r="H47" s="94" t="n">
        <v>6.27</v>
      </c>
      <c r="I47" s="94" t="n">
        <v>0</v>
      </c>
      <c r="J47" s="94" t="n">
        <v>0</v>
      </c>
      <c r="K47" s="24" t="n">
        <v>86.2</v>
      </c>
      <c r="L47" s="18" t="n">
        <v>0</v>
      </c>
      <c r="M47" s="19" t="n">
        <v>47.4</v>
      </c>
      <c r="N47" s="95" t="inlineStr">
        <is>
          <t>⭐ Strong</t>
        </is>
      </c>
      <c r="O47" s="95" t="inlineStr">
        <is>
          <t>⏳ New Fund</t>
        </is>
      </c>
      <c r="P47" s="95" t="inlineStr">
        <is>
          <t>🔥 Hot Momentum</t>
        </is>
      </c>
      <c r="Q47" s="96" t="inlineStr">
        <is>
          <t>MOMENTUM_ONLY</t>
        </is>
      </c>
    </row>
    <row r="48" ht="16" customHeight="1">
      <c r="A48" s="92" t="n">
        <v>44</v>
      </c>
      <c r="B48" s="93" t="inlineStr">
        <is>
          <t>KOTAK NIFTY MIDCAP 50 INDEX FUND-REGULAR PLAN-GROWTH</t>
        </is>
      </c>
      <c r="C48" s="93" t="inlineStr">
        <is>
          <t>Kotak Mahindra Mutual Fund</t>
        </is>
      </c>
      <c r="D48" s="93" t="inlineStr">
        <is>
          <t>Index Fund</t>
        </is>
      </c>
      <c r="E48" s="94" t="n">
        <v>1.63</v>
      </c>
      <c r="F48" s="94" t="n">
        <v>4.66</v>
      </c>
      <c r="G48" s="94" t="n">
        <v>6.17</v>
      </c>
      <c r="H48" s="94" t="n">
        <v>13.81</v>
      </c>
      <c r="I48" s="94" t="n">
        <v>0</v>
      </c>
      <c r="J48" s="94" t="n">
        <v>0</v>
      </c>
      <c r="K48" s="24" t="n">
        <v>84.7</v>
      </c>
      <c r="L48" s="18" t="n">
        <v>0</v>
      </c>
      <c r="M48" s="19" t="n">
        <v>46.6</v>
      </c>
      <c r="N48" s="95" t="inlineStr">
        <is>
          <t>⭐ Strong</t>
        </is>
      </c>
      <c r="O48" s="95" t="inlineStr">
        <is>
          <t>⏳ New Fund</t>
        </is>
      </c>
      <c r="P48" s="95" t="inlineStr">
        <is>
          <t>🔥 Hot Momentum</t>
        </is>
      </c>
      <c r="Q48" s="96" t="inlineStr">
        <is>
          <t>MOMENTUM_ONLY</t>
        </is>
      </c>
    </row>
    <row r="49" ht="16" customHeight="1">
      <c r="A49" s="13" t="n">
        <v>45</v>
      </c>
      <c r="B49" s="14" t="inlineStr">
        <is>
          <t>Axis Nifty Midcap 50 Index Fund - Regular Plan - Growth Option</t>
        </is>
      </c>
      <c r="C49" s="14" t="inlineStr">
        <is>
          <t>Axis Mutual Fund</t>
        </is>
      </c>
      <c r="D49" s="14" t="inlineStr">
        <is>
          <t>Index Fund</t>
        </is>
      </c>
      <c r="E49" s="15" t="n">
        <v>1.61</v>
      </c>
      <c r="F49" s="15" t="n">
        <v>4.62</v>
      </c>
      <c r="G49" s="15" t="n">
        <v>6.08</v>
      </c>
      <c r="H49" s="15" t="n">
        <v>13.7</v>
      </c>
      <c r="I49" s="15" t="n">
        <v>5.313816757346701</v>
      </c>
      <c r="J49" s="15" t="n">
        <v>64.92</v>
      </c>
      <c r="K49" s="24" t="n">
        <v>84.40000000000001</v>
      </c>
      <c r="L49" s="18" t="n">
        <v>0</v>
      </c>
      <c r="M49" s="19" t="n">
        <v>46.4</v>
      </c>
      <c r="N49" s="20" t="inlineStr">
        <is>
          <t>⭐ Strong</t>
        </is>
      </c>
      <c r="O49" s="20" t="inlineStr">
        <is>
          <t>🔴 Not Qualified</t>
        </is>
      </c>
      <c r="P49" s="20" t="inlineStr">
        <is>
          <t>⚠️ Watch</t>
        </is>
      </c>
      <c r="Q49" s="83" t="inlineStr">
        <is>
          <t>FULL</t>
        </is>
      </c>
    </row>
    <row r="50" ht="16" customHeight="1">
      <c r="A50" s="92" t="n">
        <v>46</v>
      </c>
      <c r="B50" s="93" t="inlineStr">
        <is>
          <t>Nippon India Nifty 500 Equal Weight Index Fund - Regular Plan - Growth Option</t>
        </is>
      </c>
      <c r="C50" s="93" t="inlineStr">
        <is>
          <t>Nippon India Mutual Fund</t>
        </is>
      </c>
      <c r="D50" s="93" t="inlineStr">
        <is>
          <t>Index Fund</t>
        </is>
      </c>
      <c r="E50" s="94" t="n">
        <v>1.49</v>
      </c>
      <c r="F50" s="94" t="n">
        <v>7.1</v>
      </c>
      <c r="G50" s="94" t="n">
        <v>7.8</v>
      </c>
      <c r="H50" s="94" t="n">
        <v>7.86</v>
      </c>
      <c r="I50" s="94" t="n">
        <v>0</v>
      </c>
      <c r="J50" s="94" t="n">
        <v>0</v>
      </c>
      <c r="K50" s="24" t="n">
        <v>84</v>
      </c>
      <c r="L50" s="18" t="n">
        <v>0</v>
      </c>
      <c r="M50" s="19" t="n">
        <v>46.2</v>
      </c>
      <c r="N50" s="95" t="inlineStr">
        <is>
          <t>⭐ Strong</t>
        </is>
      </c>
      <c r="O50" s="95" t="inlineStr">
        <is>
          <t>⏳ New Fund</t>
        </is>
      </c>
      <c r="P50" s="95" t="inlineStr">
        <is>
          <t>🔥 Hot Momentum</t>
        </is>
      </c>
      <c r="Q50" s="96" t="inlineStr">
        <is>
          <t>MOMENTUM_ONLY</t>
        </is>
      </c>
    </row>
    <row r="51" ht="16" customHeight="1">
      <c r="A51" s="92" t="n">
        <v>47</v>
      </c>
      <c r="B51" s="93" t="inlineStr">
        <is>
          <t>Nippon India Nifty 500 Momentum 50 Index Fund - Regular Plan - Growth Option</t>
        </is>
      </c>
      <c r="C51" s="93" t="inlineStr">
        <is>
          <t>Nippon India Mutual Fund</t>
        </is>
      </c>
      <c r="D51" s="93" t="inlineStr">
        <is>
          <t>Index Fund</t>
        </is>
      </c>
      <c r="E51" s="94" t="n">
        <v>4.06</v>
      </c>
      <c r="F51" s="94" t="n">
        <v>5.63</v>
      </c>
      <c r="G51" s="94" t="n">
        <v>4.18</v>
      </c>
      <c r="H51" s="94" t="n">
        <v>6.85</v>
      </c>
      <c r="I51" s="94" t="n">
        <v>0</v>
      </c>
      <c r="J51" s="94" t="n">
        <v>0</v>
      </c>
      <c r="K51" s="24" t="n">
        <v>84</v>
      </c>
      <c r="L51" s="18" t="n">
        <v>0</v>
      </c>
      <c r="M51" s="19" t="n">
        <v>46.2</v>
      </c>
      <c r="N51" s="95" t="inlineStr">
        <is>
          <t>⭐ Strong</t>
        </is>
      </c>
      <c r="O51" s="95" t="inlineStr">
        <is>
          <t>⏳ New Fund</t>
        </is>
      </c>
      <c r="P51" s="95" t="inlineStr">
        <is>
          <t>🔥 Hot Momentum</t>
        </is>
      </c>
      <c r="Q51" s="96" t="inlineStr">
        <is>
          <t>MOMENTUM_ONLY</t>
        </is>
      </c>
    </row>
    <row r="52" ht="16" customHeight="1">
      <c r="A52" s="92" t="n">
        <v>48</v>
      </c>
      <c r="B52" s="93" t="inlineStr">
        <is>
          <t>DSP Nifty Healthcare Index Fund - Regular - Growth</t>
        </is>
      </c>
      <c r="C52" s="93" t="inlineStr">
        <is>
          <t>DSP Mutual Fund</t>
        </is>
      </c>
      <c r="D52" s="93" t="inlineStr">
        <is>
          <t>Pharma/Healthcare</t>
        </is>
      </c>
      <c r="E52" s="94" t="n">
        <v>1.15</v>
      </c>
      <c r="F52" s="94" t="n">
        <v>4.14</v>
      </c>
      <c r="G52" s="94" t="n">
        <v>12.68</v>
      </c>
      <c r="H52" s="94" t="n">
        <v>11.91</v>
      </c>
      <c r="I52" s="94" t="n">
        <v>0</v>
      </c>
      <c r="J52" s="94" t="n">
        <v>0</v>
      </c>
      <c r="K52" s="24" t="n">
        <v>83.59999999999999</v>
      </c>
      <c r="L52" s="18" t="n">
        <v>0</v>
      </c>
      <c r="M52" s="19" t="n">
        <v>46</v>
      </c>
      <c r="N52" s="95" t="inlineStr">
        <is>
          <t>⭐ Strong</t>
        </is>
      </c>
      <c r="O52" s="95" t="inlineStr">
        <is>
          <t>⏳ New Fund</t>
        </is>
      </c>
      <c r="P52" s="95" t="inlineStr">
        <is>
          <t>🔥 Hot Momentum</t>
        </is>
      </c>
      <c r="Q52" s="96" t="inlineStr">
        <is>
          <t>MOMENTUM_ONLY</t>
        </is>
      </c>
    </row>
    <row r="53" ht="16" customHeight="1">
      <c r="A53" s="13" t="n">
        <v>49</v>
      </c>
      <c r="B53" s="14" t="inlineStr">
        <is>
          <t>SBI Nifty Midcap 150 Index Fund - Regular Plan - Growth</t>
        </is>
      </c>
      <c r="C53" s="14" t="inlineStr">
        <is>
          <t>SBI Mutual Fund</t>
        </is>
      </c>
      <c r="D53" s="14" t="inlineStr">
        <is>
          <t>Index Fund</t>
        </is>
      </c>
      <c r="E53" s="15" t="n">
        <v>1.77</v>
      </c>
      <c r="F53" s="15" t="n">
        <v>4.56</v>
      </c>
      <c r="G53" s="15" t="n">
        <v>5.44</v>
      </c>
      <c r="H53" s="15" t="n">
        <v>11.05</v>
      </c>
      <c r="I53" s="15" t="n">
        <v>4.494018967594515</v>
      </c>
      <c r="J53" s="15" t="n">
        <v>63.1</v>
      </c>
      <c r="K53" s="24" t="n">
        <v>82</v>
      </c>
      <c r="L53" s="18" t="n">
        <v>0</v>
      </c>
      <c r="M53" s="19" t="n">
        <v>45.1</v>
      </c>
      <c r="N53" s="20" t="inlineStr">
        <is>
          <t>⭐ Strong</t>
        </is>
      </c>
      <c r="O53" s="20" t="inlineStr">
        <is>
          <t>🔴 Not Qualified</t>
        </is>
      </c>
      <c r="P53" s="20" t="inlineStr">
        <is>
          <t>⚠️ Watch</t>
        </is>
      </c>
      <c r="Q53" s="83" t="inlineStr">
        <is>
          <t>FULL</t>
        </is>
      </c>
    </row>
    <row r="54" ht="16" customHeight="1">
      <c r="A54" s="28" t="n">
        <v>50</v>
      </c>
      <c r="B54" s="29" t="inlineStr">
        <is>
          <t>Nippon India Nifty Midcap 150 Index Fund - Regular Plan - Growth Option</t>
        </is>
      </c>
      <c r="C54" s="29" t="inlineStr">
        <is>
          <t>Nippon India Mutual Fund</t>
        </is>
      </c>
      <c r="D54" s="29" t="inlineStr">
        <is>
          <t>Index Fund</t>
        </is>
      </c>
      <c r="E54" s="30" t="n">
        <v>1.79</v>
      </c>
      <c r="F54" s="30" t="n">
        <v>4.53</v>
      </c>
      <c r="G54" s="30" t="n">
        <v>5.39</v>
      </c>
      <c r="H54" s="30" t="n">
        <v>10.99</v>
      </c>
      <c r="I54" s="30" t="n">
        <v>4.446158378372145</v>
      </c>
      <c r="J54" s="30" t="n">
        <v>63.15</v>
      </c>
      <c r="K54" s="24" t="n">
        <v>81.7</v>
      </c>
      <c r="L54" s="18" t="n">
        <v>0</v>
      </c>
      <c r="M54" s="19" t="n">
        <v>45</v>
      </c>
      <c r="N54" s="31" t="inlineStr">
        <is>
          <t>⭐ Strong</t>
        </is>
      </c>
      <c r="O54" s="31" t="inlineStr">
        <is>
          <t>🔴 Not Qualified</t>
        </is>
      </c>
      <c r="P54" s="31" t="inlineStr">
        <is>
          <t>⚠️ Watch</t>
        </is>
      </c>
      <c r="Q54" s="83" t="inlineStr">
        <is>
          <t>FULL</t>
        </is>
      </c>
    </row>
    <row r="55" ht="16" customHeight="1">
      <c r="A55" s="92" t="n">
        <v>50</v>
      </c>
      <c r="B55" s="93" t="inlineStr">
        <is>
          <t>UTI Nifty Midsmallcap 400 Momentum Quality 100 Index Fund - Regular Plan - Growth Option</t>
        </is>
      </c>
      <c r="C55" s="93" t="inlineStr">
        <is>
          <t>UTI Mutual Fund</t>
        </is>
      </c>
      <c r="D55" s="93" t="inlineStr">
        <is>
          <t>Index Fund</t>
        </is>
      </c>
      <c r="E55" s="94" t="n">
        <v>3.57</v>
      </c>
      <c r="F55" s="94" t="n">
        <v>3.41</v>
      </c>
      <c r="G55" s="94" t="n">
        <v>9.23</v>
      </c>
      <c r="H55" s="94" t="n">
        <v>9.220000000000001</v>
      </c>
      <c r="I55" s="94" t="n">
        <v>0</v>
      </c>
      <c r="J55" s="94" t="n">
        <v>0</v>
      </c>
      <c r="K55" s="24" t="n">
        <v>81.7</v>
      </c>
      <c r="L55" s="18" t="n">
        <v>0</v>
      </c>
      <c r="M55" s="19" t="n">
        <v>45</v>
      </c>
      <c r="N55" s="95" t="inlineStr">
        <is>
          <t>⭐ Strong</t>
        </is>
      </c>
      <c r="O55" s="95" t="inlineStr">
        <is>
          <t>⏳ New Fund</t>
        </is>
      </c>
      <c r="P55" s="95" t="inlineStr">
        <is>
          <t>🔥 Hot Momentum</t>
        </is>
      </c>
      <c r="Q55" s="96" t="inlineStr">
        <is>
          <t>MOMENTUM_ONLY</t>
        </is>
      </c>
    </row>
    <row r="56" ht="16" customHeight="1">
      <c r="A56" s="28" t="n">
        <v>52</v>
      </c>
      <c r="B56" s="29" t="inlineStr">
        <is>
          <t>HDFC NIFTY Midcap 150 Index Fund - Growth Option</t>
        </is>
      </c>
      <c r="C56" s="29" t="inlineStr">
        <is>
          <t>HDFC Mutual Fund</t>
        </is>
      </c>
      <c r="D56" s="29" t="inlineStr">
        <is>
          <t>Index Fund</t>
        </is>
      </c>
      <c r="E56" s="30" t="n">
        <v>1.76</v>
      </c>
      <c r="F56" s="30" t="n">
        <v>4.5</v>
      </c>
      <c r="G56" s="30" t="n">
        <v>5.3</v>
      </c>
      <c r="H56" s="30" t="n">
        <v>10.84</v>
      </c>
      <c r="I56" s="30" t="n">
        <v>4.383906805599103</v>
      </c>
      <c r="J56" s="30" t="n">
        <v>62.31</v>
      </c>
      <c r="K56" s="24" t="n">
        <v>80.90000000000001</v>
      </c>
      <c r="L56" s="18" t="n">
        <v>0</v>
      </c>
      <c r="M56" s="19" t="n">
        <v>44.5</v>
      </c>
      <c r="N56" s="31" t="inlineStr">
        <is>
          <t>⭐ Strong</t>
        </is>
      </c>
      <c r="O56" s="31" t="inlineStr">
        <is>
          <t>🔴 Not Qualified</t>
        </is>
      </c>
      <c r="P56" s="31" t="inlineStr">
        <is>
          <t>⚠️ Watch</t>
        </is>
      </c>
      <c r="Q56" s="83" t="inlineStr">
        <is>
          <t>FULL</t>
        </is>
      </c>
    </row>
    <row r="57" ht="16" customHeight="1">
      <c r="A57" s="92" t="n">
        <v>53</v>
      </c>
      <c r="B57" s="93" t="inlineStr">
        <is>
          <t>UTI Nifty Midcap 150 Index Fund - Regular Plan - Growth Option</t>
        </is>
      </c>
      <c r="C57" s="93" t="inlineStr">
        <is>
          <t>UTI Mutual Fund</t>
        </is>
      </c>
      <c r="D57" s="93" t="inlineStr">
        <is>
          <t>Index Fund</t>
        </is>
      </c>
      <c r="E57" s="94" t="n">
        <v>1.75</v>
      </c>
      <c r="F57" s="94" t="n">
        <v>4.49</v>
      </c>
      <c r="G57" s="94" t="n">
        <v>5.31</v>
      </c>
      <c r="H57" s="94" t="n">
        <v>10.77</v>
      </c>
      <c r="I57" s="94" t="n">
        <v>0</v>
      </c>
      <c r="J57" s="94" t="n">
        <v>0</v>
      </c>
      <c r="K57" s="24" t="n">
        <v>80.59999999999999</v>
      </c>
      <c r="L57" s="18" t="n">
        <v>0</v>
      </c>
      <c r="M57" s="19" t="n">
        <v>44.3</v>
      </c>
      <c r="N57" s="95" t="inlineStr">
        <is>
          <t>⭐ Strong</t>
        </is>
      </c>
      <c r="O57" s="95" t="inlineStr">
        <is>
          <t>⏳ New Fund</t>
        </is>
      </c>
      <c r="P57" s="95" t="inlineStr">
        <is>
          <t>🔥 Hot Momentum</t>
        </is>
      </c>
      <c r="Q57" s="96" t="inlineStr">
        <is>
          <t>MOMENTUM_ONLY</t>
        </is>
      </c>
    </row>
    <row r="58" ht="16" customHeight="1">
      <c r="A58" s="92" t="n">
        <v>54</v>
      </c>
      <c r="B58" s="93" t="inlineStr">
        <is>
          <t>KOTAK NIFTY MIDCAP 150 INDEX FUND-REGULAR PLAN-GROWTH</t>
        </is>
      </c>
      <c r="C58" s="93" t="inlineStr">
        <is>
          <t>Kotak Mahindra Mutual Fund</t>
        </is>
      </c>
      <c r="D58" s="93" t="inlineStr">
        <is>
          <t>Index Fund</t>
        </is>
      </c>
      <c r="E58" s="94" t="n">
        <v>1.76</v>
      </c>
      <c r="F58" s="94" t="n">
        <v>4.53</v>
      </c>
      <c r="G58" s="94" t="n">
        <v>5.29</v>
      </c>
      <c r="H58" s="94" t="n">
        <v>10.77</v>
      </c>
      <c r="I58" s="94" t="n">
        <v>0</v>
      </c>
      <c r="J58" s="94" t="n">
        <v>0</v>
      </c>
      <c r="K58" s="24" t="n">
        <v>80.59999999999999</v>
      </c>
      <c r="L58" s="18" t="n">
        <v>0</v>
      </c>
      <c r="M58" s="19" t="n">
        <v>44.3</v>
      </c>
      <c r="N58" s="95" t="inlineStr">
        <is>
          <t>⭐ Strong</t>
        </is>
      </c>
      <c r="O58" s="95" t="inlineStr">
        <is>
          <t>⏳ New Fund</t>
        </is>
      </c>
      <c r="P58" s="95" t="inlineStr">
        <is>
          <t>🔥 Hot Momentum</t>
        </is>
      </c>
      <c r="Q58" s="96" t="inlineStr">
        <is>
          <t>MOMENTUM_ONLY</t>
        </is>
      </c>
    </row>
    <row r="59" ht="16" customHeight="1">
      <c r="A59" s="92" t="n">
        <v>55</v>
      </c>
      <c r="B59" s="93" t="inlineStr">
        <is>
          <t>Kotak Nifty Alpha 50 Index Fund - Regular Plan - Growth</t>
        </is>
      </c>
      <c r="C59" s="93" t="inlineStr">
        <is>
          <t>Kotak Mahindra Mutual Fund</t>
        </is>
      </c>
      <c r="D59" s="93" t="inlineStr">
        <is>
          <t>Index Fund</t>
        </is>
      </c>
      <c r="E59" s="94" t="n">
        <v>5.18</v>
      </c>
      <c r="F59" s="94" t="n">
        <v>9.15</v>
      </c>
      <c r="G59" s="94" t="n">
        <v>9.390000000000001</v>
      </c>
      <c r="H59" s="94" t="n">
        <v>0</v>
      </c>
      <c r="I59" s="94" t="n">
        <v>0</v>
      </c>
      <c r="J59" s="94" t="n">
        <v>0</v>
      </c>
      <c r="K59" s="24" t="n">
        <v>80.3</v>
      </c>
      <c r="L59" s="18" t="n">
        <v>0</v>
      </c>
      <c r="M59" s="19" t="n">
        <v>44.2</v>
      </c>
      <c r="N59" s="95" t="inlineStr">
        <is>
          <t>⭐ Strong</t>
        </is>
      </c>
      <c r="O59" s="95" t="inlineStr">
        <is>
          <t>⏳ New Fund</t>
        </is>
      </c>
      <c r="P59" s="95" t="inlineStr">
        <is>
          <t>🔥 Hot Momentum</t>
        </is>
      </c>
      <c r="Q59" s="96" t="inlineStr">
        <is>
          <t>MOMENTUM_ONLY</t>
        </is>
      </c>
    </row>
    <row r="60" ht="16" customHeight="1">
      <c r="A60" s="92" t="n">
        <v>56</v>
      </c>
      <c r="B60" s="93" t="inlineStr">
        <is>
          <t>Axis Nifty500 Momentum 50 Index Fund - Regular Plan - Growth Option</t>
        </is>
      </c>
      <c r="C60" s="93" t="inlineStr">
        <is>
          <t>Axis Mutual Fund</t>
        </is>
      </c>
      <c r="D60" s="93" t="inlineStr">
        <is>
          <t>Index Fund</t>
        </is>
      </c>
      <c r="E60" s="94" t="n">
        <v>4.04</v>
      </c>
      <c r="F60" s="94" t="n">
        <v>4.98</v>
      </c>
      <c r="G60" s="94" t="n">
        <v>3.65</v>
      </c>
      <c r="H60" s="94" t="n">
        <v>6.04</v>
      </c>
      <c r="I60" s="94" t="n">
        <v>0</v>
      </c>
      <c r="J60" s="94" t="n">
        <v>0</v>
      </c>
      <c r="K60" s="24" t="n">
        <v>79.90000000000001</v>
      </c>
      <c r="L60" s="18" t="n">
        <v>0</v>
      </c>
      <c r="M60" s="19" t="n">
        <v>44</v>
      </c>
      <c r="N60" s="95" t="inlineStr">
        <is>
          <t>⭐ Strong</t>
        </is>
      </c>
      <c r="O60" s="95" t="inlineStr">
        <is>
          <t>⏳ New Fund</t>
        </is>
      </c>
      <c r="P60" s="95" t="inlineStr">
        <is>
          <t>📈 Momentum Only</t>
        </is>
      </c>
      <c r="Q60" s="96" t="inlineStr">
        <is>
          <t>MOMENTUM_ONLY</t>
        </is>
      </c>
    </row>
    <row r="61" ht="16" customHeight="1">
      <c r="A61" s="13" t="n">
        <v>57</v>
      </c>
      <c r="B61" s="14" t="inlineStr">
        <is>
          <t>Motilal Oswal Nifty Midcap 150 Index Fund - Regular Plan</t>
        </is>
      </c>
      <c r="C61" s="14" t="inlineStr">
        <is>
          <t>Motilal Oswal Mutual Fund</t>
        </is>
      </c>
      <c r="D61" s="14" t="inlineStr">
        <is>
          <t>Index Fund</t>
        </is>
      </c>
      <c r="E61" s="15" t="n">
        <v>1.74</v>
      </c>
      <c r="F61" s="15" t="n">
        <v>4.45</v>
      </c>
      <c r="G61" s="15" t="n">
        <v>5.25</v>
      </c>
      <c r="H61" s="15" t="n">
        <v>10.77</v>
      </c>
      <c r="I61" s="15" t="n">
        <v>4.379116685283369</v>
      </c>
      <c r="J61" s="15" t="n">
        <v>62.92</v>
      </c>
      <c r="K61" s="24" t="n">
        <v>79.8</v>
      </c>
      <c r="L61" s="18" t="n">
        <v>0</v>
      </c>
      <c r="M61" s="19" t="n">
        <v>43.9</v>
      </c>
      <c r="N61" s="20" t="inlineStr">
        <is>
          <t>⭐ Strong</t>
        </is>
      </c>
      <c r="O61" s="20" t="inlineStr">
        <is>
          <t>🔴 Not Qualified</t>
        </is>
      </c>
      <c r="P61" s="20" t="inlineStr">
        <is>
          <t>⚠️ Watch</t>
        </is>
      </c>
      <c r="Q61" s="83" t="inlineStr">
        <is>
          <t>FULL</t>
        </is>
      </c>
    </row>
    <row r="62" ht="16" customHeight="1">
      <c r="A62" s="28" t="n">
        <v>58</v>
      </c>
      <c r="B62" s="29" t="inlineStr">
        <is>
          <t>ICICI Prudential Nifty Midcap 150 Index Fund - Growth</t>
        </is>
      </c>
      <c r="C62" s="29" t="inlineStr">
        <is>
          <t>ICICI Prudential Mutual Fund</t>
        </is>
      </c>
      <c r="D62" s="29" t="inlineStr">
        <is>
          <t>Index Fund</t>
        </is>
      </c>
      <c r="E62" s="30" t="n">
        <v>1.74</v>
      </c>
      <c r="F62" s="30" t="n">
        <v>4.44</v>
      </c>
      <c r="G62" s="30" t="n">
        <v>5.23</v>
      </c>
      <c r="H62" s="30" t="n">
        <v>10.72</v>
      </c>
      <c r="I62" s="30" t="n">
        <v>4.278473329829668</v>
      </c>
      <c r="J62" s="30" t="n">
        <v>62.06</v>
      </c>
      <c r="K62" s="24" t="n">
        <v>79.59999999999999</v>
      </c>
      <c r="L62" s="18" t="n">
        <v>0</v>
      </c>
      <c r="M62" s="19" t="n">
        <v>43.8</v>
      </c>
      <c r="N62" s="31" t="inlineStr">
        <is>
          <t>⭐ Strong</t>
        </is>
      </c>
      <c r="O62" s="31" t="inlineStr">
        <is>
          <t>🔴 Not Qualified</t>
        </is>
      </c>
      <c r="P62" s="31" t="inlineStr">
        <is>
          <t>⚠️ Watch</t>
        </is>
      </c>
      <c r="Q62" s="83" t="inlineStr">
        <is>
          <t>FULL</t>
        </is>
      </c>
    </row>
    <row r="63" ht="16" customHeight="1">
      <c r="A63" s="92" t="n">
        <v>59</v>
      </c>
      <c r="B63" s="93" t="inlineStr">
        <is>
          <t>Bandhan Nifty 500 Momentum 50 Index Fund Regular Plan-Growth</t>
        </is>
      </c>
      <c r="C63" s="93" t="inlineStr">
        <is>
          <t>Bandhan Mutual Fund</t>
        </is>
      </c>
      <c r="D63" s="93" t="inlineStr">
        <is>
          <t>Index Fund</t>
        </is>
      </c>
      <c r="E63" s="94" t="n">
        <v>4.03</v>
      </c>
      <c r="F63" s="94" t="n">
        <v>5.02</v>
      </c>
      <c r="G63" s="94" t="n">
        <v>3.55</v>
      </c>
      <c r="H63" s="94" t="n">
        <v>6.03</v>
      </c>
      <c r="I63" s="94" t="n">
        <v>0</v>
      </c>
      <c r="J63" s="94" t="n">
        <v>0</v>
      </c>
      <c r="K63" s="24" t="n">
        <v>79.5</v>
      </c>
      <c r="L63" s="18" t="n">
        <v>0</v>
      </c>
      <c r="M63" s="19" t="n">
        <v>43.7</v>
      </c>
      <c r="N63" s="95" t="inlineStr">
        <is>
          <t>⭐ Strong</t>
        </is>
      </c>
      <c r="O63" s="95" t="inlineStr">
        <is>
          <t>⏳ New Fund</t>
        </is>
      </c>
      <c r="P63" s="95" t="inlineStr">
        <is>
          <t>📈 Momentum Only</t>
        </is>
      </c>
      <c r="Q63" s="96" t="inlineStr">
        <is>
          <t>MOMENTUM_ONLY</t>
        </is>
      </c>
    </row>
    <row r="64" ht="16" customHeight="1">
      <c r="A64" s="28" t="n">
        <v>60</v>
      </c>
      <c r="B64" s="29" t="inlineStr">
        <is>
          <t>Navi Nifty Midcap 150 Index Fund Regular Plan- Growth</t>
        </is>
      </c>
      <c r="C64" s="29" t="inlineStr">
        <is>
          <t>Navi Mutual Fund</t>
        </is>
      </c>
      <c r="D64" s="29" t="inlineStr">
        <is>
          <t>Index Fund</t>
        </is>
      </c>
      <c r="E64" s="30" t="n">
        <v>1.72</v>
      </c>
      <c r="F64" s="30" t="n">
        <v>4.41</v>
      </c>
      <c r="G64" s="30" t="n">
        <v>5.17</v>
      </c>
      <c r="H64" s="30" t="n">
        <v>10.47</v>
      </c>
      <c r="I64" s="30" t="n">
        <v>4.086502487114041</v>
      </c>
      <c r="J64" s="30" t="n">
        <v>61.14</v>
      </c>
      <c r="K64" s="24" t="n">
        <v>78.8</v>
      </c>
      <c r="L64" s="18" t="n">
        <v>0</v>
      </c>
      <c r="M64" s="19" t="n">
        <v>43.3</v>
      </c>
      <c r="N64" s="31" t="inlineStr">
        <is>
          <t>⭐ Strong</t>
        </is>
      </c>
      <c r="O64" s="31" t="inlineStr">
        <is>
          <t>🔴 Not Qualified</t>
        </is>
      </c>
      <c r="P64" s="31" t="inlineStr">
        <is>
          <t>⚠️ Watch</t>
        </is>
      </c>
      <c r="Q64" s="83" t="inlineStr">
        <is>
          <t>FULL</t>
        </is>
      </c>
    </row>
    <row r="65" ht="16" customHeight="1">
      <c r="A65" s="92" t="n">
        <v>61</v>
      </c>
      <c r="B65" s="93" t="inlineStr">
        <is>
          <t>Nippon India BSE Sensex Next 30 Index Fund - Regular Plan-Growth Option</t>
        </is>
      </c>
      <c r="C65" s="93" t="inlineStr">
        <is>
          <t>Nippon India Mutual Fund</t>
        </is>
      </c>
      <c r="D65" s="93" t="inlineStr">
        <is>
          <t>Index Fund</t>
        </is>
      </c>
      <c r="E65" s="94" t="n">
        <v>3.33</v>
      </c>
      <c r="F65" s="94" t="n">
        <v>3.22</v>
      </c>
      <c r="G65" s="94" t="n">
        <v>4.24</v>
      </c>
      <c r="H65" s="94" t="n">
        <v>12.52</v>
      </c>
      <c r="I65" s="94" t="n">
        <v>0</v>
      </c>
      <c r="J65" s="94" t="n">
        <v>0</v>
      </c>
      <c r="K65" s="24" t="n">
        <v>78.59999999999999</v>
      </c>
      <c r="L65" s="18" t="n">
        <v>0</v>
      </c>
      <c r="M65" s="19" t="n">
        <v>43.3</v>
      </c>
      <c r="N65" s="95" t="inlineStr">
        <is>
          <t>⭐ Strong</t>
        </is>
      </c>
      <c r="O65" s="95" t="inlineStr">
        <is>
          <t>⏳ New Fund</t>
        </is>
      </c>
      <c r="P65" s="95" t="inlineStr">
        <is>
          <t>📈 Momentum Only</t>
        </is>
      </c>
      <c r="Q65" s="96" t="inlineStr">
        <is>
          <t>MOMENTUM_ONLY</t>
        </is>
      </c>
    </row>
    <row r="66" ht="16" customHeight="1">
      <c r="A66" s="92" t="n">
        <v>62</v>
      </c>
      <c r="B66" s="93" t="inlineStr">
        <is>
          <t>DSP BSE SENSEX Next 30 Index Fund - Regular - Growth</t>
        </is>
      </c>
      <c r="C66" s="93" t="inlineStr">
        <is>
          <t>DSP Mutual Fund</t>
        </is>
      </c>
      <c r="D66" s="93" t="inlineStr">
        <is>
          <t>Index Fund</t>
        </is>
      </c>
      <c r="E66" s="94" t="n">
        <v>3.32</v>
      </c>
      <c r="F66" s="94" t="n">
        <v>3.25</v>
      </c>
      <c r="G66" s="94" t="n">
        <v>4.14</v>
      </c>
      <c r="H66" s="94" t="n">
        <v>12.18</v>
      </c>
      <c r="I66" s="94" t="n">
        <v>0</v>
      </c>
      <c r="J66" s="94" t="n">
        <v>0</v>
      </c>
      <c r="K66" s="24" t="n">
        <v>78.5</v>
      </c>
      <c r="L66" s="18" t="n">
        <v>0</v>
      </c>
      <c r="M66" s="19" t="n">
        <v>43.2</v>
      </c>
      <c r="N66" s="95" t="inlineStr">
        <is>
          <t>⭐ Strong</t>
        </is>
      </c>
      <c r="O66" s="95" t="inlineStr">
        <is>
          <t>⏳ New Fund</t>
        </is>
      </c>
      <c r="P66" s="95" t="inlineStr">
        <is>
          <t>📈 Momentum Only</t>
        </is>
      </c>
      <c r="Q66" s="96" t="inlineStr">
        <is>
          <t>MOMENTUM_ONLY</t>
        </is>
      </c>
    </row>
    <row r="67" ht="16" customHeight="1">
      <c r="A67" s="92" t="n">
        <v>63</v>
      </c>
      <c r="B67" s="93" t="inlineStr">
        <is>
          <t>Motilal Oswal Nifty 500 Momentum 50 Index Fund-Regular Plan-Growth</t>
        </is>
      </c>
      <c r="C67" s="93" t="inlineStr">
        <is>
          <t>Motilal Oswal Mutual Fund</t>
        </is>
      </c>
      <c r="D67" s="93" t="inlineStr">
        <is>
          <t>Index Fund</t>
        </is>
      </c>
      <c r="E67" s="94" t="n">
        <v>4.05</v>
      </c>
      <c r="F67" s="94" t="n">
        <v>5</v>
      </c>
      <c r="G67" s="94" t="n">
        <v>3.52</v>
      </c>
      <c r="H67" s="94" t="n">
        <v>5.85</v>
      </c>
      <c r="I67" s="94" t="n">
        <v>0</v>
      </c>
      <c r="J67" s="94" t="n">
        <v>0</v>
      </c>
      <c r="K67" s="24" t="n">
        <v>78.40000000000001</v>
      </c>
      <c r="L67" s="18" t="n">
        <v>0</v>
      </c>
      <c r="M67" s="19" t="n">
        <v>43.1</v>
      </c>
      <c r="N67" s="95" t="inlineStr">
        <is>
          <t>⭐ Strong</t>
        </is>
      </c>
      <c r="O67" s="95" t="inlineStr">
        <is>
          <t>⏳ New Fund</t>
        </is>
      </c>
      <c r="P67" s="95" t="inlineStr">
        <is>
          <t>📈 Momentum Only</t>
        </is>
      </c>
      <c r="Q67" s="96" t="inlineStr">
        <is>
          <t>MOMENTUM_ONLY</t>
        </is>
      </c>
    </row>
    <row r="68" ht="16" customHeight="1">
      <c r="A68" s="92" t="n">
        <v>64</v>
      </c>
      <c r="B68" s="93" t="inlineStr">
        <is>
          <t>Bandhan Nifty Midcap 150 Index Fund-Regular Plan-Growth</t>
        </is>
      </c>
      <c r="C68" s="93" t="inlineStr">
        <is>
          <t>Bandhan Mutual Fund</t>
        </is>
      </c>
      <c r="D68" s="93" t="inlineStr">
        <is>
          <t>Index Fund</t>
        </is>
      </c>
      <c r="E68" s="94" t="n">
        <v>1.67</v>
      </c>
      <c r="F68" s="94" t="n">
        <v>4.37</v>
      </c>
      <c r="G68" s="94" t="n">
        <v>5.04</v>
      </c>
      <c r="H68" s="94" t="n">
        <v>10.52</v>
      </c>
      <c r="I68" s="94" t="n">
        <v>0</v>
      </c>
      <c r="J68" s="94" t="n">
        <v>0</v>
      </c>
      <c r="K68" s="24" t="n">
        <v>78.40000000000001</v>
      </c>
      <c r="L68" s="18" t="n">
        <v>0</v>
      </c>
      <c r="M68" s="19" t="n">
        <v>43.1</v>
      </c>
      <c r="N68" s="95" t="inlineStr">
        <is>
          <t>⭐ Strong</t>
        </is>
      </c>
      <c r="O68" s="95" t="inlineStr">
        <is>
          <t>⏳ New Fund</t>
        </is>
      </c>
      <c r="P68" s="95" t="inlineStr">
        <is>
          <t>📈 Momentum Only</t>
        </is>
      </c>
      <c r="Q68" s="96" t="inlineStr">
        <is>
          <t>MOMENTUM_ONLY</t>
        </is>
      </c>
    </row>
    <row r="69" ht="16" customHeight="1">
      <c r="A69" s="92" t="n">
        <v>65</v>
      </c>
      <c r="B69" s="93" t="inlineStr">
        <is>
          <t>Tata Nifty Midcap 150 Index Fund - Regular Plan - Growth Option</t>
        </is>
      </c>
      <c r="C69" s="93" t="inlineStr">
        <is>
          <t>Tata Mutual Fund</t>
        </is>
      </c>
      <c r="D69" s="93" t="inlineStr">
        <is>
          <t>Index Fund</t>
        </is>
      </c>
      <c r="E69" s="94" t="n">
        <v>1.72</v>
      </c>
      <c r="F69" s="94" t="n">
        <v>4.39</v>
      </c>
      <c r="G69" s="94" t="n">
        <v>5.1</v>
      </c>
      <c r="H69" s="94" t="n">
        <v>10.32</v>
      </c>
      <c r="I69" s="94" t="n">
        <v>0</v>
      </c>
      <c r="J69" s="94" t="n">
        <v>0</v>
      </c>
      <c r="K69" s="24" t="n">
        <v>78.3</v>
      </c>
      <c r="L69" s="18" t="n">
        <v>0</v>
      </c>
      <c r="M69" s="19" t="n">
        <v>43.1</v>
      </c>
      <c r="N69" s="95" t="inlineStr">
        <is>
          <t>⭐ Strong</t>
        </is>
      </c>
      <c r="O69" s="95" t="inlineStr">
        <is>
          <t>⏳ New Fund</t>
        </is>
      </c>
      <c r="P69" s="95" t="inlineStr">
        <is>
          <t>📈 Momentum Only</t>
        </is>
      </c>
      <c r="Q69" s="96" t="inlineStr">
        <is>
          <t>MOMENTUM_ONLY</t>
        </is>
      </c>
    </row>
    <row r="70" ht="16" customHeight="1">
      <c r="A70" s="92" t="n">
        <v>66</v>
      </c>
      <c r="B70" s="93" t="inlineStr">
        <is>
          <t>Baroda BNP Paribas Nifty Midcap 150 Index Fund - Regular Plan - Growth Option</t>
        </is>
      </c>
      <c r="C70" s="93" t="inlineStr">
        <is>
          <t>Baroda BNP Paribas Mutual Fund</t>
        </is>
      </c>
      <c r="D70" s="93" t="inlineStr">
        <is>
          <t>Index Fund</t>
        </is>
      </c>
      <c r="E70" s="94" t="n">
        <v>1.73</v>
      </c>
      <c r="F70" s="94" t="n">
        <v>4.31</v>
      </c>
      <c r="G70" s="94" t="n">
        <v>5.02</v>
      </c>
      <c r="H70" s="94" t="n">
        <v>10.27</v>
      </c>
      <c r="I70" s="94" t="n">
        <v>0</v>
      </c>
      <c r="J70" s="94" t="n">
        <v>0</v>
      </c>
      <c r="K70" s="24" t="n">
        <v>78.09999999999999</v>
      </c>
      <c r="L70" s="18" t="n">
        <v>0</v>
      </c>
      <c r="M70" s="19" t="n">
        <v>43</v>
      </c>
      <c r="N70" s="95" t="inlineStr">
        <is>
          <t>⭐ Strong</t>
        </is>
      </c>
      <c r="O70" s="95" t="inlineStr">
        <is>
          <t>⏳ New Fund</t>
        </is>
      </c>
      <c r="P70" s="95" t="inlineStr">
        <is>
          <t>📈 Momentum Only</t>
        </is>
      </c>
      <c r="Q70" s="96" t="inlineStr">
        <is>
          <t>MOMENTUM_ONLY</t>
        </is>
      </c>
    </row>
    <row r="71" ht="16" customHeight="1">
      <c r="A71" s="92" t="n">
        <v>67</v>
      </c>
      <c r="B71" s="93" t="inlineStr">
        <is>
          <t>Motilal Oswal Nifty MidSmall Financial Services Index Fund-Regular Plan-Growth</t>
        </is>
      </c>
      <c r="C71" s="93" t="inlineStr">
        <is>
          <t>Motilal Oswal Mutual Fund</t>
        </is>
      </c>
      <c r="D71" s="93" t="inlineStr">
        <is>
          <t>Banking/Financial</t>
        </is>
      </c>
      <c r="E71" s="94" t="n">
        <v>1.15</v>
      </c>
      <c r="F71" s="94" t="n">
        <v>2.23</v>
      </c>
      <c r="G71" s="94" t="n">
        <v>6.6</v>
      </c>
      <c r="H71" s="94" t="n">
        <v>23.27</v>
      </c>
      <c r="I71" s="94" t="n">
        <v>0</v>
      </c>
      <c r="J71" s="94" t="n">
        <v>0</v>
      </c>
      <c r="K71" s="24" t="n">
        <v>77.40000000000001</v>
      </c>
      <c r="L71" s="18" t="n">
        <v>0</v>
      </c>
      <c r="M71" s="19" t="n">
        <v>42.6</v>
      </c>
      <c r="N71" s="95" t="inlineStr">
        <is>
          <t>⭐ Strong</t>
        </is>
      </c>
      <c r="O71" s="95" t="inlineStr">
        <is>
          <t>⏳ New Fund</t>
        </is>
      </c>
      <c r="P71" s="95" t="inlineStr">
        <is>
          <t>📈 Momentum Only</t>
        </is>
      </c>
      <c r="Q71" s="96" t="inlineStr">
        <is>
          <t>MOMENTUM_ONLY</t>
        </is>
      </c>
    </row>
    <row r="72" ht="16" customHeight="1">
      <c r="A72" s="92" t="n">
        <v>68</v>
      </c>
      <c r="B72" s="93" t="inlineStr">
        <is>
          <t>Tata Nifty200 Alpha 30 Index Fund - Regular -Growth</t>
        </is>
      </c>
      <c r="C72" s="93" t="inlineStr">
        <is>
          <t>Tata Mutual Fund</t>
        </is>
      </c>
      <c r="D72" s="93" t="inlineStr">
        <is>
          <t>Index Fund</t>
        </is>
      </c>
      <c r="E72" s="94" t="n">
        <v>3.33</v>
      </c>
      <c r="F72" s="94" t="n">
        <v>4.79</v>
      </c>
      <c r="G72" s="94" t="n">
        <v>3.29</v>
      </c>
      <c r="H72" s="94" t="n">
        <v>6.31</v>
      </c>
      <c r="I72" s="94" t="n">
        <v>0</v>
      </c>
      <c r="J72" s="94" t="n">
        <v>0</v>
      </c>
      <c r="K72" s="24" t="n">
        <v>77.09999999999999</v>
      </c>
      <c r="L72" s="18" t="n">
        <v>0</v>
      </c>
      <c r="M72" s="19" t="n">
        <v>42.4</v>
      </c>
      <c r="N72" s="95" t="inlineStr">
        <is>
          <t>⭐ Strong</t>
        </is>
      </c>
      <c r="O72" s="95" t="inlineStr">
        <is>
          <t>⏳ New Fund</t>
        </is>
      </c>
      <c r="P72" s="95" t="inlineStr">
        <is>
          <t>📈 Momentum Only</t>
        </is>
      </c>
      <c r="Q72" s="96" t="inlineStr">
        <is>
          <t>MOMENTUM_ONLY</t>
        </is>
      </c>
    </row>
    <row r="73" ht="16" customHeight="1">
      <c r="A73" s="92" t="n">
        <v>69</v>
      </c>
      <c r="B73" s="93" t="inlineStr">
        <is>
          <t>DSP Nifty Smallcap 250 Index Fund - Regular - Growth</t>
        </is>
      </c>
      <c r="C73" s="93" t="inlineStr">
        <is>
          <t>DSP Mutual Fund</t>
        </is>
      </c>
      <c r="D73" s="93" t="inlineStr">
        <is>
          <t>Index Fund</t>
        </is>
      </c>
      <c r="E73" s="94" t="n">
        <v>1.99</v>
      </c>
      <c r="F73" s="94" t="n">
        <v>10.11</v>
      </c>
      <c r="G73" s="94" t="n">
        <v>13.14</v>
      </c>
      <c r="H73" s="94" t="n">
        <v>0</v>
      </c>
      <c r="I73" s="94" t="n">
        <v>0</v>
      </c>
      <c r="J73" s="94" t="n">
        <v>0</v>
      </c>
      <c r="K73" s="24" t="n">
        <v>75</v>
      </c>
      <c r="L73" s="18" t="n">
        <v>0</v>
      </c>
      <c r="M73" s="19" t="n">
        <v>41.3</v>
      </c>
      <c r="N73" s="95" t="inlineStr">
        <is>
          <t>⭐ Strong</t>
        </is>
      </c>
      <c r="O73" s="95" t="inlineStr">
        <is>
          <t>⏳ New Fund</t>
        </is>
      </c>
      <c r="P73" s="95" t="inlineStr">
        <is>
          <t>📈 Momentum Only</t>
        </is>
      </c>
      <c r="Q73" s="96" t="inlineStr">
        <is>
          <t>MOMENTUM_ONLY</t>
        </is>
      </c>
    </row>
    <row r="74" ht="16" customHeight="1">
      <c r="A74" s="92" t="n">
        <v>70</v>
      </c>
      <c r="B74" s="93" t="inlineStr">
        <is>
          <t>Tata Nifty Next 50 Index Fund - Regular Plan Growth Option</t>
        </is>
      </c>
      <c r="C74" s="93" t="inlineStr">
        <is>
          <t>Tata Mutual Fund</t>
        </is>
      </c>
      <c r="D74" s="93" t="inlineStr">
        <is>
          <t>Index Fund</t>
        </is>
      </c>
      <c r="E74" s="94" t="n">
        <v>3.59</v>
      </c>
      <c r="F74" s="94" t="n">
        <v>7.83</v>
      </c>
      <c r="G74" s="94" t="n">
        <v>5.68</v>
      </c>
      <c r="H74" s="94" t="n">
        <v>0</v>
      </c>
      <c r="I74" s="94" t="n">
        <v>0</v>
      </c>
      <c r="J74" s="94" t="n">
        <v>0</v>
      </c>
      <c r="K74" s="17" t="n">
        <v>72.09999999999999</v>
      </c>
      <c r="L74" s="18" t="n">
        <v>0</v>
      </c>
      <c r="M74" s="19" t="n">
        <v>39.7</v>
      </c>
      <c r="N74" s="95" t="inlineStr">
        <is>
          <t>📈 Good</t>
        </is>
      </c>
      <c r="O74" s="95" t="inlineStr">
        <is>
          <t>⏳ New Fund</t>
        </is>
      </c>
      <c r="P74" s="95" t="inlineStr">
        <is>
          <t>📈 Momentum Only</t>
        </is>
      </c>
      <c r="Q74" s="96" t="inlineStr">
        <is>
          <t>MOMENTUM_ONLY</t>
        </is>
      </c>
    </row>
    <row r="75" ht="16" customHeight="1">
      <c r="A75" s="13" t="n">
        <v>71</v>
      </c>
      <c r="B75" s="14" t="inlineStr">
        <is>
          <t>Sundaram Nifty 100 Equal Weight Fund (Formerly Known as Principal Nifty 100 Equal Weight Fund)-Growth</t>
        </is>
      </c>
      <c r="C75" s="14" t="inlineStr">
        <is>
          <t>Sundaram Mutual Fund</t>
        </is>
      </c>
      <c r="D75" s="14" t="inlineStr">
        <is>
          <t>Index Fund</t>
        </is>
      </c>
      <c r="E75" s="15" t="n">
        <v>1.91</v>
      </c>
      <c r="F75" s="15" t="n">
        <v>5.47</v>
      </c>
      <c r="G75" s="15" t="n">
        <v>2.71</v>
      </c>
      <c r="H75" s="15" t="n">
        <v>9.119999999999999</v>
      </c>
      <c r="I75" s="15" t="n">
        <v>2.43534546239399</v>
      </c>
      <c r="J75" s="15" t="n">
        <v>55.41</v>
      </c>
      <c r="K75" s="17" t="n">
        <v>72.09999999999999</v>
      </c>
      <c r="L75" s="18" t="n">
        <v>0</v>
      </c>
      <c r="M75" s="19" t="n">
        <v>39.6</v>
      </c>
      <c r="N75" s="20" t="inlineStr">
        <is>
          <t>📈 Good</t>
        </is>
      </c>
      <c r="O75" s="20" t="inlineStr">
        <is>
          <t>🔴 Not Qualified</t>
        </is>
      </c>
      <c r="P75" s="20" t="inlineStr">
        <is>
          <t>🔴 Avoid</t>
        </is>
      </c>
      <c r="Q75" s="83" t="inlineStr">
        <is>
          <t>FULL</t>
        </is>
      </c>
    </row>
    <row r="76" ht="16" customHeight="1">
      <c r="A76" s="92" t="n">
        <v>72</v>
      </c>
      <c r="B76" s="93" t="inlineStr">
        <is>
          <t>Kotak Nifty 100 Equal Weight Index Fund - Regular Plan - Growth</t>
        </is>
      </c>
      <c r="C76" s="93" t="inlineStr">
        <is>
          <t>Kotak Mahindra Mutual Fund</t>
        </is>
      </c>
      <c r="D76" s="93" t="inlineStr">
        <is>
          <t>Index Fund</t>
        </is>
      </c>
      <c r="E76" s="94" t="n">
        <v>1.95</v>
      </c>
      <c r="F76" s="94" t="n">
        <v>5.45</v>
      </c>
      <c r="G76" s="94" t="n">
        <v>2.67</v>
      </c>
      <c r="H76" s="94" t="n">
        <v>9.06</v>
      </c>
      <c r="I76" s="94" t="n">
        <v>0</v>
      </c>
      <c r="J76" s="94" t="n">
        <v>0</v>
      </c>
      <c r="K76" s="17" t="n">
        <v>72</v>
      </c>
      <c r="L76" s="18" t="n">
        <v>0</v>
      </c>
      <c r="M76" s="19" t="n">
        <v>39.6</v>
      </c>
      <c r="N76" s="95" t="inlineStr">
        <is>
          <t>📈 Good</t>
        </is>
      </c>
      <c r="O76" s="95" t="inlineStr">
        <is>
          <t>⏳ New Fund</t>
        </is>
      </c>
      <c r="P76" s="95" t="inlineStr">
        <is>
          <t>📈 Momentum Only</t>
        </is>
      </c>
      <c r="Q76" s="96" t="inlineStr">
        <is>
          <t>MOMENTUM_ONLY</t>
        </is>
      </c>
    </row>
    <row r="77" ht="16" customHeight="1">
      <c r="A77" s="92" t="n">
        <v>73</v>
      </c>
      <c r="B77" s="93" t="inlineStr">
        <is>
          <t>Nippon India Nifty India Manufacturing Index-Regular Plan-Growth Option</t>
        </is>
      </c>
      <c r="C77" s="93" t="inlineStr">
        <is>
          <t>Nippon India Mutual Fund</t>
        </is>
      </c>
      <c r="D77" s="93" t="inlineStr">
        <is>
          <t>Index Fund</t>
        </is>
      </c>
      <c r="E77" s="94" t="n">
        <v>4.01</v>
      </c>
      <c r="F77" s="94" t="n">
        <v>6.32</v>
      </c>
      <c r="G77" s="94" t="n">
        <v>5.35</v>
      </c>
      <c r="H77" s="94" t="n">
        <v>0</v>
      </c>
      <c r="I77" s="94" t="n">
        <v>0</v>
      </c>
      <c r="J77" s="94" t="n">
        <v>0</v>
      </c>
      <c r="K77" s="17" t="n">
        <v>71.5</v>
      </c>
      <c r="L77" s="18" t="n">
        <v>0</v>
      </c>
      <c r="M77" s="19" t="n">
        <v>39.3</v>
      </c>
      <c r="N77" s="95" t="inlineStr">
        <is>
          <t>📈 Good</t>
        </is>
      </c>
      <c r="O77" s="95" t="inlineStr">
        <is>
          <t>⏳ New Fund</t>
        </is>
      </c>
      <c r="P77" s="95" t="inlineStr">
        <is>
          <t>📈 Momentum Only</t>
        </is>
      </c>
      <c r="Q77" s="96" t="inlineStr">
        <is>
          <t>MOMENTUM_ONLY</t>
        </is>
      </c>
    </row>
    <row r="78" ht="16" customHeight="1">
      <c r="A78" s="28" t="n">
        <v>74</v>
      </c>
      <c r="B78" s="29" t="inlineStr">
        <is>
          <t>HDFC Nifty 100 Equal Weight Index Fund - Growth Option</t>
        </is>
      </c>
      <c r="C78" s="29" t="inlineStr">
        <is>
          <t>HDFC Mutual Fund</t>
        </is>
      </c>
      <c r="D78" s="29" t="inlineStr">
        <is>
          <t>Index Fund</t>
        </is>
      </c>
      <c r="E78" s="30" t="n">
        <v>1.94</v>
      </c>
      <c r="F78" s="30" t="n">
        <v>5.35</v>
      </c>
      <c r="G78" s="30" t="n">
        <v>2.45</v>
      </c>
      <c r="H78" s="30" t="n">
        <v>8.960000000000001</v>
      </c>
      <c r="I78" s="30" t="n">
        <v>2.337676346495177</v>
      </c>
      <c r="J78" s="30" t="n">
        <v>56.26</v>
      </c>
      <c r="K78" s="17" t="n">
        <v>69.8</v>
      </c>
      <c r="L78" s="18" t="n">
        <v>0</v>
      </c>
      <c r="M78" s="19" t="n">
        <v>38.4</v>
      </c>
      <c r="N78" s="31" t="inlineStr">
        <is>
          <t>📈 Good</t>
        </is>
      </c>
      <c r="O78" s="31" t="inlineStr">
        <is>
          <t>🔴 Not Qualified</t>
        </is>
      </c>
      <c r="P78" s="31" t="inlineStr">
        <is>
          <t>🔴 Avoid</t>
        </is>
      </c>
      <c r="Q78" s="83" t="inlineStr">
        <is>
          <t>FULL</t>
        </is>
      </c>
    </row>
    <row r="79" ht="16" customHeight="1">
      <c r="A79" s="13" t="n">
        <v>75</v>
      </c>
      <c r="B79" s="14" t="inlineStr">
        <is>
          <t>UTI Nifty Midcap 150 Quality 50 Index Fund - Regular Plan - Growth Option</t>
        </is>
      </c>
      <c r="C79" s="14" t="inlineStr">
        <is>
          <t>UTI Mutual Fund</t>
        </is>
      </c>
      <c r="D79" s="14" t="inlineStr">
        <is>
          <t>Index Fund</t>
        </is>
      </c>
      <c r="E79" s="15" t="n">
        <v>2.99</v>
      </c>
      <c r="F79" s="15" t="n">
        <v>5.03</v>
      </c>
      <c r="G79" s="15" t="n">
        <v>4.58</v>
      </c>
      <c r="H79" s="15" t="n">
        <v>3.48</v>
      </c>
      <c r="I79" s="16" t="n">
        <v>-0.2553259567208754</v>
      </c>
      <c r="J79" s="15" t="n">
        <v>35.9</v>
      </c>
      <c r="K79" s="17" t="n">
        <v>69.59999999999999</v>
      </c>
      <c r="L79" s="18" t="n">
        <v>0</v>
      </c>
      <c r="M79" s="19" t="n">
        <v>38.3</v>
      </c>
      <c r="N79" s="20" t="inlineStr">
        <is>
          <t>📈 Good</t>
        </is>
      </c>
      <c r="O79" s="20" t="inlineStr">
        <is>
          <t>🔴 Not Qualified</t>
        </is>
      </c>
      <c r="P79" s="20" t="inlineStr">
        <is>
          <t>🔴 Avoid</t>
        </is>
      </c>
      <c r="Q79" s="83" t="inlineStr">
        <is>
          <t>FULL</t>
        </is>
      </c>
    </row>
    <row r="80" ht="16" customHeight="1">
      <c r="A80" s="92" t="n">
        <v>76</v>
      </c>
      <c r="B80" s="93" t="inlineStr">
        <is>
          <t>Navi Nifty Midsmall 400 Index Fund - Regular - Growth</t>
        </is>
      </c>
      <c r="C80" s="93" t="inlineStr">
        <is>
          <t>Navi Mutual Fund</t>
        </is>
      </c>
      <c r="D80" s="93" t="inlineStr">
        <is>
          <t>Index Fund</t>
        </is>
      </c>
      <c r="E80" s="94" t="n">
        <v>1.77</v>
      </c>
      <c r="F80" s="94" t="n">
        <v>6.08</v>
      </c>
      <c r="G80" s="94" t="n">
        <v>7.32</v>
      </c>
      <c r="H80" s="94" t="n">
        <v>0</v>
      </c>
      <c r="I80" s="94" t="n">
        <v>0</v>
      </c>
      <c r="J80" s="94" t="n">
        <v>0</v>
      </c>
      <c r="K80" s="17" t="n">
        <v>69.3</v>
      </c>
      <c r="L80" s="18" t="n">
        <v>0</v>
      </c>
      <c r="M80" s="19" t="n">
        <v>38.1</v>
      </c>
      <c r="N80" s="95" t="inlineStr">
        <is>
          <t>📈 Good</t>
        </is>
      </c>
      <c r="O80" s="95" t="inlineStr">
        <is>
          <t>⏳ New Fund</t>
        </is>
      </c>
      <c r="P80" s="95" t="inlineStr">
        <is>
          <t>📈 Momentum Only</t>
        </is>
      </c>
      <c r="Q80" s="96" t="inlineStr">
        <is>
          <t>MOMENTUM_ONLY</t>
        </is>
      </c>
    </row>
    <row r="81" ht="16" customHeight="1">
      <c r="A81" s="13" t="n">
        <v>77</v>
      </c>
      <c r="B81" s="14" t="inlineStr">
        <is>
          <t>DSP Nifty Midcap 150 Quality 50 Index Fund - Regular - Growth</t>
        </is>
      </c>
      <c r="C81" s="14" t="inlineStr">
        <is>
          <t>DSP Mutual Fund</t>
        </is>
      </c>
      <c r="D81" s="14" t="inlineStr">
        <is>
          <t>Index Fund</t>
        </is>
      </c>
      <c r="E81" s="15" t="n">
        <v>2.95</v>
      </c>
      <c r="F81" s="15" t="n">
        <v>4.99</v>
      </c>
      <c r="G81" s="15" t="n">
        <v>4.54</v>
      </c>
      <c r="H81" s="15" t="n">
        <v>3.48</v>
      </c>
      <c r="I81" s="16" t="n">
        <v>-0.2753791684320328</v>
      </c>
      <c r="J81" s="15" t="n">
        <v>35.75</v>
      </c>
      <c r="K81" s="17" t="n">
        <v>69.09999999999999</v>
      </c>
      <c r="L81" s="18" t="n">
        <v>0</v>
      </c>
      <c r="M81" s="19" t="n">
        <v>38</v>
      </c>
      <c r="N81" s="20" t="inlineStr">
        <is>
          <t>📈 Good</t>
        </is>
      </c>
      <c r="O81" s="20" t="inlineStr">
        <is>
          <t>🔴 Not Qualified</t>
        </is>
      </c>
      <c r="P81" s="20" t="inlineStr">
        <is>
          <t>🔴 Avoid</t>
        </is>
      </c>
      <c r="Q81" s="83" t="inlineStr">
        <is>
          <t>FULL</t>
        </is>
      </c>
    </row>
    <row r="82" ht="16" customHeight="1">
      <c r="A82" s="92" t="n">
        <v>78</v>
      </c>
      <c r="B82" s="93" t="inlineStr">
        <is>
          <t>Kotak Nifty500 Momentum 50 Index Fund - Regular Plan - Growth</t>
        </is>
      </c>
      <c r="C82" s="93" t="inlineStr">
        <is>
          <t>Kotak Mahindra Mutual Fund</t>
        </is>
      </c>
      <c r="D82" s="93" t="inlineStr">
        <is>
          <t>Index Fund</t>
        </is>
      </c>
      <c r="E82" s="94" t="n">
        <v>4.08</v>
      </c>
      <c r="F82" s="94" t="n">
        <v>5.16</v>
      </c>
      <c r="G82" s="94" t="n">
        <v>3.78</v>
      </c>
      <c r="H82" s="94" t="n">
        <v>0</v>
      </c>
      <c r="I82" s="94" t="n">
        <v>0</v>
      </c>
      <c r="J82" s="94" t="n">
        <v>0</v>
      </c>
      <c r="K82" s="17" t="n">
        <v>68.7</v>
      </c>
      <c r="L82" s="18" t="n">
        <v>0</v>
      </c>
      <c r="M82" s="19" t="n">
        <v>37.8</v>
      </c>
      <c r="N82" s="95" t="inlineStr">
        <is>
          <t>📈 Good</t>
        </is>
      </c>
      <c r="O82" s="95" t="inlineStr">
        <is>
          <t>⏳ New Fund</t>
        </is>
      </c>
      <c r="P82" s="95" t="inlineStr">
        <is>
          <t>📈 Momentum Only</t>
        </is>
      </c>
      <c r="Q82" s="96" t="inlineStr">
        <is>
          <t>MOMENTUM_ONLY</t>
        </is>
      </c>
    </row>
    <row r="83" ht="16" customHeight="1">
      <c r="A83" s="13" t="n">
        <v>79</v>
      </c>
      <c r="B83" s="14" t="inlineStr">
        <is>
          <t>Motilal Oswal BSE Financials ex Bank 30 Index Fund Regular Growth</t>
        </is>
      </c>
      <c r="C83" s="14" t="inlineStr">
        <is>
          <t>Motilal Oswal Mutual Fund</t>
        </is>
      </c>
      <c r="D83" s="14" t="inlineStr">
        <is>
          <t>Banking/Financial</t>
        </is>
      </c>
      <c r="E83" s="15" t="n">
        <v>3.01</v>
      </c>
      <c r="F83" s="15" t="n">
        <v>6.38</v>
      </c>
      <c r="G83" s="16" t="n">
        <v>-0.9399999999999999</v>
      </c>
      <c r="H83" s="15" t="n">
        <v>7.53</v>
      </c>
      <c r="I83" s="15" t="n">
        <v>8.494239478416542</v>
      </c>
      <c r="J83" s="15" t="n">
        <v>58.08</v>
      </c>
      <c r="K83" s="17" t="n">
        <v>68.09999999999999</v>
      </c>
      <c r="L83" s="18" t="n">
        <v>0</v>
      </c>
      <c r="M83" s="19" t="n">
        <v>37.4</v>
      </c>
      <c r="N83" s="20" t="inlineStr">
        <is>
          <t>📈 Good</t>
        </is>
      </c>
      <c r="O83" s="20" t="inlineStr">
        <is>
          <t>🔴 Not Qualified</t>
        </is>
      </c>
      <c r="P83" s="20" t="inlineStr">
        <is>
          <t>🔴 Avoid</t>
        </is>
      </c>
      <c r="Q83" s="83" t="inlineStr">
        <is>
          <t>FULL</t>
        </is>
      </c>
    </row>
    <row r="84" ht="16" customHeight="1">
      <c r="A84" s="92" t="n">
        <v>80</v>
      </c>
      <c r="B84" s="93" t="inlineStr">
        <is>
          <t>SBI BSE PSU BANK INDEX FUND- Regular Plan- Growth</t>
        </is>
      </c>
      <c r="C84" s="93" t="inlineStr">
        <is>
          <t>SBI Mutual Fund</t>
        </is>
      </c>
      <c r="D84" s="93" t="inlineStr">
        <is>
          <t>Banking/Financial</t>
        </is>
      </c>
      <c r="E84" s="94" t="n">
        <v>3.17</v>
      </c>
      <c r="F84" s="94" t="n">
        <v>8.33</v>
      </c>
      <c r="G84" s="97" t="n">
        <v>-9.82</v>
      </c>
      <c r="H84" s="94" t="n">
        <v>21.79</v>
      </c>
      <c r="I84" s="94" t="n">
        <v>0</v>
      </c>
      <c r="J84" s="94" t="n">
        <v>0</v>
      </c>
      <c r="K84" s="17" t="n">
        <v>66.8</v>
      </c>
      <c r="L84" s="18" t="n">
        <v>0</v>
      </c>
      <c r="M84" s="19" t="n">
        <v>36.8</v>
      </c>
      <c r="N84" s="95" t="inlineStr">
        <is>
          <t>📈 Good</t>
        </is>
      </c>
      <c r="O84" s="95" t="inlineStr">
        <is>
          <t>⏳ New Fund</t>
        </is>
      </c>
      <c r="P84" s="95" t="inlineStr">
        <is>
          <t>📈 Momentum Only</t>
        </is>
      </c>
      <c r="Q84" s="96" t="inlineStr">
        <is>
          <t>MOMENTUM_ONLY</t>
        </is>
      </c>
    </row>
    <row r="85" ht="16" customHeight="1">
      <c r="A85" s="92" t="n">
        <v>81</v>
      </c>
      <c r="B85" s="93" t="inlineStr">
        <is>
          <t>ICICI Prudential CRISIL-IBX Financial Services 3-6 Months Debt Index Fund - Growth</t>
        </is>
      </c>
      <c r="C85" s="93" t="inlineStr">
        <is>
          <t>ICICI Prudential Mutual Fund</t>
        </is>
      </c>
      <c r="D85" s="93" t="inlineStr">
        <is>
          <t>Banking/Financial</t>
        </is>
      </c>
      <c r="E85" s="94" t="n">
        <v>0.6899999999999999</v>
      </c>
      <c r="F85" s="94" t="n">
        <v>2</v>
      </c>
      <c r="G85" s="94" t="n">
        <v>3.73</v>
      </c>
      <c r="H85" s="94" t="n">
        <v>6.92</v>
      </c>
      <c r="I85" s="94" t="n">
        <v>0</v>
      </c>
      <c r="J85" s="94" t="n">
        <v>0</v>
      </c>
      <c r="K85" s="17" t="n">
        <v>64.3</v>
      </c>
      <c r="L85" s="18" t="n">
        <v>0</v>
      </c>
      <c r="M85" s="19" t="n">
        <v>35.4</v>
      </c>
      <c r="N85" s="95" t="inlineStr">
        <is>
          <t>📈 Good</t>
        </is>
      </c>
      <c r="O85" s="95" t="inlineStr">
        <is>
          <t>⏳ New Fund</t>
        </is>
      </c>
      <c r="P85" s="95" t="inlineStr">
        <is>
          <t>📈 Momentum Only</t>
        </is>
      </c>
      <c r="Q85" s="96" t="inlineStr">
        <is>
          <t>MOMENTUM_ONLY</t>
        </is>
      </c>
    </row>
    <row r="86" ht="16" customHeight="1">
      <c r="A86" s="92" t="n">
        <v>82</v>
      </c>
      <c r="B86" s="93" t="inlineStr">
        <is>
          <t>HDFC CRISIL-IBX Financial Services 3-6 Months Debt Index Fund - Regular Growth Plan</t>
        </is>
      </c>
      <c r="C86" s="93" t="inlineStr">
        <is>
          <t>HDFC Mutual Fund</t>
        </is>
      </c>
      <c r="D86" s="93" t="inlineStr">
        <is>
          <t>Banking/Financial</t>
        </is>
      </c>
      <c r="E86" s="94" t="n">
        <v>0.66</v>
      </c>
      <c r="F86" s="94" t="n">
        <v>2.04</v>
      </c>
      <c r="G86" s="94" t="n">
        <v>3.74</v>
      </c>
      <c r="H86" s="94" t="n">
        <v>7</v>
      </c>
      <c r="I86" s="94" t="n">
        <v>0</v>
      </c>
      <c r="J86" s="94" t="n">
        <v>0</v>
      </c>
      <c r="K86" s="17" t="n">
        <v>63.6</v>
      </c>
      <c r="L86" s="18" t="n">
        <v>0</v>
      </c>
      <c r="M86" s="19" t="n">
        <v>35</v>
      </c>
      <c r="N86" s="95" t="inlineStr">
        <is>
          <t>📈 Good</t>
        </is>
      </c>
      <c r="O86" s="95" t="inlineStr">
        <is>
          <t>⏳ New Fund</t>
        </is>
      </c>
      <c r="P86" s="95" t="inlineStr">
        <is>
          <t>📈 Momentum Only</t>
        </is>
      </c>
      <c r="Q86" s="96" t="inlineStr">
        <is>
          <t>MOMENTUM_ONLY</t>
        </is>
      </c>
    </row>
    <row r="87" ht="16" customHeight="1">
      <c r="A87" s="92" t="n">
        <v>83</v>
      </c>
      <c r="B87" s="93" t="inlineStr">
        <is>
          <t>Edelweiss CRISIL IBX AAA Bond NBFC HFC Jun 2027 Index Fund - Regular Plan - Growth Option</t>
        </is>
      </c>
      <c r="C87" s="93" t="inlineStr">
        <is>
          <t>Edelweiss Mutual Fund</t>
        </is>
      </c>
      <c r="D87" s="93" t="inlineStr">
        <is>
          <t>Index Fund</t>
        </is>
      </c>
      <c r="E87" s="94" t="n">
        <v>0.71</v>
      </c>
      <c r="F87" s="94" t="n">
        <v>2.2</v>
      </c>
      <c r="G87" s="94" t="n">
        <v>3.27</v>
      </c>
      <c r="H87" s="94" t="n">
        <v>6.51</v>
      </c>
      <c r="I87" s="94" t="n">
        <v>0</v>
      </c>
      <c r="J87" s="94" t="n">
        <v>0</v>
      </c>
      <c r="K87" s="17" t="n">
        <v>63.5</v>
      </c>
      <c r="L87" s="18" t="n">
        <v>0</v>
      </c>
      <c r="M87" s="19" t="n">
        <v>34.9</v>
      </c>
      <c r="N87" s="95" t="inlineStr">
        <is>
          <t>📈 Good</t>
        </is>
      </c>
      <c r="O87" s="95" t="inlineStr">
        <is>
          <t>⏳ New Fund</t>
        </is>
      </c>
      <c r="P87" s="95" t="inlineStr">
        <is>
          <t>📈 Momentum Only</t>
        </is>
      </c>
      <c r="Q87" s="96" t="inlineStr">
        <is>
          <t>MOMENTUM_ONLY</t>
        </is>
      </c>
    </row>
    <row r="88" ht="16" customHeight="1">
      <c r="A88" s="92" t="n">
        <v>84</v>
      </c>
      <c r="B88" s="93" t="inlineStr">
        <is>
          <t>ANGEL ONE NIFTY TOTAL MARKET MOMENTUM QUALITY 50 INDEX FUND - REGULAR GROWTH</t>
        </is>
      </c>
      <c r="C88" s="93" t="inlineStr">
        <is>
          <t>Angel One Mutual Fund</t>
        </is>
      </c>
      <c r="D88" s="93" t="inlineStr">
        <is>
          <t>Index Fund</t>
        </is>
      </c>
      <c r="E88" s="94" t="n">
        <v>4.46</v>
      </c>
      <c r="F88" s="94" t="n">
        <v>2.58</v>
      </c>
      <c r="G88" s="94" t="n">
        <v>5.71</v>
      </c>
      <c r="H88" s="94" t="n">
        <v>0</v>
      </c>
      <c r="I88" s="94" t="n">
        <v>0</v>
      </c>
      <c r="J88" s="94" t="n">
        <v>0</v>
      </c>
      <c r="K88" s="17" t="n">
        <v>63</v>
      </c>
      <c r="L88" s="18" t="n">
        <v>0</v>
      </c>
      <c r="M88" s="19" t="n">
        <v>34.6</v>
      </c>
      <c r="N88" s="95" t="inlineStr">
        <is>
          <t>📈 Good</t>
        </is>
      </c>
      <c r="O88" s="95" t="inlineStr">
        <is>
          <t>⏳ New Fund</t>
        </is>
      </c>
      <c r="P88" s="95" t="inlineStr">
        <is>
          <t>📈 Momentum Only</t>
        </is>
      </c>
      <c r="Q88" s="96" t="inlineStr">
        <is>
          <t>MOMENTUM_ONLY</t>
        </is>
      </c>
    </row>
    <row r="89" ht="16" customHeight="1">
      <c r="A89" s="92" t="n">
        <v>85</v>
      </c>
      <c r="B89" s="93" t="inlineStr">
        <is>
          <t>Aditya Birla Sun Life Crisil-IBX Financial Services 3 to 6 Months Debt Index Fund-Regular Growth</t>
        </is>
      </c>
      <c r="C89" s="93" t="inlineStr">
        <is>
          <t>Aditya Birla Sun Life Mutual Fund</t>
        </is>
      </c>
      <c r="D89" s="93" t="inlineStr">
        <is>
          <t>Banking/Financial</t>
        </is>
      </c>
      <c r="E89" s="94" t="n">
        <v>0.66</v>
      </c>
      <c r="F89" s="94" t="n">
        <v>2</v>
      </c>
      <c r="G89" s="94" t="n">
        <v>3.67</v>
      </c>
      <c r="H89" s="94" t="n">
        <v>6.75</v>
      </c>
      <c r="I89" s="94" t="n">
        <v>0</v>
      </c>
      <c r="J89" s="94" t="n">
        <v>0</v>
      </c>
      <c r="K89" s="17" t="n">
        <v>62.8</v>
      </c>
      <c r="L89" s="18" t="n">
        <v>0</v>
      </c>
      <c r="M89" s="19" t="n">
        <v>34.6</v>
      </c>
      <c r="N89" s="95" t="inlineStr">
        <is>
          <t>📈 Good</t>
        </is>
      </c>
      <c r="O89" s="95" t="inlineStr">
        <is>
          <t>⏳ New Fund</t>
        </is>
      </c>
      <c r="P89" s="95" t="inlineStr">
        <is>
          <t>📈 Momentum Only</t>
        </is>
      </c>
      <c r="Q89" s="96" t="inlineStr">
        <is>
          <t>MOMENTUM_ONLY</t>
        </is>
      </c>
    </row>
    <row r="90" ht="16" customHeight="1">
      <c r="A90" s="92" t="n">
        <v>86</v>
      </c>
      <c r="B90" s="93" t="inlineStr">
        <is>
          <t>DSP Nifty Midcap 150 Index Fund - Regular - Growth</t>
        </is>
      </c>
      <c r="C90" s="93" t="inlineStr">
        <is>
          <t>DSP Mutual Fund</t>
        </is>
      </c>
      <c r="D90" s="93" t="inlineStr">
        <is>
          <t>Index Fund</t>
        </is>
      </c>
      <c r="E90" s="94" t="n">
        <v>1.73</v>
      </c>
      <c r="F90" s="94" t="n">
        <v>4.42</v>
      </c>
      <c r="G90" s="94" t="n">
        <v>5.11</v>
      </c>
      <c r="H90" s="94" t="n">
        <v>0</v>
      </c>
      <c r="I90" s="94" t="n">
        <v>0</v>
      </c>
      <c r="J90" s="94" t="n">
        <v>0</v>
      </c>
      <c r="K90" s="17" t="n">
        <v>62.7</v>
      </c>
      <c r="L90" s="18" t="n">
        <v>0</v>
      </c>
      <c r="M90" s="19" t="n">
        <v>34.5</v>
      </c>
      <c r="N90" s="95" t="inlineStr">
        <is>
          <t>📈 Good</t>
        </is>
      </c>
      <c r="O90" s="95" t="inlineStr">
        <is>
          <t>⏳ New Fund</t>
        </is>
      </c>
      <c r="P90" s="95" t="inlineStr">
        <is>
          <t>📈 Momentum Only</t>
        </is>
      </c>
      <c r="Q90" s="96" t="inlineStr">
        <is>
          <t>MOMENTUM_ONLY</t>
        </is>
      </c>
    </row>
    <row r="91" ht="16" customHeight="1">
      <c r="A91" s="92" t="n">
        <v>87</v>
      </c>
      <c r="B91" s="93" t="inlineStr">
        <is>
          <t>HDFC NIFTY500 Multicap 50:25:25 index Fund - Regular Plan</t>
        </is>
      </c>
      <c r="C91" s="93" t="inlineStr">
        <is>
          <t>HDFC Mutual Fund</t>
        </is>
      </c>
      <c r="D91" s="93" t="inlineStr">
        <is>
          <t>Index Fund</t>
        </is>
      </c>
      <c r="E91" s="94" t="n">
        <v>1.02</v>
      </c>
      <c r="F91" s="94" t="n">
        <v>5.51</v>
      </c>
      <c r="G91" s="94" t="n">
        <v>2.52</v>
      </c>
      <c r="H91" s="94" t="n">
        <v>5.55</v>
      </c>
      <c r="I91" s="94" t="n">
        <v>0</v>
      </c>
      <c r="J91" s="94" t="n">
        <v>0</v>
      </c>
      <c r="K91" s="17" t="n">
        <v>62.5</v>
      </c>
      <c r="L91" s="18" t="n">
        <v>0</v>
      </c>
      <c r="M91" s="19" t="n">
        <v>34.4</v>
      </c>
      <c r="N91" s="95" t="inlineStr">
        <is>
          <t>📈 Good</t>
        </is>
      </c>
      <c r="O91" s="95" t="inlineStr">
        <is>
          <t>⏳ New Fund</t>
        </is>
      </c>
      <c r="P91" s="95" t="inlineStr">
        <is>
          <t>📈 Momentum Only</t>
        </is>
      </c>
      <c r="Q91" s="96" t="inlineStr">
        <is>
          <t>MOMENTUM_ONLY</t>
        </is>
      </c>
    </row>
    <row r="92" ht="16" customHeight="1">
      <c r="A92" s="92" t="n">
        <v>88</v>
      </c>
      <c r="B92" s="93" t="inlineStr">
        <is>
          <t>Mirae Asset CRISIL-IBX Financial Services 9-12 Months Debt Index Fund - Regular Plan - Growth</t>
        </is>
      </c>
      <c r="C92" s="93" t="inlineStr">
        <is>
          <t>Mirae Asset Mutual Fund</t>
        </is>
      </c>
      <c r="D92" s="93" t="inlineStr">
        <is>
          <t>Banking/Financial</t>
        </is>
      </c>
      <c r="E92" s="94" t="n">
        <v>0.6899999999999999</v>
      </c>
      <c r="F92" s="94" t="n">
        <v>2.12</v>
      </c>
      <c r="G92" s="94" t="n">
        <v>3.32</v>
      </c>
      <c r="H92" s="94" t="n">
        <v>6.18</v>
      </c>
      <c r="I92" s="94" t="n">
        <v>0</v>
      </c>
      <c r="J92" s="94" t="n">
        <v>0</v>
      </c>
      <c r="K92" s="17" t="n">
        <v>62.4</v>
      </c>
      <c r="L92" s="18" t="n">
        <v>0</v>
      </c>
      <c r="M92" s="19" t="n">
        <v>34.3</v>
      </c>
      <c r="N92" s="95" t="inlineStr">
        <is>
          <t>📈 Good</t>
        </is>
      </c>
      <c r="O92" s="95" t="inlineStr">
        <is>
          <t>⏳ New Fund</t>
        </is>
      </c>
      <c r="P92" s="95" t="inlineStr">
        <is>
          <t>📈 Momentum Only</t>
        </is>
      </c>
      <c r="Q92" s="96" t="inlineStr">
        <is>
          <t>MOMENTUM_ONLY</t>
        </is>
      </c>
    </row>
    <row r="93" ht="16" customHeight="1">
      <c r="A93" s="13" t="n">
        <v>89</v>
      </c>
      <c r="B93" s="14" t="inlineStr">
        <is>
          <t>HDFC Nifty G-Sec Sep 2032 Index Fund - Growth Option</t>
        </is>
      </c>
      <c r="C93" s="14" t="inlineStr">
        <is>
          <t>HDFC Mutual Fund</t>
        </is>
      </c>
      <c r="D93" s="14" t="inlineStr">
        <is>
          <t>G-SEC</t>
        </is>
      </c>
      <c r="E93" s="15" t="n">
        <v>0.62</v>
      </c>
      <c r="F93" s="15" t="n">
        <v>3.92</v>
      </c>
      <c r="G93" s="15" t="n">
        <v>3.25</v>
      </c>
      <c r="H93" s="15" t="n">
        <v>5.66</v>
      </c>
      <c r="I93" s="15" t="n">
        <v>7.396461766670881</v>
      </c>
      <c r="J93" s="15" t="n">
        <v>25.72</v>
      </c>
      <c r="K93" s="17" t="n">
        <v>62.2</v>
      </c>
      <c r="L93" s="18" t="n">
        <v>0</v>
      </c>
      <c r="M93" s="19" t="n">
        <v>34.2</v>
      </c>
      <c r="N93" s="20" t="inlineStr">
        <is>
          <t>📈 Good</t>
        </is>
      </c>
      <c r="O93" s="20" t="inlineStr">
        <is>
          <t>🔴 Not Qualified</t>
        </is>
      </c>
      <c r="P93" s="20" t="inlineStr">
        <is>
          <t>🔴 Avoid</t>
        </is>
      </c>
      <c r="Q93" s="83" t="inlineStr">
        <is>
          <t>FULL</t>
        </is>
      </c>
    </row>
    <row r="94" ht="16" customHeight="1">
      <c r="A94" s="92" t="n">
        <v>90</v>
      </c>
      <c r="B94" s="93" t="inlineStr">
        <is>
          <t>Aditya Birla Sun Life Crisil-IBX Financial Services 9-12 Months Debt Index Fund-Regular Growth</t>
        </is>
      </c>
      <c r="C94" s="93" t="inlineStr">
        <is>
          <t>Aditya Birla Sun Life Mutual Fund</t>
        </is>
      </c>
      <c r="D94" s="93" t="inlineStr">
        <is>
          <t>Banking/Financial</t>
        </is>
      </c>
      <c r="E94" s="94" t="n">
        <v>0.7</v>
      </c>
      <c r="F94" s="94" t="n">
        <v>2.13</v>
      </c>
      <c r="G94" s="94" t="n">
        <v>3.27</v>
      </c>
      <c r="H94" s="94" t="n">
        <v>6.2</v>
      </c>
      <c r="I94" s="94" t="n">
        <v>0</v>
      </c>
      <c r="J94" s="94" t="n">
        <v>0</v>
      </c>
      <c r="K94" s="17" t="n">
        <v>62.2</v>
      </c>
      <c r="L94" s="18" t="n">
        <v>0</v>
      </c>
      <c r="M94" s="19" t="n">
        <v>34.2</v>
      </c>
      <c r="N94" s="95" t="inlineStr">
        <is>
          <t>📈 Good</t>
        </is>
      </c>
      <c r="O94" s="95" t="inlineStr">
        <is>
          <t>⏳ New Fund</t>
        </is>
      </c>
      <c r="P94" s="95" t="inlineStr">
        <is>
          <t>📈 Momentum Only</t>
        </is>
      </c>
      <c r="Q94" s="96" t="inlineStr">
        <is>
          <t>MOMENTUM_ONLY</t>
        </is>
      </c>
    </row>
    <row r="95" ht="16" customHeight="1">
      <c r="A95" s="92" t="n">
        <v>91</v>
      </c>
      <c r="B95" s="93" t="inlineStr">
        <is>
          <t>Kotak CRISIL-IBX Financial Services 3-6 Months Debt Index Fund-Regular-Growth</t>
        </is>
      </c>
      <c r="C95" s="93" t="inlineStr">
        <is>
          <t>Kotak Mahindra Mutual Fund</t>
        </is>
      </c>
      <c r="D95" s="93" t="inlineStr">
        <is>
          <t>Banking/Financial</t>
        </is>
      </c>
      <c r="E95" s="94" t="n">
        <v>0.66</v>
      </c>
      <c r="F95" s="94" t="n">
        <v>1.92</v>
      </c>
      <c r="G95" s="94" t="n">
        <v>3.56</v>
      </c>
      <c r="H95" s="94" t="n">
        <v>6.61</v>
      </c>
      <c r="I95" s="94" t="n">
        <v>0</v>
      </c>
      <c r="J95" s="94" t="n">
        <v>0</v>
      </c>
      <c r="K95" s="17" t="n">
        <v>61.9</v>
      </c>
      <c r="L95" s="18" t="n">
        <v>0</v>
      </c>
      <c r="M95" s="19" t="n">
        <v>34.1</v>
      </c>
      <c r="N95" s="95" t="inlineStr">
        <is>
          <t>📈 Good</t>
        </is>
      </c>
      <c r="O95" s="95" t="inlineStr">
        <is>
          <t>⏳ New Fund</t>
        </is>
      </c>
      <c r="P95" s="95" t="inlineStr">
        <is>
          <t>📈 Momentum Only</t>
        </is>
      </c>
      <c r="Q95" s="96" t="inlineStr">
        <is>
          <t>MOMENTUM_ONLY</t>
        </is>
      </c>
    </row>
    <row r="96" ht="16" customHeight="1">
      <c r="A96" s="92" t="n">
        <v>92</v>
      </c>
      <c r="B96" s="93" t="inlineStr">
        <is>
          <t>Nippon India CRISIL - IBX AAA Financial Services - Dec 2026 Index Fund - Regular Plan - Growth Option</t>
        </is>
      </c>
      <c r="C96" s="93" t="inlineStr">
        <is>
          <t>Nippon India Mutual Fund</t>
        </is>
      </c>
      <c r="D96" s="93" t="inlineStr">
        <is>
          <t>Banking/Financial</t>
        </is>
      </c>
      <c r="E96" s="94" t="n">
        <v>0.65</v>
      </c>
      <c r="F96" s="94" t="n">
        <v>1.97</v>
      </c>
      <c r="G96" s="94" t="n">
        <v>3.56</v>
      </c>
      <c r="H96" s="94" t="n">
        <v>6.51</v>
      </c>
      <c r="I96" s="94" t="n">
        <v>0</v>
      </c>
      <c r="J96" s="94" t="n">
        <v>0</v>
      </c>
      <c r="K96" s="17" t="n">
        <v>61.7</v>
      </c>
      <c r="L96" s="18" t="n">
        <v>0</v>
      </c>
      <c r="M96" s="19" t="n">
        <v>33.9</v>
      </c>
      <c r="N96" s="95" t="inlineStr">
        <is>
          <t>📈 Good</t>
        </is>
      </c>
      <c r="O96" s="95" t="inlineStr">
        <is>
          <t>⏳ New Fund</t>
        </is>
      </c>
      <c r="P96" s="95" t="inlineStr">
        <is>
          <t>📈 Momentum Only</t>
        </is>
      </c>
      <c r="Q96" s="96" t="inlineStr">
        <is>
          <t>MOMENTUM_ONLY</t>
        </is>
      </c>
    </row>
    <row r="97" ht="16" customHeight="1">
      <c r="A97" s="92" t="n">
        <v>93</v>
      </c>
      <c r="B97" s="93" t="inlineStr">
        <is>
          <t>Kotak CRISIL - IBX AAA Bond Financial Services Index Dec 2026 Fund - Regular - Growth</t>
        </is>
      </c>
      <c r="C97" s="93" t="inlineStr">
        <is>
          <t>Kotak Mahindra Mutual Fund</t>
        </is>
      </c>
      <c r="D97" s="93" t="inlineStr">
        <is>
          <t>Banking/Financial</t>
        </is>
      </c>
      <c r="E97" s="94" t="n">
        <v>0.66</v>
      </c>
      <c r="F97" s="94" t="n">
        <v>1.97</v>
      </c>
      <c r="G97" s="94" t="n">
        <v>3.49</v>
      </c>
      <c r="H97" s="94" t="n">
        <v>6.38</v>
      </c>
      <c r="I97" s="94" t="n">
        <v>0</v>
      </c>
      <c r="J97" s="94" t="n">
        <v>0</v>
      </c>
      <c r="K97" s="17" t="n">
        <v>61.5</v>
      </c>
      <c r="L97" s="18" t="n">
        <v>0</v>
      </c>
      <c r="M97" s="19" t="n">
        <v>33.8</v>
      </c>
      <c r="N97" s="95" t="inlineStr">
        <is>
          <t>📈 Good</t>
        </is>
      </c>
      <c r="O97" s="95" t="inlineStr">
        <is>
          <t>⏳ New Fund</t>
        </is>
      </c>
      <c r="P97" s="95" t="inlineStr">
        <is>
          <t>📈 Momentum Only</t>
        </is>
      </c>
      <c r="Q97" s="96" t="inlineStr">
        <is>
          <t>MOMENTUM_ONLY</t>
        </is>
      </c>
    </row>
    <row r="98" ht="16" customHeight="1">
      <c r="A98" s="92" t="n">
        <v>94</v>
      </c>
      <c r="B98" s="93" t="inlineStr">
        <is>
          <t>HDFC Nifty India Digital Index Fund - Growth Option - Regular</t>
        </is>
      </c>
      <c r="C98" s="93" t="inlineStr">
        <is>
          <t>HDFC Mutual Fund</t>
        </is>
      </c>
      <c r="D98" s="93" t="inlineStr">
        <is>
          <t>Technology</t>
        </is>
      </c>
      <c r="E98" s="94" t="n">
        <v>4.74</v>
      </c>
      <c r="F98" s="94" t="n">
        <v>9.76</v>
      </c>
      <c r="G98" s="94" t="n">
        <v>2.19</v>
      </c>
      <c r="H98" s="97" t="n">
        <v>-2.32</v>
      </c>
      <c r="I98" s="94" t="n">
        <v>0</v>
      </c>
      <c r="J98" s="94" t="n">
        <v>0</v>
      </c>
      <c r="K98" s="17" t="n">
        <v>61</v>
      </c>
      <c r="L98" s="18" t="n">
        <v>0</v>
      </c>
      <c r="M98" s="19" t="n">
        <v>33.6</v>
      </c>
      <c r="N98" s="95" t="inlineStr">
        <is>
          <t>📈 Good</t>
        </is>
      </c>
      <c r="O98" s="95" t="inlineStr">
        <is>
          <t>⏳ New Fund</t>
        </is>
      </c>
      <c r="P98" s="95" t="inlineStr">
        <is>
          <t>📈 Momentum Only</t>
        </is>
      </c>
      <c r="Q98" s="96" t="inlineStr">
        <is>
          <t>MOMENTUM_ONLY</t>
        </is>
      </c>
    </row>
    <row r="99" ht="16" customHeight="1">
      <c r="A99" s="92" t="n">
        <v>95</v>
      </c>
      <c r="B99" s="93" t="inlineStr">
        <is>
          <t>Kotak Nifty Financial Services Ex-Bank Index Fund - Regular Plan - Growth option</t>
        </is>
      </c>
      <c r="C99" s="93" t="inlineStr">
        <is>
          <t>Kotak Mahindra Mutual Fund</t>
        </is>
      </c>
      <c r="D99" s="93" t="inlineStr">
        <is>
          <t>Banking/Financial</t>
        </is>
      </c>
      <c r="E99" s="94" t="n">
        <v>1.73</v>
      </c>
      <c r="F99" s="94" t="n">
        <v>3.39</v>
      </c>
      <c r="G99" s="94" t="n">
        <v>0.54</v>
      </c>
      <c r="H99" s="94" t="n">
        <v>10.41</v>
      </c>
      <c r="I99" s="94" t="n">
        <v>13.38871196022997</v>
      </c>
      <c r="J99" s="94" t="n">
        <v>0</v>
      </c>
      <c r="K99" s="17" t="n">
        <v>60.8</v>
      </c>
      <c r="L99" s="18" t="n">
        <v>0</v>
      </c>
      <c r="M99" s="19" t="n">
        <v>33.4</v>
      </c>
      <c r="N99" s="95" t="inlineStr">
        <is>
          <t>📈 Good</t>
        </is>
      </c>
      <c r="O99" s="95" t="inlineStr">
        <is>
          <t>⏳ New Fund</t>
        </is>
      </c>
      <c r="P99" s="95" t="inlineStr">
        <is>
          <t>📈 Momentum Only</t>
        </is>
      </c>
      <c r="Q99" s="96" t="inlineStr">
        <is>
          <t>MOMENTUM_ONLY</t>
        </is>
      </c>
    </row>
    <row r="100" ht="16" customHeight="1">
      <c r="A100" s="92" t="n">
        <v>96</v>
      </c>
      <c r="B100" s="93" t="inlineStr">
        <is>
          <t>Aditya Birla Sun Life Crisil-IBX AAA Financial Services Index-Sep 2027 Fund-Regular Growth</t>
        </is>
      </c>
      <c r="C100" s="93" t="inlineStr">
        <is>
          <t>Aditya Birla Sun Life Mutual Fund</t>
        </is>
      </c>
      <c r="D100" s="93" t="inlineStr">
        <is>
          <t>Banking/Financial</t>
        </is>
      </c>
      <c r="E100" s="94" t="n">
        <v>0.61</v>
      </c>
      <c r="F100" s="94" t="n">
        <v>2.16</v>
      </c>
      <c r="G100" s="94" t="n">
        <v>3.25</v>
      </c>
      <c r="H100" s="94" t="n">
        <v>6.32</v>
      </c>
      <c r="I100" s="94" t="n">
        <v>0</v>
      </c>
      <c r="J100" s="94" t="n">
        <v>0</v>
      </c>
      <c r="K100" s="17" t="n">
        <v>60.4</v>
      </c>
      <c r="L100" s="18" t="n">
        <v>0</v>
      </c>
      <c r="M100" s="19" t="n">
        <v>33.2</v>
      </c>
      <c r="N100" s="95" t="inlineStr">
        <is>
          <t>📈 Good</t>
        </is>
      </c>
      <c r="O100" s="95" t="inlineStr">
        <is>
          <t>⏳ New Fund</t>
        </is>
      </c>
      <c r="P100" s="95" t="inlineStr">
        <is>
          <t>📈 Momentum Only</t>
        </is>
      </c>
      <c r="Q100" s="96" t="inlineStr">
        <is>
          <t>MOMENTUM_ONLY</t>
        </is>
      </c>
    </row>
    <row r="101" ht="16" customHeight="1">
      <c r="A101" s="92" t="n">
        <v>97</v>
      </c>
      <c r="B101" s="93" t="inlineStr">
        <is>
          <t>Axis CRISIL-IBX AAA Bond NBFC - Jun 2027 Index Fund - Regular Plan - Growth Option</t>
        </is>
      </c>
      <c r="C101" s="93" t="inlineStr">
        <is>
          <t>Axis Mutual Fund</t>
        </is>
      </c>
      <c r="D101" s="93" t="inlineStr">
        <is>
          <t>Index Fund</t>
        </is>
      </c>
      <c r="E101" s="94" t="n">
        <v>0.65</v>
      </c>
      <c r="F101" s="94" t="n">
        <v>2.11</v>
      </c>
      <c r="G101" s="94" t="n">
        <v>3.15</v>
      </c>
      <c r="H101" s="94" t="n">
        <v>6.26</v>
      </c>
      <c r="I101" s="94" t="n">
        <v>0</v>
      </c>
      <c r="J101" s="94" t="n">
        <v>0</v>
      </c>
      <c r="K101" s="17" t="n">
        <v>60.2</v>
      </c>
      <c r="L101" s="18" t="n">
        <v>0</v>
      </c>
      <c r="M101" s="19" t="n">
        <v>33.1</v>
      </c>
      <c r="N101" s="95" t="inlineStr">
        <is>
          <t>📈 Good</t>
        </is>
      </c>
      <c r="O101" s="95" t="inlineStr">
        <is>
          <t>⏳ New Fund</t>
        </is>
      </c>
      <c r="P101" s="95" t="inlineStr">
        <is>
          <t>📈 Momentum Only</t>
        </is>
      </c>
      <c r="Q101" s="96" t="inlineStr">
        <is>
          <t>MOMENTUM_ONLY</t>
        </is>
      </c>
    </row>
    <row r="102" ht="16" customHeight="1">
      <c r="A102" s="28" t="n">
        <v>98</v>
      </c>
      <c r="B102" s="29" t="inlineStr">
        <is>
          <t>Motilal Oswal BSE Quality Index Fund-Regular plan</t>
        </is>
      </c>
      <c r="C102" s="29" t="inlineStr">
        <is>
          <t>Motilal Oswal Mutual Fund</t>
        </is>
      </c>
      <c r="D102" s="29" t="inlineStr">
        <is>
          <t>Index Fund</t>
        </is>
      </c>
      <c r="E102" s="30" t="n">
        <v>0.87</v>
      </c>
      <c r="F102" s="30" t="n">
        <v>1.18</v>
      </c>
      <c r="G102" s="30" t="n">
        <v>2.96</v>
      </c>
      <c r="H102" s="30" t="n">
        <v>7.64</v>
      </c>
      <c r="I102" s="91" t="n">
        <v>-2.969077093949068</v>
      </c>
      <c r="J102" s="30" t="n">
        <v>48.88</v>
      </c>
      <c r="K102" s="17" t="n">
        <v>59.6</v>
      </c>
      <c r="L102" s="18" t="n">
        <v>0</v>
      </c>
      <c r="M102" s="19" t="n">
        <v>32.8</v>
      </c>
      <c r="N102" s="31" t="inlineStr">
        <is>
          <t>➡️ Neutral</t>
        </is>
      </c>
      <c r="O102" s="31" t="inlineStr">
        <is>
          <t>🔴 Not Qualified</t>
        </is>
      </c>
      <c r="P102" s="31" t="inlineStr">
        <is>
          <t>🔴 Avoid</t>
        </is>
      </c>
      <c r="Q102" s="83" t="inlineStr">
        <is>
          <t>FULL</t>
        </is>
      </c>
    </row>
    <row r="103" ht="16" customHeight="1">
      <c r="A103" s="13" t="n">
        <v>99</v>
      </c>
      <c r="B103" s="14" t="inlineStr">
        <is>
          <t>Kotak Nifty SDL Jul 2033 Index Fund Regular Plan Growth Option</t>
        </is>
      </c>
      <c r="C103" s="14" t="inlineStr">
        <is>
          <t>Kotak Mahindra Mutual Fund</t>
        </is>
      </c>
      <c r="D103" s="14" t="inlineStr">
        <is>
          <t>Index Fund</t>
        </is>
      </c>
      <c r="E103" s="15" t="n">
        <v>0.63</v>
      </c>
      <c r="F103" s="15" t="n">
        <v>3.76</v>
      </c>
      <c r="G103" s="15" t="n">
        <v>3.31</v>
      </c>
      <c r="H103" s="15" t="n">
        <v>5.14</v>
      </c>
      <c r="I103" s="15" t="n">
        <v>6.677082824756697</v>
      </c>
      <c r="J103" s="15" t="n">
        <v>23.54</v>
      </c>
      <c r="K103" s="17" t="n">
        <v>59.4</v>
      </c>
      <c r="L103" s="18" t="n">
        <v>0</v>
      </c>
      <c r="M103" s="19" t="n">
        <v>32.7</v>
      </c>
      <c r="N103" s="20" t="inlineStr">
        <is>
          <t>➡️ Neutral</t>
        </is>
      </c>
      <c r="O103" s="20" t="inlineStr">
        <is>
          <t>🔴 Not Qualified</t>
        </is>
      </c>
      <c r="P103" s="20" t="inlineStr">
        <is>
          <t>🔴 Avoid</t>
        </is>
      </c>
      <c r="Q103" s="83" t="inlineStr">
        <is>
          <t>FULL</t>
        </is>
      </c>
    </row>
    <row r="104" ht="16" customHeight="1">
      <c r="A104" s="92" t="n">
        <v>100</v>
      </c>
      <c r="B104" s="93" t="inlineStr">
        <is>
          <t>NAVI NIFTY 500 MULTICAP 50-25-25 REGULAR PLAN</t>
        </is>
      </c>
      <c r="C104" s="93" t="inlineStr">
        <is>
          <t>Navi Mutual Fund</t>
        </is>
      </c>
      <c r="D104" s="93" t="inlineStr">
        <is>
          <t>Index Fund</t>
        </is>
      </c>
      <c r="E104" s="94" t="n">
        <v>0.96</v>
      </c>
      <c r="F104" s="94" t="n">
        <v>5.34</v>
      </c>
      <c r="G104" s="94" t="n">
        <v>2.34</v>
      </c>
      <c r="H104" s="94" t="n">
        <v>5.36</v>
      </c>
      <c r="I104" s="94" t="n">
        <v>1.444566143288317</v>
      </c>
      <c r="J104" s="94" t="n">
        <v>0</v>
      </c>
      <c r="K104" s="17" t="n">
        <v>59.1</v>
      </c>
      <c r="L104" s="18" t="n">
        <v>0</v>
      </c>
      <c r="M104" s="19" t="n">
        <v>32.5</v>
      </c>
      <c r="N104" s="95" t="inlineStr">
        <is>
          <t>➡️ Neutral</t>
        </is>
      </c>
      <c r="O104" s="95" t="inlineStr">
        <is>
          <t>⏳ New Fund</t>
        </is>
      </c>
      <c r="P104" s="95" t="inlineStr">
        <is>
          <t>⏳ New Fund</t>
        </is>
      </c>
      <c r="Q104" s="96" t="inlineStr">
        <is>
          <t>MOMENTUM_ONLY</t>
        </is>
      </c>
    </row>
    <row r="105" ht="16" customHeight="1">
      <c r="A105" s="13" t="n">
        <v>101</v>
      </c>
      <c r="B105" s="14" t="inlineStr">
        <is>
          <t>UTI CRISIL SDL Maturity April 2033 Index Fund - Regular Plan - Growth Option</t>
        </is>
      </c>
      <c r="C105" s="14" t="inlineStr">
        <is>
          <t>UTI Mutual Fund</t>
        </is>
      </c>
      <c r="D105" s="14" t="inlineStr">
        <is>
          <t>Index Fund</t>
        </is>
      </c>
      <c r="E105" s="15" t="n">
        <v>0.63</v>
      </c>
      <c r="F105" s="15" t="n">
        <v>3.85</v>
      </c>
      <c r="G105" s="15" t="n">
        <v>3.24</v>
      </c>
      <c r="H105" s="15" t="n">
        <v>5.08</v>
      </c>
      <c r="I105" s="15" t="n">
        <v>6.700515462672452</v>
      </c>
      <c r="J105" s="15" t="n">
        <v>23.7</v>
      </c>
      <c r="K105" s="17" t="n">
        <v>58.8</v>
      </c>
      <c r="L105" s="18" t="n">
        <v>0</v>
      </c>
      <c r="M105" s="19" t="n">
        <v>32.4</v>
      </c>
      <c r="N105" s="20" t="inlineStr">
        <is>
          <t>➡️ Neutral</t>
        </is>
      </c>
      <c r="O105" s="20" t="inlineStr">
        <is>
          <t>🔴 Not Qualified</t>
        </is>
      </c>
      <c r="P105" s="20" t="inlineStr">
        <is>
          <t>🔴 Avoid</t>
        </is>
      </c>
      <c r="Q105" s="83" t="inlineStr">
        <is>
          <t>FULL</t>
        </is>
      </c>
    </row>
    <row r="106" ht="16" customHeight="1">
      <c r="A106" s="92" t="n">
        <v>102</v>
      </c>
      <c r="B106" s="93" t="inlineStr">
        <is>
          <t>Kotak CRISIL -IBX AAA Financial Services Index Sep-2027 Fund-REGULAR PLAN-GROWTH</t>
        </is>
      </c>
      <c r="C106" s="93" t="inlineStr">
        <is>
          <t>Kotak Mahindra Mutual Fund</t>
        </is>
      </c>
      <c r="D106" s="93" t="inlineStr">
        <is>
          <t>Banking/Financial</t>
        </is>
      </c>
      <c r="E106" s="94" t="n">
        <v>0.62</v>
      </c>
      <c r="F106" s="94" t="n">
        <v>2.16</v>
      </c>
      <c r="G106" s="94" t="n">
        <v>3.03</v>
      </c>
      <c r="H106" s="94" t="n">
        <v>6.12</v>
      </c>
      <c r="I106" s="94" t="n">
        <v>0</v>
      </c>
      <c r="J106" s="94" t="n">
        <v>0</v>
      </c>
      <c r="K106" s="17" t="n">
        <v>58.8</v>
      </c>
      <c r="L106" s="18" t="n">
        <v>0</v>
      </c>
      <c r="M106" s="19" t="n">
        <v>32.3</v>
      </c>
      <c r="N106" s="95" t="inlineStr">
        <is>
          <t>➡️ Neutral</t>
        </is>
      </c>
      <c r="O106" s="95" t="inlineStr">
        <is>
          <t>⏳ New Fund</t>
        </is>
      </c>
      <c r="P106" s="95" t="inlineStr">
        <is>
          <t>⏳ New Fund</t>
        </is>
      </c>
      <c r="Q106" s="96" t="inlineStr">
        <is>
          <t>MOMENTUM_ONLY</t>
        </is>
      </c>
    </row>
    <row r="107" ht="16" customHeight="1">
      <c r="A107" s="92" t="n">
        <v>103</v>
      </c>
      <c r="B107" s="93" t="inlineStr">
        <is>
          <t>Aditya Birla Sun Life Crisil IBX Gilt Apr 2033 Index Fund-Regular Growth</t>
        </is>
      </c>
      <c r="C107" s="93" t="inlineStr">
        <is>
          <t>Aditya Birla Sun Life Mutual Fund</t>
        </is>
      </c>
      <c r="D107" s="93" t="inlineStr">
        <is>
          <t>GILT</t>
        </is>
      </c>
      <c r="E107" s="94" t="n">
        <v>0.5</v>
      </c>
      <c r="F107" s="94" t="n">
        <v>3.55</v>
      </c>
      <c r="G107" s="94" t="n">
        <v>3.44</v>
      </c>
      <c r="H107" s="94" t="n">
        <v>5.67</v>
      </c>
      <c r="I107" s="94" t="n">
        <v>7.26136303441236</v>
      </c>
      <c r="J107" s="94" t="n">
        <v>0</v>
      </c>
      <c r="K107" s="17" t="n">
        <v>58.5</v>
      </c>
      <c r="L107" s="18" t="n">
        <v>0</v>
      </c>
      <c r="M107" s="19" t="n">
        <v>32.2</v>
      </c>
      <c r="N107" s="95" t="inlineStr">
        <is>
          <t>➡️ Neutral</t>
        </is>
      </c>
      <c r="O107" s="95" t="inlineStr">
        <is>
          <t>⏳ New Fund</t>
        </is>
      </c>
      <c r="P107" s="95" t="inlineStr">
        <is>
          <t>⏳ New Fund</t>
        </is>
      </c>
      <c r="Q107" s="96" t="inlineStr">
        <is>
          <t>MOMENTUM_ONLY</t>
        </is>
      </c>
    </row>
    <row r="108" ht="16" customHeight="1">
      <c r="A108" s="92" t="n">
        <v>104</v>
      </c>
      <c r="B108" s="93" t="inlineStr">
        <is>
          <t>Aditya Birla Sun Life Crisil-IBX AAA NBFC-HFC Index-Sep 2026 Fund-Regular Growth</t>
        </is>
      </c>
      <c r="C108" s="93" t="inlineStr">
        <is>
          <t>Aditya Birla Sun Life Mutual Fund</t>
        </is>
      </c>
      <c r="D108" s="93" t="inlineStr">
        <is>
          <t>Index Fund</t>
        </is>
      </c>
      <c r="E108" s="94" t="n">
        <v>0.55</v>
      </c>
      <c r="F108" s="94" t="n">
        <v>1.75</v>
      </c>
      <c r="G108" s="94" t="n">
        <v>3.47</v>
      </c>
      <c r="H108" s="94" t="n">
        <v>6.59</v>
      </c>
      <c r="I108" s="94" t="n">
        <v>0</v>
      </c>
      <c r="J108" s="94" t="n">
        <v>0</v>
      </c>
      <c r="K108" s="17" t="n">
        <v>58.4</v>
      </c>
      <c r="L108" s="18" t="n">
        <v>0</v>
      </c>
      <c r="M108" s="19" t="n">
        <v>32.1</v>
      </c>
      <c r="N108" s="95" t="inlineStr">
        <is>
          <t>➡️ Neutral</t>
        </is>
      </c>
      <c r="O108" s="95" t="inlineStr">
        <is>
          <t>⏳ New Fund</t>
        </is>
      </c>
      <c r="P108" s="95" t="inlineStr">
        <is>
          <t>⏳ New Fund</t>
        </is>
      </c>
      <c r="Q108" s="96" t="inlineStr">
        <is>
          <t>MOMENTUM_ONLY</t>
        </is>
      </c>
    </row>
    <row r="109" ht="16" customHeight="1">
      <c r="A109" s="92" t="n">
        <v>105</v>
      </c>
      <c r="B109" s="93" t="inlineStr">
        <is>
          <t>Bandhan CRISIL-IBX Financial Services 3-6 Months Debt Index Fund - Regular Plan - Growth</t>
        </is>
      </c>
      <c r="C109" s="93" t="inlineStr">
        <is>
          <t>Bandhan Mutual Fund</t>
        </is>
      </c>
      <c r="D109" s="93" t="inlineStr">
        <is>
          <t>Banking/Financial</t>
        </is>
      </c>
      <c r="E109" s="94" t="n">
        <v>0.62</v>
      </c>
      <c r="F109" s="94" t="n">
        <v>1.82</v>
      </c>
      <c r="G109" s="94" t="n">
        <v>3.31</v>
      </c>
      <c r="H109" s="94" t="n">
        <v>6.04</v>
      </c>
      <c r="I109" s="94" t="n">
        <v>0</v>
      </c>
      <c r="J109" s="94" t="n">
        <v>0</v>
      </c>
      <c r="K109" s="17" t="n">
        <v>58.2</v>
      </c>
      <c r="L109" s="18" t="n">
        <v>0</v>
      </c>
      <c r="M109" s="19" t="n">
        <v>32</v>
      </c>
      <c r="N109" s="95" t="inlineStr">
        <is>
          <t>➡️ Neutral</t>
        </is>
      </c>
      <c r="O109" s="95" t="inlineStr">
        <is>
          <t>⏳ New Fund</t>
        </is>
      </c>
      <c r="P109" s="95" t="inlineStr">
        <is>
          <t>⏳ New Fund</t>
        </is>
      </c>
      <c r="Q109" s="96" t="inlineStr">
        <is>
          <t>MOMENTUM_ONLY</t>
        </is>
      </c>
    </row>
    <row r="110" ht="16" customHeight="1">
      <c r="A110" s="92" t="n">
        <v>106</v>
      </c>
      <c r="B110" s="93" t="inlineStr">
        <is>
          <t>Tata BSE Quality Index Fund Regular plan Growth Option</t>
        </is>
      </c>
      <c r="C110" s="93" t="inlineStr">
        <is>
          <t>Tata Mutual Fund</t>
        </is>
      </c>
      <c r="D110" s="93" t="inlineStr">
        <is>
          <t>Index Fund</t>
        </is>
      </c>
      <c r="E110" s="94" t="n">
        <v>0.86</v>
      </c>
      <c r="F110" s="94" t="n">
        <v>1.18</v>
      </c>
      <c r="G110" s="94" t="n">
        <v>2.85</v>
      </c>
      <c r="H110" s="94" t="n">
        <v>7.4</v>
      </c>
      <c r="I110" s="94" t="n">
        <v>0</v>
      </c>
      <c r="J110" s="94" t="n">
        <v>0</v>
      </c>
      <c r="K110" s="17" t="n">
        <v>58.1</v>
      </c>
      <c r="L110" s="18" t="n">
        <v>0</v>
      </c>
      <c r="M110" s="19" t="n">
        <v>32</v>
      </c>
      <c r="N110" s="95" t="inlineStr">
        <is>
          <t>➡️ Neutral</t>
        </is>
      </c>
      <c r="O110" s="95" t="inlineStr">
        <is>
          <t>⏳ New Fund</t>
        </is>
      </c>
      <c r="P110" s="95" t="inlineStr">
        <is>
          <t>⏳ New Fund</t>
        </is>
      </c>
      <c r="Q110" s="96" t="inlineStr">
        <is>
          <t>MOMENTUM_ONLY</t>
        </is>
      </c>
    </row>
    <row r="111" ht="16" customHeight="1">
      <c r="A111" s="92" t="n">
        <v>107</v>
      </c>
      <c r="B111" s="93" t="inlineStr">
        <is>
          <t>Tata BSE Multicap Consumption 50:30:20 Index Fund - Regular Plan Growth Option</t>
        </is>
      </c>
      <c r="C111" s="93" t="inlineStr">
        <is>
          <t>Tata Mutual Fund</t>
        </is>
      </c>
      <c r="D111" s="93" t="inlineStr">
        <is>
          <t>Index Fund</t>
        </is>
      </c>
      <c r="E111" s="94" t="n">
        <v>2.85</v>
      </c>
      <c r="F111" s="94" t="n">
        <v>8.31</v>
      </c>
      <c r="G111" s="94" t="n">
        <v>1.99</v>
      </c>
      <c r="H111" s="94" t="n">
        <v>0</v>
      </c>
      <c r="I111" s="94" t="n">
        <v>0</v>
      </c>
      <c r="J111" s="94" t="n">
        <v>0</v>
      </c>
      <c r="K111" s="17" t="n">
        <v>58</v>
      </c>
      <c r="L111" s="18" t="n">
        <v>0</v>
      </c>
      <c r="M111" s="19" t="n">
        <v>31.9</v>
      </c>
      <c r="N111" s="95" t="inlineStr">
        <is>
          <t>➡️ Neutral</t>
        </is>
      </c>
      <c r="O111" s="95" t="inlineStr">
        <is>
          <t>⏳ New Fund</t>
        </is>
      </c>
      <c r="P111" s="95" t="inlineStr">
        <is>
          <t>⏳ New Fund</t>
        </is>
      </c>
      <c r="Q111" s="96" t="inlineStr">
        <is>
          <t>MOMENTUM_ONLY</t>
        </is>
      </c>
    </row>
    <row r="112" ht="16" customHeight="1">
      <c r="A112" s="28" t="n">
        <v>108</v>
      </c>
      <c r="B112" s="29" t="inlineStr">
        <is>
          <t>BANDHAN CRISIL IBX GILT APRIL 2032 INDEX FUND - REGULAR GROWTH</t>
        </is>
      </c>
      <c r="C112" s="29" t="inlineStr">
        <is>
          <t>Bandhan Mutual Fund</t>
        </is>
      </c>
      <c r="D112" s="29" t="inlineStr">
        <is>
          <t>GILT</t>
        </is>
      </c>
      <c r="E112" s="30" t="n">
        <v>0.49</v>
      </c>
      <c r="F112" s="30" t="n">
        <v>3.76</v>
      </c>
      <c r="G112" s="30" t="n">
        <v>3.03</v>
      </c>
      <c r="H112" s="30" t="n">
        <v>5.61</v>
      </c>
      <c r="I112" s="30" t="n">
        <v>7.280007457121296</v>
      </c>
      <c r="J112" s="30" t="n">
        <v>25.39</v>
      </c>
      <c r="K112" s="17" t="n">
        <v>57.7</v>
      </c>
      <c r="L112" s="18" t="n">
        <v>0</v>
      </c>
      <c r="M112" s="19" t="n">
        <v>31.7</v>
      </c>
      <c r="N112" s="31" t="inlineStr">
        <is>
          <t>➡️ Neutral</t>
        </is>
      </c>
      <c r="O112" s="31" t="inlineStr">
        <is>
          <t>🔴 Not Qualified</t>
        </is>
      </c>
      <c r="P112" s="31" t="inlineStr">
        <is>
          <t>🔴 Avoid</t>
        </is>
      </c>
      <c r="Q112" s="83" t="inlineStr">
        <is>
          <t>FULL</t>
        </is>
      </c>
    </row>
    <row r="113" ht="16" customHeight="1">
      <c r="A113" s="13" t="n">
        <v>109</v>
      </c>
      <c r="B113" s="14" t="inlineStr">
        <is>
          <t>Edelweiss Nifty Midcap150 Momentum 50 Index Fund - Regular Plan - Growth</t>
        </is>
      </c>
      <c r="C113" s="14" t="inlineStr">
        <is>
          <t>Edelweiss Mutual Fund</t>
        </is>
      </c>
      <c r="D113" s="14" t="inlineStr">
        <is>
          <t>Index Fund</t>
        </is>
      </c>
      <c r="E113" s="15" t="n">
        <v>3.16</v>
      </c>
      <c r="F113" s="15" t="n">
        <v>3.37</v>
      </c>
      <c r="G113" s="15" t="n">
        <v>1.84</v>
      </c>
      <c r="H113" s="15" t="n">
        <v>5.32</v>
      </c>
      <c r="I113" s="16" t="n">
        <v>-0.717574566290935</v>
      </c>
      <c r="J113" s="15" t="n">
        <v>61.22</v>
      </c>
      <c r="K113" s="17" t="n">
        <v>57.7</v>
      </c>
      <c r="L113" s="18" t="n">
        <v>0</v>
      </c>
      <c r="M113" s="19" t="n">
        <v>31.7</v>
      </c>
      <c r="N113" s="20" t="inlineStr">
        <is>
          <t>➡️ Neutral</t>
        </is>
      </c>
      <c r="O113" s="20" t="inlineStr">
        <is>
          <t>🔴 Not Qualified</t>
        </is>
      </c>
      <c r="P113" s="20" t="inlineStr">
        <is>
          <t>🔴 Avoid</t>
        </is>
      </c>
      <c r="Q113" s="83" t="inlineStr">
        <is>
          <t>FULL</t>
        </is>
      </c>
    </row>
    <row r="114" ht="16" customHeight="1">
      <c r="A114" s="92" t="n">
        <v>110</v>
      </c>
      <c r="B114" s="93" t="inlineStr">
        <is>
          <t>DSP Nifty Smallcap250 Quality 50 Index Fund - Regular - Growth</t>
        </is>
      </c>
      <c r="C114" s="93" t="inlineStr">
        <is>
          <t>DSP Mutual Fund</t>
        </is>
      </c>
      <c r="D114" s="93" t="inlineStr">
        <is>
          <t>Index Fund</t>
        </is>
      </c>
      <c r="E114" s="94" t="n">
        <v>1.66</v>
      </c>
      <c r="F114" s="94" t="n">
        <v>4.64</v>
      </c>
      <c r="G114" s="94" t="n">
        <v>4.38</v>
      </c>
      <c r="H114" s="97" t="n">
        <v>-2.89</v>
      </c>
      <c r="I114" s="97" t="n">
        <v>-5.591313958937016</v>
      </c>
      <c r="J114" s="94" t="n">
        <v>0</v>
      </c>
      <c r="K114" s="17" t="n">
        <v>57.6</v>
      </c>
      <c r="L114" s="18" t="n">
        <v>0</v>
      </c>
      <c r="M114" s="19" t="n">
        <v>31.7</v>
      </c>
      <c r="N114" s="95" t="inlineStr">
        <is>
          <t>➡️ Neutral</t>
        </is>
      </c>
      <c r="O114" s="95" t="inlineStr">
        <is>
          <t>⏳ New Fund</t>
        </is>
      </c>
      <c r="P114" s="95" t="inlineStr">
        <is>
          <t>⏳ New Fund</t>
        </is>
      </c>
      <c r="Q114" s="96" t="inlineStr">
        <is>
          <t>MOMENTUM_ONLY</t>
        </is>
      </c>
    </row>
    <row r="115" ht="16" customHeight="1">
      <c r="A115" s="92" t="n">
        <v>110</v>
      </c>
      <c r="B115" s="93" t="inlineStr">
        <is>
          <t>HDFC NIFTY LargeMidcap 250 Index Fund - Growth Option</t>
        </is>
      </c>
      <c r="C115" s="93" t="inlineStr">
        <is>
          <t>HDFC Mutual Fund</t>
        </is>
      </c>
      <c r="D115" s="93" t="inlineStr">
        <is>
          <t>Index Fund</t>
        </is>
      </c>
      <c r="E115" s="94" t="n">
        <v>0.96</v>
      </c>
      <c r="F115" s="94" t="n">
        <v>4.11</v>
      </c>
      <c r="G115" s="94" t="n">
        <v>0.62</v>
      </c>
      <c r="H115" s="94" t="n">
        <v>5.78</v>
      </c>
      <c r="I115" s="94" t="n">
        <v>0</v>
      </c>
      <c r="J115" s="94" t="n">
        <v>0</v>
      </c>
      <c r="K115" s="17" t="n">
        <v>57.6</v>
      </c>
      <c r="L115" s="18" t="n">
        <v>0</v>
      </c>
      <c r="M115" s="19" t="n">
        <v>31.7</v>
      </c>
      <c r="N115" s="95" t="inlineStr">
        <is>
          <t>➡️ Neutral</t>
        </is>
      </c>
      <c r="O115" s="95" t="inlineStr">
        <is>
          <t>⏳ New Fund</t>
        </is>
      </c>
      <c r="P115" s="95" t="inlineStr">
        <is>
          <t>⏳ New Fund</t>
        </is>
      </c>
      <c r="Q115" s="96" t="inlineStr">
        <is>
          <t>MOMENTUM_ONLY</t>
        </is>
      </c>
    </row>
    <row r="116" ht="16" customHeight="1">
      <c r="A116" s="28" t="n">
        <v>112</v>
      </c>
      <c r="B116" s="29" t="inlineStr">
        <is>
          <t>DSP CRISIL-IBX 50:50 Gilt Plus SDL - April 2033 Index Fund - Regular - Growth</t>
        </is>
      </c>
      <c r="C116" s="29" t="inlineStr">
        <is>
          <t>DSP Mutual Fund</t>
        </is>
      </c>
      <c r="D116" s="29" t="inlineStr">
        <is>
          <t>GILT</t>
        </is>
      </c>
      <c r="E116" s="30" t="n">
        <v>0.6</v>
      </c>
      <c r="F116" s="30" t="n">
        <v>3.73</v>
      </c>
      <c r="G116" s="30" t="n">
        <v>3.16</v>
      </c>
      <c r="H116" s="30" t="n">
        <v>5.27</v>
      </c>
      <c r="I116" s="30" t="n">
        <v>7.00467279516348</v>
      </c>
      <c r="J116" s="30" t="n">
        <v>24.62</v>
      </c>
      <c r="K116" s="17" t="n">
        <v>57.4</v>
      </c>
      <c r="L116" s="18" t="n">
        <v>0</v>
      </c>
      <c r="M116" s="19" t="n">
        <v>31.6</v>
      </c>
      <c r="N116" s="31" t="inlineStr">
        <is>
          <t>➡️ Neutral</t>
        </is>
      </c>
      <c r="O116" s="31" t="inlineStr">
        <is>
          <t>🔴 Not Qualified</t>
        </is>
      </c>
      <c r="P116" s="31" t="inlineStr">
        <is>
          <t>🔴 Avoid</t>
        </is>
      </c>
      <c r="Q116" s="83" t="inlineStr">
        <is>
          <t>FULL</t>
        </is>
      </c>
    </row>
    <row r="117" ht="16" customHeight="1">
      <c r="A117" s="92" t="n">
        <v>113</v>
      </c>
      <c r="B117" s="93" t="inlineStr">
        <is>
          <t>ICICI Prudential Nifty LargeMidcap 250 Index Fund - Growth</t>
        </is>
      </c>
      <c r="C117" s="93" t="inlineStr">
        <is>
          <t>ICICI Prudential Mutual Fund</t>
        </is>
      </c>
      <c r="D117" s="93" t="inlineStr">
        <is>
          <t>Index Fund</t>
        </is>
      </c>
      <c r="E117" s="94" t="n">
        <v>0.96</v>
      </c>
      <c r="F117" s="94" t="n">
        <v>4.08</v>
      </c>
      <c r="G117" s="94" t="n">
        <v>0.63</v>
      </c>
      <c r="H117" s="94" t="n">
        <v>5.76</v>
      </c>
      <c r="I117" s="94" t="n">
        <v>2.190997646563764</v>
      </c>
      <c r="J117" s="94" t="n">
        <v>0</v>
      </c>
      <c r="K117" s="17" t="n">
        <v>57.4</v>
      </c>
      <c r="L117" s="18" t="n">
        <v>0</v>
      </c>
      <c r="M117" s="19" t="n">
        <v>31.5</v>
      </c>
      <c r="N117" s="95" t="inlineStr">
        <is>
          <t>➡️ Neutral</t>
        </is>
      </c>
      <c r="O117" s="95" t="inlineStr">
        <is>
          <t>⏳ New Fund</t>
        </is>
      </c>
      <c r="P117" s="95" t="inlineStr">
        <is>
          <t>⏳ New Fund</t>
        </is>
      </c>
      <c r="Q117" s="96" t="inlineStr">
        <is>
          <t>MOMENTUM_ONLY</t>
        </is>
      </c>
    </row>
    <row r="118" ht="16" customHeight="1">
      <c r="A118" s="28" t="n">
        <v>113</v>
      </c>
      <c r="B118" s="29" t="inlineStr">
        <is>
          <t>ICICI Prudential Nifty SDL Sep 2027 Index Fund - Growth</t>
        </is>
      </c>
      <c r="C118" s="29" t="inlineStr">
        <is>
          <t>ICICI Prudential Mutual Fund</t>
        </is>
      </c>
      <c r="D118" s="29" t="inlineStr">
        <is>
          <t>Index Fund</t>
        </is>
      </c>
      <c r="E118" s="30" t="n">
        <v>0.61</v>
      </c>
      <c r="F118" s="30" t="n">
        <v>2.13</v>
      </c>
      <c r="G118" s="30" t="n">
        <v>2.97</v>
      </c>
      <c r="H118" s="30" t="n">
        <v>6</v>
      </c>
      <c r="I118" s="30" t="n">
        <v>7.196082017954364</v>
      </c>
      <c r="J118" s="30" t="n">
        <v>24.34</v>
      </c>
      <c r="K118" s="17" t="n">
        <v>57.4</v>
      </c>
      <c r="L118" s="18" t="n">
        <v>0</v>
      </c>
      <c r="M118" s="19" t="n">
        <v>31.5</v>
      </c>
      <c r="N118" s="31" t="inlineStr">
        <is>
          <t>➡️ Neutral</t>
        </is>
      </c>
      <c r="O118" s="31" t="inlineStr">
        <is>
          <t>🔴 Not Qualified</t>
        </is>
      </c>
      <c r="P118" s="31" t="inlineStr">
        <is>
          <t>🔴 Avoid</t>
        </is>
      </c>
      <c r="Q118" s="83" t="inlineStr">
        <is>
          <t>FULL</t>
        </is>
      </c>
    </row>
    <row r="119" ht="16" customHeight="1">
      <c r="A119" s="13" t="n">
        <v>115</v>
      </c>
      <c r="B119" s="14" t="inlineStr">
        <is>
          <t>BANDHAN CRISIL IBX 90:10 SDL PLUS GILT APRIL 2032 INDEX FUND - REGULAR GROWTH</t>
        </is>
      </c>
      <c r="C119" s="14" t="inlineStr">
        <is>
          <t>Bandhan Mutual Fund</t>
        </is>
      </c>
      <c r="D119" s="14" t="inlineStr">
        <is>
          <t>GILT</t>
        </is>
      </c>
      <c r="E119" s="15" t="n">
        <v>0.58</v>
      </c>
      <c r="F119" s="15" t="n">
        <v>4.06</v>
      </c>
      <c r="G119" s="15" t="n">
        <v>3.22</v>
      </c>
      <c r="H119" s="15" t="n">
        <v>5.07</v>
      </c>
      <c r="I119" s="15" t="n">
        <v>7.242715370322483</v>
      </c>
      <c r="J119" s="15" t="n">
        <v>25.01</v>
      </c>
      <c r="K119" s="17" t="n">
        <v>57.2</v>
      </c>
      <c r="L119" s="18" t="n">
        <v>0</v>
      </c>
      <c r="M119" s="19" t="n">
        <v>31.5</v>
      </c>
      <c r="N119" s="20" t="inlineStr">
        <is>
          <t>➡️ Neutral</t>
        </is>
      </c>
      <c r="O119" s="20" t="inlineStr">
        <is>
          <t>🔴 Not Qualified</t>
        </is>
      </c>
      <c r="P119" s="20" t="inlineStr">
        <is>
          <t>🔴 Avoid</t>
        </is>
      </c>
      <c r="Q119" s="83" t="inlineStr">
        <is>
          <t>FULL</t>
        </is>
      </c>
    </row>
    <row r="120" ht="16" customHeight="1">
      <c r="A120" s="92" t="n">
        <v>116</v>
      </c>
      <c r="B120" s="93" t="inlineStr">
        <is>
          <t>Axis CRISIL-IBX AAA Bond NBFC-HFC - Jun 2027 Index Fund - Regular Plan - Growth option</t>
        </is>
      </c>
      <c r="C120" s="93" t="inlineStr">
        <is>
          <t>Axis Mutual Fund</t>
        </is>
      </c>
      <c r="D120" s="93" t="inlineStr">
        <is>
          <t>Index Fund</t>
        </is>
      </c>
      <c r="E120" s="94" t="n">
        <v>0.58</v>
      </c>
      <c r="F120" s="94" t="n">
        <v>1.95</v>
      </c>
      <c r="G120" s="94" t="n">
        <v>3.08</v>
      </c>
      <c r="H120" s="94" t="n">
        <v>6.23</v>
      </c>
      <c r="I120" s="94" t="n">
        <v>0</v>
      </c>
      <c r="J120" s="94" t="n">
        <v>0</v>
      </c>
      <c r="K120" s="17" t="n">
        <v>57.2</v>
      </c>
      <c r="L120" s="18" t="n">
        <v>0</v>
      </c>
      <c r="M120" s="19" t="n">
        <v>31.5</v>
      </c>
      <c r="N120" s="95" t="inlineStr">
        <is>
          <t>➡️ Neutral</t>
        </is>
      </c>
      <c r="O120" s="95" t="inlineStr">
        <is>
          <t>⏳ New Fund</t>
        </is>
      </c>
      <c r="P120" s="95" t="inlineStr">
        <is>
          <t>⏳ New Fund</t>
        </is>
      </c>
      <c r="Q120" s="96" t="inlineStr">
        <is>
          <t>MOMENTUM_ONLY</t>
        </is>
      </c>
    </row>
    <row r="121" ht="16" customHeight="1">
      <c r="A121" s="13" t="n">
        <v>117</v>
      </c>
      <c r="B121" s="14" t="inlineStr">
        <is>
          <t>Kotak Nifty SDL Apr 2032 Top 12 Equal Weight Index Fund-Regular Plan-Growth</t>
        </is>
      </c>
      <c r="C121" s="14" t="inlineStr">
        <is>
          <t>Kotak Mahindra Mutual Fund</t>
        </is>
      </c>
      <c r="D121" s="14" t="inlineStr">
        <is>
          <t>Index Fund</t>
        </is>
      </c>
      <c r="E121" s="15" t="n">
        <v>0.6</v>
      </c>
      <c r="F121" s="15" t="n">
        <v>4.09</v>
      </c>
      <c r="G121" s="15" t="n">
        <v>3.13</v>
      </c>
      <c r="H121" s="15" t="n">
        <v>4.83</v>
      </c>
      <c r="I121" s="15" t="n">
        <v>7.126093926736643</v>
      </c>
      <c r="J121" s="15" t="n">
        <v>24.59</v>
      </c>
      <c r="K121" s="17" t="n">
        <v>57.2</v>
      </c>
      <c r="L121" s="18" t="n">
        <v>0</v>
      </c>
      <c r="M121" s="19" t="n">
        <v>31.5</v>
      </c>
      <c r="N121" s="20" t="inlineStr">
        <is>
          <t>➡️ Neutral</t>
        </is>
      </c>
      <c r="O121" s="20" t="inlineStr">
        <is>
          <t>🔴 Not Qualified</t>
        </is>
      </c>
      <c r="P121" s="20" t="inlineStr">
        <is>
          <t>🔴 Avoid</t>
        </is>
      </c>
      <c r="Q121" s="83" t="inlineStr">
        <is>
          <t>FULL</t>
        </is>
      </c>
    </row>
    <row r="122" ht="16" customHeight="1">
      <c r="A122" s="92" t="n">
        <v>118</v>
      </c>
      <c r="B122" s="93" t="inlineStr">
        <is>
          <t>Kotak Nifty G-Sec July 2033 Index Fund - Regular Plan - Growth</t>
        </is>
      </c>
      <c r="C122" s="93" t="inlineStr">
        <is>
          <t>Kotak Mahindra Mutual Fund</t>
        </is>
      </c>
      <c r="D122" s="93" t="inlineStr">
        <is>
          <t>G-SEC</t>
        </is>
      </c>
      <c r="E122" s="94" t="n">
        <v>0.54</v>
      </c>
      <c r="F122" s="94" t="n">
        <v>3.66</v>
      </c>
      <c r="G122" s="94" t="n">
        <v>3.15</v>
      </c>
      <c r="H122" s="94" t="n">
        <v>5.51</v>
      </c>
      <c r="I122" s="94" t="n">
        <v>7.196082017954364</v>
      </c>
      <c r="J122" s="94" t="n">
        <v>0</v>
      </c>
      <c r="K122" s="17" t="n">
        <v>57</v>
      </c>
      <c r="L122" s="18" t="n">
        <v>0</v>
      </c>
      <c r="M122" s="19" t="n">
        <v>31.4</v>
      </c>
      <c r="N122" s="95" t="inlineStr">
        <is>
          <t>➡️ Neutral</t>
        </is>
      </c>
      <c r="O122" s="95" t="inlineStr">
        <is>
          <t>⏳ New Fund</t>
        </is>
      </c>
      <c r="P122" s="95" t="inlineStr">
        <is>
          <t>⏳ New Fund</t>
        </is>
      </c>
      <c r="Q122" s="96" t="inlineStr">
        <is>
          <t>MOMENTUM_ONLY</t>
        </is>
      </c>
    </row>
    <row r="123" ht="16" customHeight="1">
      <c r="A123" s="92" t="n">
        <v>119</v>
      </c>
      <c r="B123" s="93" t="inlineStr">
        <is>
          <t>SBI Nifty India Consumption Index Fund- Regular Plan- Growth</t>
        </is>
      </c>
      <c r="C123" s="93" t="inlineStr">
        <is>
          <t>SBI Mutual Fund</t>
        </is>
      </c>
      <c r="D123" s="93" t="inlineStr">
        <is>
          <t>Index Fund</t>
        </is>
      </c>
      <c r="E123" s="94" t="n">
        <v>2.77</v>
      </c>
      <c r="F123" s="94" t="n">
        <v>6.46</v>
      </c>
      <c r="G123" s="94" t="n">
        <v>0.9399999999999999</v>
      </c>
      <c r="H123" s="94" t="n">
        <v>1.24</v>
      </c>
      <c r="I123" s="94" t="n">
        <v>0</v>
      </c>
      <c r="J123" s="94" t="n">
        <v>0</v>
      </c>
      <c r="K123" s="17" t="n">
        <v>57</v>
      </c>
      <c r="L123" s="18" t="n">
        <v>0</v>
      </c>
      <c r="M123" s="19" t="n">
        <v>31.4</v>
      </c>
      <c r="N123" s="95" t="inlineStr">
        <is>
          <t>➡️ Neutral</t>
        </is>
      </c>
      <c r="O123" s="95" t="inlineStr">
        <is>
          <t>⏳ New Fund</t>
        </is>
      </c>
      <c r="P123" s="95" t="inlineStr">
        <is>
          <t>⏳ New Fund</t>
        </is>
      </c>
      <c r="Q123" s="96" t="inlineStr">
        <is>
          <t>MOMENTUM_ONLY</t>
        </is>
      </c>
    </row>
    <row r="124" ht="16" customHeight="1">
      <c r="A124" s="92" t="n">
        <v>120</v>
      </c>
      <c r="B124" s="93" t="inlineStr">
        <is>
          <t>HDFC NIFTY Reality Index Fund - Regular Plan</t>
        </is>
      </c>
      <c r="C124" s="93" t="inlineStr">
        <is>
          <t>HDFC Mutual Fund</t>
        </is>
      </c>
      <c r="D124" s="93" t="inlineStr">
        <is>
          <t>Index Fund</t>
        </is>
      </c>
      <c r="E124" s="97" t="n">
        <v>-2.18</v>
      </c>
      <c r="F124" s="94" t="n">
        <v>17.64</v>
      </c>
      <c r="G124" s="94" t="n">
        <v>6.64</v>
      </c>
      <c r="H124" s="94" t="n">
        <v>1.46</v>
      </c>
      <c r="I124" s="97" t="n">
        <v>-8.016305792819999</v>
      </c>
      <c r="J124" s="94" t="n">
        <v>0</v>
      </c>
      <c r="K124" s="17" t="n">
        <v>57</v>
      </c>
      <c r="L124" s="18" t="n">
        <v>0</v>
      </c>
      <c r="M124" s="19" t="n">
        <v>31.3</v>
      </c>
      <c r="N124" s="95" t="inlineStr">
        <is>
          <t>➡️ Neutral</t>
        </is>
      </c>
      <c r="O124" s="95" t="inlineStr">
        <is>
          <t>⏳ New Fund</t>
        </is>
      </c>
      <c r="P124" s="95" t="inlineStr">
        <is>
          <t>⏳ New Fund</t>
        </is>
      </c>
      <c r="Q124" s="96" t="inlineStr">
        <is>
          <t>MOMENTUM_ONLY</t>
        </is>
      </c>
    </row>
    <row r="125" ht="16" customHeight="1">
      <c r="A125" s="92" t="n">
        <v>121</v>
      </c>
      <c r="B125" s="93" t="inlineStr">
        <is>
          <t>Edelweiss CRISIL IBX AAA Financial Services - Jan 2028 Index Fund - Regular - Growth</t>
        </is>
      </c>
      <c r="C125" s="93" t="inlineStr">
        <is>
          <t>Edelweiss Mutual Fund</t>
        </is>
      </c>
      <c r="D125" s="93" t="inlineStr">
        <is>
          <t>Banking/Financial</t>
        </is>
      </c>
      <c r="E125" s="94" t="n">
        <v>0.6</v>
      </c>
      <c r="F125" s="94" t="n">
        <v>2.22</v>
      </c>
      <c r="G125" s="94" t="n">
        <v>2.9</v>
      </c>
      <c r="H125" s="94" t="n">
        <v>6.09</v>
      </c>
      <c r="I125" s="94" t="n">
        <v>0</v>
      </c>
      <c r="J125" s="94" t="n">
        <v>0</v>
      </c>
      <c r="K125" s="17" t="n">
        <v>56.8</v>
      </c>
      <c r="L125" s="18" t="n">
        <v>0</v>
      </c>
      <c r="M125" s="19" t="n">
        <v>31.3</v>
      </c>
      <c r="N125" s="95" t="inlineStr">
        <is>
          <t>➡️ Neutral</t>
        </is>
      </c>
      <c r="O125" s="95" t="inlineStr">
        <is>
          <t>⏳ New Fund</t>
        </is>
      </c>
      <c r="P125" s="95" t="inlineStr">
        <is>
          <t>⏳ New Fund</t>
        </is>
      </c>
      <c r="Q125" s="96" t="inlineStr">
        <is>
          <t>MOMENTUM_ONLY</t>
        </is>
      </c>
    </row>
    <row r="126" ht="16" customHeight="1">
      <c r="A126" s="92" t="n">
        <v>122</v>
      </c>
      <c r="B126" s="93" t="inlineStr">
        <is>
          <t>Nippon India CRISIL - IBX AAA Financial Services - Jan 2028 Index Fund - Regular Plan - Growth Option</t>
        </is>
      </c>
      <c r="C126" s="93" t="inlineStr">
        <is>
          <t>Nippon India Mutual Fund</t>
        </is>
      </c>
      <c r="D126" s="93" t="inlineStr">
        <is>
          <t>Banking/Financial</t>
        </is>
      </c>
      <c r="E126" s="94" t="n">
        <v>0.6</v>
      </c>
      <c r="F126" s="94" t="n">
        <v>2.27</v>
      </c>
      <c r="G126" s="94" t="n">
        <v>2.91</v>
      </c>
      <c r="H126" s="94" t="n">
        <v>5.97</v>
      </c>
      <c r="I126" s="94" t="n">
        <v>0</v>
      </c>
      <c r="J126" s="94" t="n">
        <v>0</v>
      </c>
      <c r="K126" s="17" t="n">
        <v>56.6</v>
      </c>
      <c r="L126" s="18" t="n">
        <v>0</v>
      </c>
      <c r="M126" s="19" t="n">
        <v>31.1</v>
      </c>
      <c r="N126" s="95" t="inlineStr">
        <is>
          <t>➡️ Neutral</t>
        </is>
      </c>
      <c r="O126" s="95" t="inlineStr">
        <is>
          <t>⏳ New Fund</t>
        </is>
      </c>
      <c r="P126" s="95" t="inlineStr">
        <is>
          <t>⏳ New Fund</t>
        </is>
      </c>
      <c r="Q126" s="96" t="inlineStr">
        <is>
          <t>MOMENTUM_ONLY</t>
        </is>
      </c>
    </row>
    <row r="127" ht="16" customHeight="1">
      <c r="A127" s="92" t="n">
        <v>123</v>
      </c>
      <c r="B127" s="93" t="inlineStr">
        <is>
          <t>Tata Nifty Realty Index Fund - Regular Plan - Growth</t>
        </is>
      </c>
      <c r="C127" s="93" t="inlineStr">
        <is>
          <t>Tata Mutual Fund</t>
        </is>
      </c>
      <c r="D127" s="93" t="inlineStr">
        <is>
          <t>Index Fund</t>
        </is>
      </c>
      <c r="E127" s="97" t="n">
        <v>-2.21</v>
      </c>
      <c r="F127" s="94" t="n">
        <v>17.58</v>
      </c>
      <c r="G127" s="94" t="n">
        <v>6.49</v>
      </c>
      <c r="H127" s="94" t="n">
        <v>1.52</v>
      </c>
      <c r="I127" s="97" t="n">
        <v>-8.408515679676864</v>
      </c>
      <c r="J127" s="94" t="n">
        <v>0</v>
      </c>
      <c r="K127" s="17" t="n">
        <v>56.6</v>
      </c>
      <c r="L127" s="18" t="n">
        <v>0</v>
      </c>
      <c r="M127" s="19" t="n">
        <v>31.1</v>
      </c>
      <c r="N127" s="95" t="inlineStr">
        <is>
          <t>➡️ Neutral</t>
        </is>
      </c>
      <c r="O127" s="95" t="inlineStr">
        <is>
          <t>⏳ New Fund</t>
        </is>
      </c>
      <c r="P127" s="95" t="inlineStr">
        <is>
          <t>⏳ New Fund</t>
        </is>
      </c>
      <c r="Q127" s="96" t="inlineStr">
        <is>
          <t>MOMENTUM_ONLY</t>
        </is>
      </c>
    </row>
    <row r="128" ht="16" customHeight="1">
      <c r="A128" s="92" t="n">
        <v>124</v>
      </c>
      <c r="B128" s="93" t="inlineStr">
        <is>
          <t>Tata BSE Select Business Groups Index Fund - Regular Growth</t>
        </is>
      </c>
      <c r="C128" s="93" t="inlineStr">
        <is>
          <t>Tata Mutual Fund</t>
        </is>
      </c>
      <c r="D128" s="93" t="inlineStr">
        <is>
          <t>Index Fund</t>
        </is>
      </c>
      <c r="E128" s="94" t="n">
        <v>1.8</v>
      </c>
      <c r="F128" s="94" t="n">
        <v>2.89</v>
      </c>
      <c r="G128" s="97" t="n">
        <v>-0.72</v>
      </c>
      <c r="H128" s="94" t="n">
        <v>6.88</v>
      </c>
      <c r="I128" s="94" t="n">
        <v>0</v>
      </c>
      <c r="J128" s="94" t="n">
        <v>0</v>
      </c>
      <c r="K128" s="17" t="n">
        <v>56.6</v>
      </c>
      <c r="L128" s="18" t="n">
        <v>0</v>
      </c>
      <c r="M128" s="19" t="n">
        <v>31.1</v>
      </c>
      <c r="N128" s="95" t="inlineStr">
        <is>
          <t>➡️ Neutral</t>
        </is>
      </c>
      <c r="O128" s="95" t="inlineStr">
        <is>
          <t>⏳ New Fund</t>
        </is>
      </c>
      <c r="P128" s="95" t="inlineStr">
        <is>
          <t>⏳ New Fund</t>
        </is>
      </c>
      <c r="Q128" s="96" t="inlineStr">
        <is>
          <t>MOMENTUM_ONLY</t>
        </is>
      </c>
    </row>
    <row r="129" ht="16" customHeight="1">
      <c r="A129" s="92" t="n">
        <v>125</v>
      </c>
      <c r="B129" s="93" t="inlineStr">
        <is>
          <t>Motilal Oswal Nifty Capital Market Index Fund - Regular Plan - Growth</t>
        </is>
      </c>
      <c r="C129" s="93" t="inlineStr">
        <is>
          <t>Motilal Oswal Mutual Fund</t>
        </is>
      </c>
      <c r="D129" s="93" t="inlineStr">
        <is>
          <t>Index Fund</t>
        </is>
      </c>
      <c r="E129" s="97" t="n">
        <v>-1.34</v>
      </c>
      <c r="F129" s="97" t="n">
        <v>-4.51</v>
      </c>
      <c r="G129" s="94" t="n">
        <v>11.62</v>
      </c>
      <c r="H129" s="94" t="n">
        <v>20.05</v>
      </c>
      <c r="I129" s="94" t="n">
        <v>0</v>
      </c>
      <c r="J129" s="94" t="n">
        <v>0</v>
      </c>
      <c r="K129" s="17" t="n">
        <v>56.5</v>
      </c>
      <c r="L129" s="18" t="n">
        <v>0</v>
      </c>
      <c r="M129" s="19" t="n">
        <v>31.1</v>
      </c>
      <c r="N129" s="95" t="inlineStr">
        <is>
          <t>➡️ Neutral</t>
        </is>
      </c>
      <c r="O129" s="95" t="inlineStr">
        <is>
          <t>⏳ New Fund</t>
        </is>
      </c>
      <c r="P129" s="95" t="inlineStr">
        <is>
          <t>⏳ New Fund</t>
        </is>
      </c>
      <c r="Q129" s="96" t="inlineStr">
        <is>
          <t>MOMENTUM_ONLY</t>
        </is>
      </c>
    </row>
    <row r="130" ht="16" customHeight="1">
      <c r="A130" s="92" t="n">
        <v>126</v>
      </c>
      <c r="B130" s="93" t="inlineStr">
        <is>
          <t>Nippon India Nifty Realty Index Fund-Regular Plan- Growth Option</t>
        </is>
      </c>
      <c r="C130" s="93" t="inlineStr">
        <is>
          <t>Nippon India Mutual Fund</t>
        </is>
      </c>
      <c r="D130" s="93" t="inlineStr">
        <is>
          <t>Index Fund</t>
        </is>
      </c>
      <c r="E130" s="97" t="n">
        <v>-2.26</v>
      </c>
      <c r="F130" s="94" t="n">
        <v>17.55</v>
      </c>
      <c r="G130" s="94" t="n">
        <v>6.6</v>
      </c>
      <c r="H130" s="94" t="n">
        <v>1.4</v>
      </c>
      <c r="I130" s="94" t="n">
        <v>0</v>
      </c>
      <c r="J130" s="94" t="n">
        <v>0</v>
      </c>
      <c r="K130" s="17" t="n">
        <v>56.3</v>
      </c>
      <c r="L130" s="18" t="n">
        <v>0</v>
      </c>
      <c r="M130" s="19" t="n">
        <v>31</v>
      </c>
      <c r="N130" s="95" t="inlineStr">
        <is>
          <t>➡️ Neutral</t>
        </is>
      </c>
      <c r="O130" s="95" t="inlineStr">
        <is>
          <t>⏳ New Fund</t>
        </is>
      </c>
      <c r="P130" s="95" t="inlineStr">
        <is>
          <t>⏳ New Fund</t>
        </is>
      </c>
      <c r="Q130" s="96" t="inlineStr">
        <is>
          <t>MOMENTUM_ONLY</t>
        </is>
      </c>
    </row>
    <row r="131" ht="16" customHeight="1">
      <c r="A131" s="92" t="n">
        <v>127</v>
      </c>
      <c r="B131" s="93" t="inlineStr">
        <is>
          <t>Tata Nifty Capital Markets Index Fund - Regular Plan Growth Option</t>
        </is>
      </c>
      <c r="C131" s="93" t="inlineStr">
        <is>
          <t>Tata Mutual Fund</t>
        </is>
      </c>
      <c r="D131" s="93" t="inlineStr">
        <is>
          <t>Index Fund</t>
        </is>
      </c>
      <c r="E131" s="97" t="n">
        <v>-1.35</v>
      </c>
      <c r="F131" s="97" t="n">
        <v>-4.58</v>
      </c>
      <c r="G131" s="94" t="n">
        <v>11.53</v>
      </c>
      <c r="H131" s="94" t="n">
        <v>19.77</v>
      </c>
      <c r="I131" s="94" t="n">
        <v>0</v>
      </c>
      <c r="J131" s="94" t="n">
        <v>0</v>
      </c>
      <c r="K131" s="17" t="n">
        <v>56.2</v>
      </c>
      <c r="L131" s="18" t="n">
        <v>0</v>
      </c>
      <c r="M131" s="19" t="n">
        <v>30.9</v>
      </c>
      <c r="N131" s="95" t="inlineStr">
        <is>
          <t>➡️ Neutral</t>
        </is>
      </c>
      <c r="O131" s="95" t="inlineStr">
        <is>
          <t>⏳ New Fund</t>
        </is>
      </c>
      <c r="P131" s="95" t="inlineStr">
        <is>
          <t>⏳ New Fund</t>
        </is>
      </c>
      <c r="Q131" s="96" t="inlineStr">
        <is>
          <t>MOMENTUM_ONLY</t>
        </is>
      </c>
    </row>
    <row r="132" ht="16" customHeight="1">
      <c r="A132" s="28" t="n">
        <v>128</v>
      </c>
      <c r="B132" s="29" t="inlineStr">
        <is>
          <t>Nippon India Nifty Alpha Low Volatility 30 Index Fund - Regular Plan - Growth Option</t>
        </is>
      </c>
      <c r="C132" s="29" t="inlineStr">
        <is>
          <t>Nippon India Mutual Fund</t>
        </is>
      </c>
      <c r="D132" s="29" t="inlineStr">
        <is>
          <t>Index Fund</t>
        </is>
      </c>
      <c r="E132" s="30" t="n">
        <v>1.92</v>
      </c>
      <c r="F132" s="30" t="n">
        <v>6.35</v>
      </c>
      <c r="G132" s="91" t="n">
        <v>-1.15</v>
      </c>
      <c r="H132" s="30" t="n">
        <v>3.78</v>
      </c>
      <c r="I132" s="91" t="n">
        <v>-4.203340350511175</v>
      </c>
      <c r="J132" s="30" t="n">
        <v>40.51</v>
      </c>
      <c r="K132" s="17" t="n">
        <v>55.9</v>
      </c>
      <c r="L132" s="18" t="n">
        <v>0</v>
      </c>
      <c r="M132" s="19" t="n">
        <v>30.8</v>
      </c>
      <c r="N132" s="31" t="inlineStr">
        <is>
          <t>➡️ Neutral</t>
        </is>
      </c>
      <c r="O132" s="31" t="inlineStr">
        <is>
          <t>🔴 Not Qualified</t>
        </is>
      </c>
      <c r="P132" s="31" t="inlineStr">
        <is>
          <t>🔴 Avoid</t>
        </is>
      </c>
      <c r="Q132" s="83" t="inlineStr">
        <is>
          <t>FULL</t>
        </is>
      </c>
    </row>
    <row r="133" ht="16" customHeight="1">
      <c r="A133" s="92" t="n">
        <v>129</v>
      </c>
      <c r="B133" s="93" t="inlineStr">
        <is>
          <t>Mirae Asset Nifty LargeMidcap 250 Index Fund - Regular Plan - Growth</t>
        </is>
      </c>
      <c r="C133" s="93" t="inlineStr">
        <is>
          <t>Mirae Asset Mutual Fund</t>
        </is>
      </c>
      <c r="D133" s="93" t="inlineStr">
        <is>
          <t>Index Fund</t>
        </is>
      </c>
      <c r="E133" s="94" t="n">
        <v>0.9399999999999999</v>
      </c>
      <c r="F133" s="94" t="n">
        <v>4.09</v>
      </c>
      <c r="G133" s="94" t="n">
        <v>0.58</v>
      </c>
      <c r="H133" s="94" t="n">
        <v>5.57</v>
      </c>
      <c r="I133" s="94" t="n">
        <v>0</v>
      </c>
      <c r="J133" s="94" t="n">
        <v>0</v>
      </c>
      <c r="K133" s="17" t="n">
        <v>55.8</v>
      </c>
      <c r="L133" s="18" t="n">
        <v>0</v>
      </c>
      <c r="M133" s="19" t="n">
        <v>30.7</v>
      </c>
      <c r="N133" s="95" t="inlineStr">
        <is>
          <t>➡️ Neutral</t>
        </is>
      </c>
      <c r="O133" s="95" t="inlineStr">
        <is>
          <t>⏳ New Fund</t>
        </is>
      </c>
      <c r="P133" s="95" t="inlineStr">
        <is>
          <t>⏳ New Fund</t>
        </is>
      </c>
      <c r="Q133" s="96" t="inlineStr">
        <is>
          <t>MOMENTUM_ONLY</t>
        </is>
      </c>
    </row>
    <row r="134" ht="16" customHeight="1">
      <c r="A134" s="92" t="n">
        <v>130</v>
      </c>
      <c r="B134" s="93" t="inlineStr">
        <is>
          <t>Kotak Nifty AAA Bond Financial Services Mar 2028 Index Fund - Regular Plan - Growth</t>
        </is>
      </c>
      <c r="C134" s="93" t="inlineStr">
        <is>
          <t>Kotak Mahindra Mutual Fund</t>
        </is>
      </c>
      <c r="D134" s="93" t="inlineStr">
        <is>
          <t>Banking/Financial</t>
        </is>
      </c>
      <c r="E134" s="94" t="n">
        <v>0.62</v>
      </c>
      <c r="F134" s="94" t="n">
        <v>2.31</v>
      </c>
      <c r="G134" s="94" t="n">
        <v>2.81</v>
      </c>
      <c r="H134" s="94" t="n">
        <v>5.83</v>
      </c>
      <c r="I134" s="94" t="n">
        <v>0</v>
      </c>
      <c r="J134" s="94" t="n">
        <v>0</v>
      </c>
      <c r="K134" s="17" t="n">
        <v>55.8</v>
      </c>
      <c r="L134" s="18" t="n">
        <v>0</v>
      </c>
      <c r="M134" s="19" t="n">
        <v>30.7</v>
      </c>
      <c r="N134" s="95" t="inlineStr">
        <is>
          <t>➡️ Neutral</t>
        </is>
      </c>
      <c r="O134" s="95" t="inlineStr">
        <is>
          <t>⏳ New Fund</t>
        </is>
      </c>
      <c r="P134" s="95" t="inlineStr">
        <is>
          <t>⏳ New Fund</t>
        </is>
      </c>
      <c r="Q134" s="96" t="inlineStr">
        <is>
          <t>MOMENTUM_ONLY</t>
        </is>
      </c>
    </row>
    <row r="135" ht="16" customHeight="1">
      <c r="A135" s="13" t="n">
        <v>131</v>
      </c>
      <c r="B135" s="14" t="inlineStr">
        <is>
          <t>ICICI Prudential Nifty PSU Bond Plus SDL Sep 2027 40:60 Index Fund - Growth</t>
        </is>
      </c>
      <c r="C135" s="14" t="inlineStr">
        <is>
          <t>ICICI Prudential Mutual Fund</t>
        </is>
      </c>
      <c r="D135" s="14" t="inlineStr">
        <is>
          <t>Index Fund</t>
        </is>
      </c>
      <c r="E135" s="15" t="n">
        <v>0.61</v>
      </c>
      <c r="F135" s="15" t="n">
        <v>2.11</v>
      </c>
      <c r="G135" s="15" t="n">
        <v>2.92</v>
      </c>
      <c r="H135" s="15" t="n">
        <v>5.85</v>
      </c>
      <c r="I135" s="15" t="n">
        <v>7.163426596950506</v>
      </c>
      <c r="J135" s="15" t="n">
        <v>23.89</v>
      </c>
      <c r="K135" s="17" t="n">
        <v>55.7</v>
      </c>
      <c r="L135" s="18" t="n">
        <v>0</v>
      </c>
      <c r="M135" s="19" t="n">
        <v>30.6</v>
      </c>
      <c r="N135" s="20" t="inlineStr">
        <is>
          <t>➡️ Neutral</t>
        </is>
      </c>
      <c r="O135" s="20" t="inlineStr">
        <is>
          <t>🔴 Not Qualified</t>
        </is>
      </c>
      <c r="P135" s="20" t="inlineStr">
        <is>
          <t>🔴 Avoid</t>
        </is>
      </c>
      <c r="Q135" s="83" t="inlineStr">
        <is>
          <t>FULL</t>
        </is>
      </c>
    </row>
    <row r="136" ht="16" customHeight="1">
      <c r="A136" s="28" t="n">
        <v>132</v>
      </c>
      <c r="B136" s="29" t="inlineStr">
        <is>
          <t>Nippon India Nifty AAA CPSE Bond Plus SDL - Apr 2027 Maturity 60:40 Index Fund - Regular Plan - Growth Option</t>
        </is>
      </c>
      <c r="C136" s="29" t="inlineStr">
        <is>
          <t>Nippon India Mutual Fund</t>
        </is>
      </c>
      <c r="D136" s="29" t="inlineStr">
        <is>
          <t>Index Fund</t>
        </is>
      </c>
      <c r="E136" s="30" t="n">
        <v>0.57</v>
      </c>
      <c r="F136" s="30" t="n">
        <v>1.79</v>
      </c>
      <c r="G136" s="30" t="n">
        <v>3.12</v>
      </c>
      <c r="H136" s="30" t="n">
        <v>6.09</v>
      </c>
      <c r="I136" s="30" t="n">
        <v>7.149428369917121</v>
      </c>
      <c r="J136" s="30" t="n">
        <v>23.59</v>
      </c>
      <c r="K136" s="17" t="n">
        <v>55.7</v>
      </c>
      <c r="L136" s="18" t="n">
        <v>0</v>
      </c>
      <c r="M136" s="19" t="n">
        <v>30.6</v>
      </c>
      <c r="N136" s="31" t="inlineStr">
        <is>
          <t>➡️ Neutral</t>
        </is>
      </c>
      <c r="O136" s="31" t="inlineStr">
        <is>
          <t>🔴 Not Qualified</t>
        </is>
      </c>
      <c r="P136" s="31" t="inlineStr">
        <is>
          <t>🔴 Avoid</t>
        </is>
      </c>
      <c r="Q136" s="83" t="inlineStr">
        <is>
          <t>FULL</t>
        </is>
      </c>
    </row>
    <row r="137" ht="16" customHeight="1">
      <c r="A137" s="13" t="n">
        <v>133</v>
      </c>
      <c r="B137" s="14" t="inlineStr">
        <is>
          <t>BANDHAN CRISIL IBX 90:10 SDL PLUS GILT SEP27 INDEX FUND - REGULAR GROWTH</t>
        </is>
      </c>
      <c r="C137" s="14" t="inlineStr">
        <is>
          <t>Bandhan Mutual Fund</t>
        </is>
      </c>
      <c r="D137" s="14" t="inlineStr">
        <is>
          <t>GILT</t>
        </is>
      </c>
      <c r="E137" s="15" t="n">
        <v>0.62</v>
      </c>
      <c r="F137" s="15" t="n">
        <v>2.1</v>
      </c>
      <c r="G137" s="15" t="n">
        <v>2.9</v>
      </c>
      <c r="H137" s="15" t="n">
        <v>5.92</v>
      </c>
      <c r="I137" s="15" t="n">
        <v>7.116758726167594</v>
      </c>
      <c r="J137" s="15" t="n">
        <v>24.09</v>
      </c>
      <c r="K137" s="17" t="n">
        <v>55.6</v>
      </c>
      <c r="L137" s="18" t="n">
        <v>0</v>
      </c>
      <c r="M137" s="19" t="n">
        <v>30.6</v>
      </c>
      <c r="N137" s="20" t="inlineStr">
        <is>
          <t>➡️ Neutral</t>
        </is>
      </c>
      <c r="O137" s="20" t="inlineStr">
        <is>
          <t>🔴 Not Qualified</t>
        </is>
      </c>
      <c r="P137" s="20" t="inlineStr">
        <is>
          <t>🔴 Avoid</t>
        </is>
      </c>
      <c r="Q137" s="83" t="inlineStr">
        <is>
          <t>FULL</t>
        </is>
      </c>
    </row>
    <row r="138" ht="16" customHeight="1">
      <c r="A138" s="92" t="n">
        <v>134</v>
      </c>
      <c r="B138" s="93" t="inlineStr">
        <is>
          <t>Axis CRISIL-IBX AAA Bond Financial Services - Sep 2027 Index Fund - Regular Plan - Growth Option</t>
        </is>
      </c>
      <c r="C138" s="93" t="inlineStr">
        <is>
          <t>Axis Mutual Fund</t>
        </is>
      </c>
      <c r="D138" s="93" t="inlineStr">
        <is>
          <t>Banking/Financial</t>
        </is>
      </c>
      <c r="E138" s="94" t="n">
        <v>0.57</v>
      </c>
      <c r="F138" s="94" t="n">
        <v>2.09</v>
      </c>
      <c r="G138" s="94" t="n">
        <v>2.97</v>
      </c>
      <c r="H138" s="94" t="n">
        <v>6</v>
      </c>
      <c r="I138" s="94" t="n">
        <v>0</v>
      </c>
      <c r="J138" s="94" t="n">
        <v>0</v>
      </c>
      <c r="K138" s="17" t="n">
        <v>55.6</v>
      </c>
      <c r="L138" s="18" t="n">
        <v>0</v>
      </c>
      <c r="M138" s="19" t="n">
        <v>30.6</v>
      </c>
      <c r="N138" s="95" t="inlineStr">
        <is>
          <t>➡️ Neutral</t>
        </is>
      </c>
      <c r="O138" s="95" t="inlineStr">
        <is>
          <t>⏳ New Fund</t>
        </is>
      </c>
      <c r="P138" s="95" t="inlineStr">
        <is>
          <t>⏳ New Fund</t>
        </is>
      </c>
      <c r="Q138" s="96" t="inlineStr">
        <is>
          <t>MOMENTUM_ONLY</t>
        </is>
      </c>
    </row>
    <row r="139" ht="16" customHeight="1">
      <c r="A139" s="92" t="n">
        <v>135</v>
      </c>
      <c r="B139" s="93" t="inlineStr">
        <is>
          <t>HDFC Nifty100 Quality 30 Index Fund - Regular Plan</t>
        </is>
      </c>
      <c r="C139" s="93" t="inlineStr">
        <is>
          <t>HDFC Mutual Fund</t>
        </is>
      </c>
      <c r="D139" s="93" t="inlineStr">
        <is>
          <t>Index Fund</t>
        </is>
      </c>
      <c r="E139" s="94" t="n">
        <v>3.03</v>
      </c>
      <c r="F139" s="94" t="n">
        <v>3.44</v>
      </c>
      <c r="G139" s="94" t="n">
        <v>0.83</v>
      </c>
      <c r="H139" s="94" t="n">
        <v>4.36</v>
      </c>
      <c r="I139" s="94" t="n">
        <v>0</v>
      </c>
      <c r="J139" s="94" t="n">
        <v>0</v>
      </c>
      <c r="K139" s="17" t="n">
        <v>55.6</v>
      </c>
      <c r="L139" s="18" t="n">
        <v>0</v>
      </c>
      <c r="M139" s="19" t="n">
        <v>30.6</v>
      </c>
      <c r="N139" s="95" t="inlineStr">
        <is>
          <t>➡️ Neutral</t>
        </is>
      </c>
      <c r="O139" s="95" t="inlineStr">
        <is>
          <t>⏳ New Fund</t>
        </is>
      </c>
      <c r="P139" s="95" t="inlineStr">
        <is>
          <t>⏳ New Fund</t>
        </is>
      </c>
      <c r="Q139" s="96" t="inlineStr">
        <is>
          <t>MOMENTUM_ONLY</t>
        </is>
      </c>
    </row>
    <row r="140" ht="16" customHeight="1">
      <c r="A140" s="28" t="n">
        <v>136</v>
      </c>
      <c r="B140" s="29" t="inlineStr">
        <is>
          <t>Aditya Birla Sun Life CRISIL IBX SDL Jun 2032 INDEX FUND - Regular Growth</t>
        </is>
      </c>
      <c r="C140" s="29" t="inlineStr">
        <is>
          <t>Aditya Birla Sun Life Mutual Fund</t>
        </is>
      </c>
      <c r="D140" s="29" t="inlineStr">
        <is>
          <t>Index Fund</t>
        </is>
      </c>
      <c r="E140" s="30" t="n">
        <v>0.5600000000000001</v>
      </c>
      <c r="F140" s="30" t="n">
        <v>3.96</v>
      </c>
      <c r="G140" s="30" t="n">
        <v>3</v>
      </c>
      <c r="H140" s="30" t="n">
        <v>4.75</v>
      </c>
      <c r="I140" s="30" t="n">
        <v>6.939235082358808</v>
      </c>
      <c r="J140" s="30" t="n">
        <v>24.03</v>
      </c>
      <c r="K140" s="17" t="n">
        <v>55.3</v>
      </c>
      <c r="L140" s="18" t="n">
        <v>0</v>
      </c>
      <c r="M140" s="19" t="n">
        <v>30.4</v>
      </c>
      <c r="N140" s="31" t="inlineStr">
        <is>
          <t>➡️ Neutral</t>
        </is>
      </c>
      <c r="O140" s="31" t="inlineStr">
        <is>
          <t>🔴 Not Qualified</t>
        </is>
      </c>
      <c r="P140" s="31" t="inlineStr">
        <is>
          <t>🔴 Avoid</t>
        </is>
      </c>
      <c r="Q140" s="83" t="inlineStr">
        <is>
          <t>FULL</t>
        </is>
      </c>
    </row>
    <row r="141" ht="16" customHeight="1">
      <c r="A141" s="13" t="n">
        <v>137</v>
      </c>
      <c r="B141" s="14" t="inlineStr">
        <is>
          <t>SBI CRISIL IBX SDL Index - September 2027 Fund - Regular Plan - Growth</t>
        </is>
      </c>
      <c r="C141" s="14" t="inlineStr">
        <is>
          <t>SBI Mutual Fund</t>
        </is>
      </c>
      <c r="D141" s="14" t="inlineStr">
        <is>
          <t>Index Fund</t>
        </is>
      </c>
      <c r="E141" s="15" t="n">
        <v>0.6</v>
      </c>
      <c r="F141" s="15" t="n">
        <v>2.06</v>
      </c>
      <c r="G141" s="15" t="n">
        <v>2.91</v>
      </c>
      <c r="H141" s="15" t="n">
        <v>5.93</v>
      </c>
      <c r="I141" s="15" t="n">
        <v>7.135428313886893</v>
      </c>
      <c r="J141" s="15" t="n">
        <v>24.15</v>
      </c>
      <c r="K141" s="17" t="n">
        <v>55.3</v>
      </c>
      <c r="L141" s="18" t="n">
        <v>0</v>
      </c>
      <c r="M141" s="19" t="n">
        <v>30.4</v>
      </c>
      <c r="N141" s="20" t="inlineStr">
        <is>
          <t>➡️ Neutral</t>
        </is>
      </c>
      <c r="O141" s="20" t="inlineStr">
        <is>
          <t>🔴 Not Qualified</t>
        </is>
      </c>
      <c r="P141" s="20" t="inlineStr">
        <is>
          <t>🔴 Avoid</t>
        </is>
      </c>
      <c r="Q141" s="83" t="inlineStr">
        <is>
          <t>FULL</t>
        </is>
      </c>
    </row>
    <row r="142" ht="16" customHeight="1">
      <c r="A142" s="28" t="n">
        <v>138</v>
      </c>
      <c r="B142" s="29" t="inlineStr">
        <is>
          <t>Edelweiss NIFTY Large Midcap 250 Index Fund - Regular Plan Growth</t>
        </is>
      </c>
      <c r="C142" s="29" t="inlineStr">
        <is>
          <t>Edelweiss Mutual Fund</t>
        </is>
      </c>
      <c r="D142" s="29" t="inlineStr">
        <is>
          <t>Index Fund</t>
        </is>
      </c>
      <c r="E142" s="30" t="n">
        <v>0.95</v>
      </c>
      <c r="F142" s="30" t="n">
        <v>4.06</v>
      </c>
      <c r="G142" s="30" t="n">
        <v>0.52</v>
      </c>
      <c r="H142" s="30" t="n">
        <v>5.54</v>
      </c>
      <c r="I142" s="30" t="n">
        <v>2.097992144801752</v>
      </c>
      <c r="J142" s="30" t="n">
        <v>47.24</v>
      </c>
      <c r="K142" s="17" t="n">
        <v>55.1</v>
      </c>
      <c r="L142" s="18" t="n">
        <v>0</v>
      </c>
      <c r="M142" s="19" t="n">
        <v>30.3</v>
      </c>
      <c r="N142" s="31" t="inlineStr">
        <is>
          <t>➡️ Neutral</t>
        </is>
      </c>
      <c r="O142" s="31" t="inlineStr">
        <is>
          <t>🔴 Not Qualified</t>
        </is>
      </c>
      <c r="P142" s="31" t="inlineStr">
        <is>
          <t>🔴 Avoid</t>
        </is>
      </c>
      <c r="Q142" s="83" t="inlineStr">
        <is>
          <t>FULL</t>
        </is>
      </c>
    </row>
    <row r="143" ht="16" customHeight="1">
      <c r="A143" s="13" t="n">
        <v>139</v>
      </c>
      <c r="B143" s="14" t="inlineStr">
        <is>
          <t>HDFC Nifty G-Sec July 2031 Index Fund - Growth Option</t>
        </is>
      </c>
      <c r="C143" s="14" t="inlineStr">
        <is>
          <t>HDFC Mutual Fund</t>
        </is>
      </c>
      <c r="D143" s="14" t="inlineStr">
        <is>
          <t>G-SEC</t>
        </is>
      </c>
      <c r="E143" s="15" t="n">
        <v>0.44</v>
      </c>
      <c r="F143" s="15" t="n">
        <v>3.62</v>
      </c>
      <c r="G143" s="15" t="n">
        <v>2.92</v>
      </c>
      <c r="H143" s="15" t="n">
        <v>5.84</v>
      </c>
      <c r="I143" s="15" t="n">
        <v>7.475578621377976</v>
      </c>
      <c r="J143" s="15" t="n">
        <v>25.94</v>
      </c>
      <c r="K143" s="17" t="n">
        <v>55.1</v>
      </c>
      <c r="L143" s="18" t="n">
        <v>0</v>
      </c>
      <c r="M143" s="19" t="n">
        <v>30.3</v>
      </c>
      <c r="N143" s="20" t="inlineStr">
        <is>
          <t>➡️ Neutral</t>
        </is>
      </c>
      <c r="O143" s="20" t="inlineStr">
        <is>
          <t>🔴 Not Qualified</t>
        </is>
      </c>
      <c r="P143" s="20" t="inlineStr">
        <is>
          <t>🔴 Avoid</t>
        </is>
      </c>
      <c r="Q143" s="83" t="inlineStr">
        <is>
          <t>FULL</t>
        </is>
      </c>
    </row>
    <row r="144" ht="16" customHeight="1">
      <c r="A144" s="92" t="n">
        <v>140</v>
      </c>
      <c r="B144" s="93" t="inlineStr">
        <is>
          <t>HDFC Nifty India Consumption Index  Fund - Regular Growth Plan</t>
        </is>
      </c>
      <c r="C144" s="93" t="inlineStr">
        <is>
          <t>HDFC Mutual Fund</t>
        </is>
      </c>
      <c r="D144" s="93" t="inlineStr">
        <is>
          <t>Index Fund</t>
        </is>
      </c>
      <c r="E144" s="94" t="n">
        <v>2.76</v>
      </c>
      <c r="F144" s="94" t="n">
        <v>6.46</v>
      </c>
      <c r="G144" s="94" t="n">
        <v>0.92</v>
      </c>
      <c r="H144" s="94" t="n">
        <v>0</v>
      </c>
      <c r="I144" s="94" t="n">
        <v>0</v>
      </c>
      <c r="J144" s="94" t="n">
        <v>0</v>
      </c>
      <c r="K144" s="17" t="n">
        <v>55.1</v>
      </c>
      <c r="L144" s="18" t="n">
        <v>0</v>
      </c>
      <c r="M144" s="19" t="n">
        <v>30.3</v>
      </c>
      <c r="N144" s="95" t="inlineStr">
        <is>
          <t>➡️ Neutral</t>
        </is>
      </c>
      <c r="O144" s="95" t="inlineStr">
        <is>
          <t>⏳ New Fund</t>
        </is>
      </c>
      <c r="P144" s="95" t="inlineStr">
        <is>
          <t>⏳ New Fund</t>
        </is>
      </c>
      <c r="Q144" s="96" t="inlineStr">
        <is>
          <t>MOMENTUM_ONLY</t>
        </is>
      </c>
    </row>
    <row r="145" ht="16" customHeight="1">
      <c r="A145" s="13" t="n">
        <v>141</v>
      </c>
      <c r="B145" s="14" t="inlineStr">
        <is>
          <t>Edelweiss Nifty 100 Quality 30 Index Fund Regular Plan Growth</t>
        </is>
      </c>
      <c r="C145" s="14" t="inlineStr">
        <is>
          <t>Edelweiss Mutual Fund</t>
        </is>
      </c>
      <c r="D145" s="14" t="inlineStr">
        <is>
          <t>Index Fund</t>
        </is>
      </c>
      <c r="E145" s="15" t="n">
        <v>2.99</v>
      </c>
      <c r="F145" s="15" t="n">
        <v>3.49</v>
      </c>
      <c r="G145" s="15" t="n">
        <v>0.85</v>
      </c>
      <c r="H145" s="15" t="n">
        <v>4.31</v>
      </c>
      <c r="I145" s="16" t="n">
        <v>-1.597764253041478</v>
      </c>
      <c r="J145" s="15" t="n">
        <v>34.38</v>
      </c>
      <c r="K145" s="17" t="n">
        <v>55</v>
      </c>
      <c r="L145" s="18" t="n">
        <v>0</v>
      </c>
      <c r="M145" s="19" t="n">
        <v>30.3</v>
      </c>
      <c r="N145" s="20" t="inlineStr">
        <is>
          <t>➡️ Neutral</t>
        </is>
      </c>
      <c r="O145" s="20" t="inlineStr">
        <is>
          <t>🔴 Not Qualified</t>
        </is>
      </c>
      <c r="P145" s="20" t="inlineStr">
        <is>
          <t>🔴 Avoid</t>
        </is>
      </c>
      <c r="Q145" s="83" t="inlineStr">
        <is>
          <t>FULL</t>
        </is>
      </c>
    </row>
    <row r="146" ht="16" customHeight="1">
      <c r="A146" s="92" t="n">
        <v>142</v>
      </c>
      <c r="B146" s="93" t="inlineStr">
        <is>
          <t>UTI Nifty Alpha Low-Volatility 30 Index Fund - Regular Plan - Growth Option</t>
        </is>
      </c>
      <c r="C146" s="93" t="inlineStr">
        <is>
          <t>UTI Mutual Fund</t>
        </is>
      </c>
      <c r="D146" s="93" t="inlineStr">
        <is>
          <t>Index Fund</t>
        </is>
      </c>
      <c r="E146" s="94" t="n">
        <v>1.9</v>
      </c>
      <c r="F146" s="94" t="n">
        <v>6.31</v>
      </c>
      <c r="G146" s="97" t="n">
        <v>-1.21</v>
      </c>
      <c r="H146" s="94" t="n">
        <v>3.75</v>
      </c>
      <c r="I146" s="94" t="n">
        <v>0</v>
      </c>
      <c r="J146" s="94" t="n">
        <v>0</v>
      </c>
      <c r="K146" s="17" t="n">
        <v>55</v>
      </c>
      <c r="L146" s="18" t="n">
        <v>0</v>
      </c>
      <c r="M146" s="19" t="n">
        <v>30.2</v>
      </c>
      <c r="N146" s="95" t="inlineStr">
        <is>
          <t>➡️ Neutral</t>
        </is>
      </c>
      <c r="O146" s="95" t="inlineStr">
        <is>
          <t>⏳ New Fund</t>
        </is>
      </c>
      <c r="P146" s="95" t="inlineStr">
        <is>
          <t>⏳ New Fund</t>
        </is>
      </c>
      <c r="Q146" s="96" t="inlineStr">
        <is>
          <t>MOMENTUM_ONLY</t>
        </is>
      </c>
    </row>
    <row r="147" ht="16" customHeight="1">
      <c r="A147" s="92" t="n">
        <v>143</v>
      </c>
      <c r="B147" s="93" t="inlineStr">
        <is>
          <t>Bandhan Nifty Alpha Low Volatility 30 Index Fund - Regular Plan - Growth</t>
        </is>
      </c>
      <c r="C147" s="93" t="inlineStr">
        <is>
          <t>Bandhan Mutual Fund</t>
        </is>
      </c>
      <c r="D147" s="93" t="inlineStr">
        <is>
          <t>Index Fund</t>
        </is>
      </c>
      <c r="E147" s="94" t="n">
        <v>1.91</v>
      </c>
      <c r="F147" s="94" t="n">
        <v>6.28</v>
      </c>
      <c r="G147" s="97" t="n">
        <v>-1.31</v>
      </c>
      <c r="H147" s="94" t="n">
        <v>3.53</v>
      </c>
      <c r="I147" s="94" t="n">
        <v>0</v>
      </c>
      <c r="J147" s="94" t="n">
        <v>0</v>
      </c>
      <c r="K147" s="17" t="n">
        <v>54.4</v>
      </c>
      <c r="L147" s="18" t="n">
        <v>0</v>
      </c>
      <c r="M147" s="19" t="n">
        <v>29.9</v>
      </c>
      <c r="N147" s="95" t="inlineStr">
        <is>
          <t>➡️ Neutral</t>
        </is>
      </c>
      <c r="O147" s="95" t="inlineStr">
        <is>
          <t>⏳ New Fund</t>
        </is>
      </c>
      <c r="P147" s="95" t="inlineStr">
        <is>
          <t>⏳ New Fund</t>
        </is>
      </c>
      <c r="Q147" s="96" t="inlineStr">
        <is>
          <t>MOMENTUM_ONLY</t>
        </is>
      </c>
    </row>
    <row r="148" ht="16" customHeight="1">
      <c r="A148" s="92" t="n">
        <v>144</v>
      </c>
      <c r="B148" s="93" t="inlineStr">
        <is>
          <t>Motilal Oswal BSE 1000 Index Fund - Regular Plan - Growth</t>
        </is>
      </c>
      <c r="C148" s="93" t="inlineStr">
        <is>
          <t>Motilal Oswal Mutual Fund</t>
        </is>
      </c>
      <c r="D148" s="93" t="inlineStr">
        <is>
          <t>Index Fund</t>
        </is>
      </c>
      <c r="E148" s="94" t="n">
        <v>1</v>
      </c>
      <c r="F148" s="94" t="n">
        <v>5.29</v>
      </c>
      <c r="G148" s="94" t="n">
        <v>0.28</v>
      </c>
      <c r="H148" s="94" t="n">
        <v>3.76</v>
      </c>
      <c r="I148" s="94" t="n">
        <v>0</v>
      </c>
      <c r="J148" s="94" t="n">
        <v>0</v>
      </c>
      <c r="K148" s="17" t="n">
        <v>54.2</v>
      </c>
      <c r="L148" s="18" t="n">
        <v>0</v>
      </c>
      <c r="M148" s="19" t="n">
        <v>29.8</v>
      </c>
      <c r="N148" s="95" t="inlineStr">
        <is>
          <t>➡️ Neutral</t>
        </is>
      </c>
      <c r="O148" s="95" t="inlineStr">
        <is>
          <t>⏳ New Fund</t>
        </is>
      </c>
      <c r="P148" s="95" t="inlineStr">
        <is>
          <t>⏳ New Fund</t>
        </is>
      </c>
      <c r="Q148" s="96" t="inlineStr">
        <is>
          <t>MOMENTUM_ONLY</t>
        </is>
      </c>
    </row>
    <row r="149" ht="16" customHeight="1">
      <c r="A149" s="92" t="n">
        <v>145</v>
      </c>
      <c r="B149" s="93" t="inlineStr">
        <is>
          <t>Edelweiss Nifty Alpha Low Volatility 30 Index Fund - Regular Plan - Growth</t>
        </is>
      </c>
      <c r="C149" s="93" t="inlineStr">
        <is>
          <t>Edelweiss Mutual Fund</t>
        </is>
      </c>
      <c r="D149" s="93" t="inlineStr">
        <is>
          <t>Index Fund</t>
        </is>
      </c>
      <c r="E149" s="94" t="n">
        <v>1.9</v>
      </c>
      <c r="F149" s="94" t="n">
        <v>6.28</v>
      </c>
      <c r="G149" s="97" t="n">
        <v>-1.33</v>
      </c>
      <c r="H149" s="94" t="n">
        <v>3.52</v>
      </c>
      <c r="I149" s="97" t="n">
        <v>-4.386193465587828</v>
      </c>
      <c r="J149" s="94" t="n">
        <v>0</v>
      </c>
      <c r="K149" s="17" t="n">
        <v>54</v>
      </c>
      <c r="L149" s="18" t="n">
        <v>0</v>
      </c>
      <c r="M149" s="19" t="n">
        <v>29.7</v>
      </c>
      <c r="N149" s="95" t="inlineStr">
        <is>
          <t>➡️ Neutral</t>
        </is>
      </c>
      <c r="O149" s="95" t="inlineStr">
        <is>
          <t>⏳ New Fund</t>
        </is>
      </c>
      <c r="P149" s="95" t="inlineStr">
        <is>
          <t>⏳ New Fund</t>
        </is>
      </c>
      <c r="Q149" s="96" t="inlineStr">
        <is>
          <t>MOMENTUM_ONLY</t>
        </is>
      </c>
    </row>
    <row r="150" ht="16" customHeight="1">
      <c r="A150" s="28" t="n">
        <v>146</v>
      </c>
      <c r="B150" s="29" t="inlineStr">
        <is>
          <t>Aditya Birla Sun Life Crisil IBX 60:40 SDL+AAA PSU-Apr 2027 Index Fund-Regular Growth</t>
        </is>
      </c>
      <c r="C150" s="29" t="inlineStr">
        <is>
          <t>Aditya Birla Sun Life Mutual Fund</t>
        </is>
      </c>
      <c r="D150" s="29" t="inlineStr">
        <is>
          <t>Index Fund</t>
        </is>
      </c>
      <c r="E150" s="30" t="n">
        <v>0.52</v>
      </c>
      <c r="F150" s="30" t="n">
        <v>1.67</v>
      </c>
      <c r="G150" s="30" t="n">
        <v>2.96</v>
      </c>
      <c r="H150" s="30" t="n">
        <v>6.01</v>
      </c>
      <c r="I150" s="30" t="n">
        <v>7.079409785448476</v>
      </c>
      <c r="J150" s="30" t="n">
        <v>23.48</v>
      </c>
      <c r="K150" s="17" t="n">
        <v>53.1</v>
      </c>
      <c r="L150" s="18" t="n">
        <v>0</v>
      </c>
      <c r="M150" s="19" t="n">
        <v>29.2</v>
      </c>
      <c r="N150" s="31" t="inlineStr">
        <is>
          <t>➡️ Neutral</t>
        </is>
      </c>
      <c r="O150" s="31" t="inlineStr">
        <is>
          <t>🔴 Not Qualified</t>
        </is>
      </c>
      <c r="P150" s="31" t="inlineStr">
        <is>
          <t>🔴 Avoid</t>
        </is>
      </c>
      <c r="Q150" s="83" t="inlineStr">
        <is>
          <t>FULL</t>
        </is>
      </c>
    </row>
    <row r="151" ht="16" customHeight="1">
      <c r="A151" s="92" t="n">
        <v>147</v>
      </c>
      <c r="B151" s="93" t="inlineStr">
        <is>
          <t>Mirae Asset Nifty Total Market Index Fund - Regular Plan - Growth</t>
        </is>
      </c>
      <c r="C151" s="93" t="inlineStr">
        <is>
          <t>Mirae Asset Mutual Fund</t>
        </is>
      </c>
      <c r="D151" s="93" t="inlineStr">
        <is>
          <t>Index Fund</t>
        </is>
      </c>
      <c r="E151" s="94" t="n">
        <v>0.86</v>
      </c>
      <c r="F151" s="94" t="n">
        <v>4.94</v>
      </c>
      <c r="G151" s="94" t="n">
        <v>0.14</v>
      </c>
      <c r="H151" s="94" t="n">
        <v>3.83</v>
      </c>
      <c r="I151" s="94" t="n">
        <v>0</v>
      </c>
      <c r="J151" s="94" t="n">
        <v>0</v>
      </c>
      <c r="K151" s="17" t="n">
        <v>52.9</v>
      </c>
      <c r="L151" s="18" t="n">
        <v>0</v>
      </c>
      <c r="M151" s="19" t="n">
        <v>29.1</v>
      </c>
      <c r="N151" s="95" t="inlineStr">
        <is>
          <t>➡️ Neutral</t>
        </is>
      </c>
      <c r="O151" s="95" t="inlineStr">
        <is>
          <t>⏳ New Fund</t>
        </is>
      </c>
      <c r="P151" s="95" t="inlineStr">
        <is>
          <t>⏳ New Fund</t>
        </is>
      </c>
      <c r="Q151" s="96" t="inlineStr">
        <is>
          <t>MOMENTUM_ONLY</t>
        </is>
      </c>
    </row>
    <row r="152" ht="16" customHeight="1">
      <c r="A152" s="28" t="n">
        <v>148</v>
      </c>
      <c r="B152" s="29" t="inlineStr">
        <is>
          <t>Edelweiss NIFTY PSU Bond Plus SDL Apr 2027 50:50 Index Fund - Regular Plan - Growth</t>
        </is>
      </c>
      <c r="C152" s="29" t="inlineStr">
        <is>
          <t>Edelweiss Mutual Fund</t>
        </is>
      </c>
      <c r="D152" s="29" t="inlineStr">
        <is>
          <t>Index Fund</t>
        </is>
      </c>
      <c r="E152" s="30" t="n">
        <v>0.55</v>
      </c>
      <c r="F152" s="30" t="n">
        <v>1.79</v>
      </c>
      <c r="G152" s="30" t="n">
        <v>2.92</v>
      </c>
      <c r="H152" s="30" t="n">
        <v>5.89</v>
      </c>
      <c r="I152" s="30" t="n">
        <v>7.065400573668068</v>
      </c>
      <c r="J152" s="30" t="n">
        <v>23.47</v>
      </c>
      <c r="K152" s="17" t="n">
        <v>52.9</v>
      </c>
      <c r="L152" s="18" t="n">
        <v>0</v>
      </c>
      <c r="M152" s="19" t="n">
        <v>29.1</v>
      </c>
      <c r="N152" s="31" t="inlineStr">
        <is>
          <t>➡️ Neutral</t>
        </is>
      </c>
      <c r="O152" s="31" t="inlineStr">
        <is>
          <t>🔴 Not Qualified</t>
        </is>
      </c>
      <c r="P152" s="31" t="inlineStr">
        <is>
          <t>🔴 Avoid</t>
        </is>
      </c>
      <c r="Q152" s="83" t="inlineStr">
        <is>
          <t>FULL</t>
        </is>
      </c>
    </row>
    <row r="153" ht="16" customHeight="1">
      <c r="A153" s="92" t="n">
        <v>149</v>
      </c>
      <c r="B153" s="93" t="inlineStr">
        <is>
          <t>DSP Nifty500 Flexicap Quality 30 Index Fund - Regular - Growth</t>
        </is>
      </c>
      <c r="C153" s="93" t="inlineStr">
        <is>
          <t>DSP Mutual Fund</t>
        </is>
      </c>
      <c r="D153" s="93" t="inlineStr">
        <is>
          <t>Index Fund</t>
        </is>
      </c>
      <c r="E153" s="94" t="n">
        <v>2.85</v>
      </c>
      <c r="F153" s="94" t="n">
        <v>5.3</v>
      </c>
      <c r="G153" s="94" t="n">
        <v>0.17</v>
      </c>
      <c r="H153" s="94" t="n">
        <v>0</v>
      </c>
      <c r="I153" s="94" t="n">
        <v>0</v>
      </c>
      <c r="J153" s="94" t="n">
        <v>0</v>
      </c>
      <c r="K153" s="17" t="n">
        <v>52.8</v>
      </c>
      <c r="L153" s="18" t="n">
        <v>0</v>
      </c>
      <c r="M153" s="19" t="n">
        <v>29.1</v>
      </c>
      <c r="N153" s="95" t="inlineStr">
        <is>
          <t>➡️ Neutral</t>
        </is>
      </c>
      <c r="O153" s="95" t="inlineStr">
        <is>
          <t>⏳ New Fund</t>
        </is>
      </c>
      <c r="P153" s="95" t="inlineStr">
        <is>
          <t>⏳ New Fund</t>
        </is>
      </c>
      <c r="Q153" s="96" t="inlineStr">
        <is>
          <t>MOMENTUM_ONLY</t>
        </is>
      </c>
    </row>
    <row r="154" ht="16" customHeight="1">
      <c r="A154" s="28" t="n">
        <v>150</v>
      </c>
      <c r="B154" s="29" t="inlineStr">
        <is>
          <t>Mirae Asset CRISIL IBX Gilt Index - April 2033 Index Fund - Regular Plan - Growth</t>
        </is>
      </c>
      <c r="C154" s="29" t="inlineStr">
        <is>
          <t>Mirae Asset Mutual Fund</t>
        </is>
      </c>
      <c r="D154" s="29" t="inlineStr">
        <is>
          <t>GILT</t>
        </is>
      </c>
      <c r="E154" s="30" t="n">
        <v>0.54</v>
      </c>
      <c r="F154" s="30" t="n">
        <v>3.68</v>
      </c>
      <c r="G154" s="30" t="n">
        <v>2.83</v>
      </c>
      <c r="H154" s="30" t="n">
        <v>5.12</v>
      </c>
      <c r="I154" s="30" t="n">
        <v>7.070070514593385</v>
      </c>
      <c r="J154" s="30" t="n">
        <v>24.81</v>
      </c>
      <c r="K154" s="17" t="n">
        <v>52.7</v>
      </c>
      <c r="L154" s="18" t="n">
        <v>0</v>
      </c>
      <c r="M154" s="19" t="n">
        <v>29</v>
      </c>
      <c r="N154" s="31" t="inlineStr">
        <is>
          <t>➡️ Neutral</t>
        </is>
      </c>
      <c r="O154" s="31" t="inlineStr">
        <is>
          <t>🔴 Not Qualified</t>
        </is>
      </c>
      <c r="P154" s="31" t="inlineStr">
        <is>
          <t>🔴 Avoid</t>
        </is>
      </c>
      <c r="Q154" s="83" t="inlineStr">
        <is>
          <t>FULL</t>
        </is>
      </c>
    </row>
    <row r="155" ht="16" customHeight="1">
      <c r="A155" s="92" t="n">
        <v>151</v>
      </c>
      <c r="B155" s="93" t="inlineStr">
        <is>
          <t>Tata Nifty500 Multicap Infrastructure 50:30:20 Index Fund - Regular Plan - Growth</t>
        </is>
      </c>
      <c r="C155" s="93" t="inlineStr">
        <is>
          <t>Tata Mutual Fund</t>
        </is>
      </c>
      <c r="D155" s="93" t="inlineStr">
        <is>
          <t>Infrastructure</t>
        </is>
      </c>
      <c r="E155" s="94" t="n">
        <v>0.48</v>
      </c>
      <c r="F155" s="94" t="n">
        <v>3.5</v>
      </c>
      <c r="G155" s="94" t="n">
        <v>1.84</v>
      </c>
      <c r="H155" s="94" t="n">
        <v>6.36</v>
      </c>
      <c r="I155" s="94" t="n">
        <v>0.5484957619953601</v>
      </c>
      <c r="J155" s="94" t="n">
        <v>0</v>
      </c>
      <c r="K155" s="17" t="n">
        <v>52.7</v>
      </c>
      <c r="L155" s="18" t="n">
        <v>0</v>
      </c>
      <c r="M155" s="19" t="n">
        <v>29</v>
      </c>
      <c r="N155" s="95" t="inlineStr">
        <is>
          <t>➡️ Neutral</t>
        </is>
      </c>
      <c r="O155" s="95" t="inlineStr">
        <is>
          <t>⏳ New Fund</t>
        </is>
      </c>
      <c r="P155" s="95" t="inlineStr">
        <is>
          <t>⏳ New Fund</t>
        </is>
      </c>
      <c r="Q155" s="96" t="inlineStr">
        <is>
          <t>MOMENTUM_ONLY</t>
        </is>
      </c>
    </row>
    <row r="156" ht="16" customHeight="1">
      <c r="A156" s="92" t="n">
        <v>152</v>
      </c>
      <c r="B156" s="93" t="inlineStr">
        <is>
          <t>ANGEL ONE NIFTY TOTAL MARKET INDEX FUND REGULAR PLAN GROWTH OPTION</t>
        </is>
      </c>
      <c r="C156" s="93" t="inlineStr">
        <is>
          <t>Angel One Mutual Fund</t>
        </is>
      </c>
      <c r="D156" s="93" t="inlineStr">
        <is>
          <t>Index Fund</t>
        </is>
      </c>
      <c r="E156" s="94" t="n">
        <v>0.86</v>
      </c>
      <c r="F156" s="94" t="n">
        <v>4.92</v>
      </c>
      <c r="G156" s="94" t="n">
        <v>0.12</v>
      </c>
      <c r="H156" s="94" t="n">
        <v>3.78</v>
      </c>
      <c r="I156" s="94" t="n">
        <v>0</v>
      </c>
      <c r="J156" s="94" t="n">
        <v>0</v>
      </c>
      <c r="K156" s="17" t="n">
        <v>52.6</v>
      </c>
      <c r="L156" s="18" t="n">
        <v>0</v>
      </c>
      <c r="M156" s="19" t="n">
        <v>29</v>
      </c>
      <c r="N156" s="95" t="inlineStr">
        <is>
          <t>➡️ Neutral</t>
        </is>
      </c>
      <c r="O156" s="95" t="inlineStr">
        <is>
          <t>⏳ New Fund</t>
        </is>
      </c>
      <c r="P156" s="95" t="inlineStr">
        <is>
          <t>⏳ New Fund</t>
        </is>
      </c>
      <c r="Q156" s="96" t="inlineStr">
        <is>
          <t>MOMENTUM_ONLY</t>
        </is>
      </c>
    </row>
    <row r="157" ht="16" customHeight="1">
      <c r="A157" s="13" t="n">
        <v>153</v>
      </c>
      <c r="B157" s="14" t="inlineStr">
        <is>
          <t>Aditya Birla Sun Life Nifty SDL SEP 2027 Index Fund-Regular Growth</t>
        </is>
      </c>
      <c r="C157" s="14" t="inlineStr">
        <is>
          <t>Aditya Birla Sun Life Mutual Fund</t>
        </is>
      </c>
      <c r="D157" s="14" t="inlineStr">
        <is>
          <t>Index Fund</t>
        </is>
      </c>
      <c r="E157" s="15" t="n">
        <v>0.57</v>
      </c>
      <c r="F157" s="15" t="n">
        <v>1.94</v>
      </c>
      <c r="G157" s="15" t="n">
        <v>2.85</v>
      </c>
      <c r="H157" s="15" t="n">
        <v>5.82</v>
      </c>
      <c r="I157" s="15" t="n">
        <v>7.042047812997287</v>
      </c>
      <c r="J157" s="15" t="n">
        <v>23.96</v>
      </c>
      <c r="K157" s="17" t="n">
        <v>52.5</v>
      </c>
      <c r="L157" s="18" t="n">
        <v>0</v>
      </c>
      <c r="M157" s="19" t="n">
        <v>28.8</v>
      </c>
      <c r="N157" s="20" t="inlineStr">
        <is>
          <t>➡️ Neutral</t>
        </is>
      </c>
      <c r="O157" s="20" t="inlineStr">
        <is>
          <t>🔴 Not Qualified</t>
        </is>
      </c>
      <c r="P157" s="20" t="inlineStr">
        <is>
          <t>🔴 Avoid</t>
        </is>
      </c>
      <c r="Q157" s="83" t="inlineStr">
        <is>
          <t>FULL</t>
        </is>
      </c>
    </row>
    <row r="158" ht="16" customHeight="1">
      <c r="A158" s="28" t="n">
        <v>154</v>
      </c>
      <c r="B158" s="29" t="inlineStr">
        <is>
          <t>Axis CRISIL IBX SDL May 2027 Index Fund - Regular Plan - Growth</t>
        </is>
      </c>
      <c r="C158" s="29" t="inlineStr">
        <is>
          <t>Axis Mutual Fund</t>
        </is>
      </c>
      <c r="D158" s="29" t="inlineStr">
        <is>
          <t>Index Fund</t>
        </is>
      </c>
      <c r="E158" s="30" t="n">
        <v>0.48</v>
      </c>
      <c r="F158" s="30" t="n">
        <v>1.7</v>
      </c>
      <c r="G158" s="30" t="n">
        <v>2.86</v>
      </c>
      <c r="H158" s="30" t="n">
        <v>6.07</v>
      </c>
      <c r="I158" s="30" t="n">
        <v>7.140095202496433</v>
      </c>
      <c r="J158" s="30" t="n">
        <v>24.22</v>
      </c>
      <c r="K158" s="17" t="n">
        <v>51.9</v>
      </c>
      <c r="L158" s="18" t="n">
        <v>0</v>
      </c>
      <c r="M158" s="19" t="n">
        <v>28.5</v>
      </c>
      <c r="N158" s="31" t="inlineStr">
        <is>
          <t>➡️ Neutral</t>
        </is>
      </c>
      <c r="O158" s="31" t="inlineStr">
        <is>
          <t>🔴 Not Qualified</t>
        </is>
      </c>
      <c r="P158" s="31" t="inlineStr">
        <is>
          <t>🔴 Avoid</t>
        </is>
      </c>
      <c r="Q158" s="83" t="inlineStr">
        <is>
          <t>FULL</t>
        </is>
      </c>
    </row>
    <row r="159" ht="16" customHeight="1">
      <c r="A159" s="92" t="n">
        <v>155</v>
      </c>
      <c r="B159" s="93" t="inlineStr">
        <is>
          <t>Kotak Nifty Midcap 150 Momentum 50 Index Fund-Regular Plan-Growth</t>
        </is>
      </c>
      <c r="C159" s="93" t="inlineStr">
        <is>
          <t>Kotak Mahindra Mutual Fund</t>
        </is>
      </c>
      <c r="D159" s="93" t="inlineStr">
        <is>
          <t>Index Fund</t>
        </is>
      </c>
      <c r="E159" s="94" t="n">
        <v>3.17</v>
      </c>
      <c r="F159" s="94" t="n">
        <v>3.12</v>
      </c>
      <c r="G159" s="94" t="n">
        <v>1.64</v>
      </c>
      <c r="H159" s="94" t="n">
        <v>5.33</v>
      </c>
      <c r="I159" s="94" t="n">
        <v>0</v>
      </c>
      <c r="J159" s="94" t="n">
        <v>0</v>
      </c>
      <c r="K159" s="17" t="n">
        <v>51.8</v>
      </c>
      <c r="L159" s="18" t="n">
        <v>0</v>
      </c>
      <c r="M159" s="19" t="n">
        <v>28.5</v>
      </c>
      <c r="N159" s="95" t="inlineStr">
        <is>
          <t>➡️ Neutral</t>
        </is>
      </c>
      <c r="O159" s="95" t="inlineStr">
        <is>
          <t>⏳ New Fund</t>
        </is>
      </c>
      <c r="P159" s="95" t="inlineStr">
        <is>
          <t>⏳ New Fund</t>
        </is>
      </c>
      <c r="Q159" s="96" t="inlineStr">
        <is>
          <t>MOMENTUM_ONLY</t>
        </is>
      </c>
    </row>
    <row r="160" ht="16" customHeight="1">
      <c r="A160" s="28" t="n">
        <v>156</v>
      </c>
      <c r="B160" s="29" t="inlineStr">
        <is>
          <t>ICICI Prudential Nifty G-Sec Dec 2030 Index Fund - Growth</t>
        </is>
      </c>
      <c r="C160" s="29" t="inlineStr">
        <is>
          <t>ICICI Prudential Mutual Fund</t>
        </is>
      </c>
      <c r="D160" s="29" t="inlineStr">
        <is>
          <t>G-SEC</t>
        </is>
      </c>
      <c r="E160" s="30" t="n">
        <v>0.45</v>
      </c>
      <c r="F160" s="30" t="n">
        <v>2.75</v>
      </c>
      <c r="G160" s="30" t="n">
        <v>2.77</v>
      </c>
      <c r="H160" s="30" t="n">
        <v>5.59</v>
      </c>
      <c r="I160" s="30" t="n">
        <v>7.219401229441669</v>
      </c>
      <c r="J160" s="30" t="n">
        <v>24.98</v>
      </c>
      <c r="K160" s="17" t="n">
        <v>51.6</v>
      </c>
      <c r="L160" s="18" t="n">
        <v>0</v>
      </c>
      <c r="M160" s="19" t="n">
        <v>28.4</v>
      </c>
      <c r="N160" s="31" t="inlineStr">
        <is>
          <t>➡️ Neutral</t>
        </is>
      </c>
      <c r="O160" s="31" t="inlineStr">
        <is>
          <t>🔴 Not Qualified</t>
        </is>
      </c>
      <c r="P160" s="31" t="inlineStr">
        <is>
          <t>🔴 Avoid</t>
        </is>
      </c>
      <c r="Q160" s="83" t="inlineStr">
        <is>
          <t>FULL</t>
        </is>
      </c>
    </row>
    <row r="161" ht="16" customHeight="1">
      <c r="A161" s="92" t="n">
        <v>157</v>
      </c>
      <c r="B161" s="93" t="inlineStr">
        <is>
          <t>Bandhan Nifty Total Market Index Fund - Regular Plan - Growth</t>
        </is>
      </c>
      <c r="C161" s="93" t="inlineStr">
        <is>
          <t>Bandhan Mutual Fund</t>
        </is>
      </c>
      <c r="D161" s="93" t="inlineStr">
        <is>
          <t>Index Fund</t>
        </is>
      </c>
      <c r="E161" s="94" t="n">
        <v>0.83</v>
      </c>
      <c r="F161" s="94" t="n">
        <v>4.8</v>
      </c>
      <c r="G161" s="97" t="n">
        <v>-0.04</v>
      </c>
      <c r="H161" s="94" t="n">
        <v>3.56</v>
      </c>
      <c r="I161" s="94" t="n">
        <v>0.8265837961398015</v>
      </c>
      <c r="J161" s="94" t="n">
        <v>0</v>
      </c>
      <c r="K161" s="17" t="n">
        <v>51.6</v>
      </c>
      <c r="L161" s="18" t="n">
        <v>0</v>
      </c>
      <c r="M161" s="19" t="n">
        <v>28.4</v>
      </c>
      <c r="N161" s="95" t="inlineStr">
        <is>
          <t>➡️ Neutral</t>
        </is>
      </c>
      <c r="O161" s="95" t="inlineStr">
        <is>
          <t>⏳ New Fund</t>
        </is>
      </c>
      <c r="P161" s="95" t="inlineStr">
        <is>
          <t>⏳ New Fund</t>
        </is>
      </c>
      <c r="Q161" s="96" t="inlineStr">
        <is>
          <t>MOMENTUM_ONLY</t>
        </is>
      </c>
    </row>
    <row r="162" ht="16" customHeight="1">
      <c r="A162" s="28" t="n">
        <v>158</v>
      </c>
      <c r="B162" s="29" t="inlineStr">
        <is>
          <t>SBI CPSE Bond Plus SDL Sep 2026 50:50 Index Fund - Regular Plan - Growth</t>
        </is>
      </c>
      <c r="C162" s="29" t="inlineStr">
        <is>
          <t>SBI Mutual Fund</t>
        </is>
      </c>
      <c r="D162" s="29" t="inlineStr">
        <is>
          <t>Index Fund</t>
        </is>
      </c>
      <c r="E162" s="30" t="n">
        <v>0.49</v>
      </c>
      <c r="F162" s="30" t="n">
        <v>1.52</v>
      </c>
      <c r="G162" s="30" t="n">
        <v>2.96</v>
      </c>
      <c r="H162" s="30" t="n">
        <v>5.92</v>
      </c>
      <c r="I162" s="30" t="n">
        <v>6.906501205492654</v>
      </c>
      <c r="J162" s="30" t="n">
        <v>22.93</v>
      </c>
      <c r="K162" s="17" t="n">
        <v>51.4</v>
      </c>
      <c r="L162" s="18" t="n">
        <v>0</v>
      </c>
      <c r="M162" s="19" t="n">
        <v>28.3</v>
      </c>
      <c r="N162" s="31" t="inlineStr">
        <is>
          <t>➡️ Neutral</t>
        </is>
      </c>
      <c r="O162" s="31" t="inlineStr">
        <is>
          <t>🔴 Not Qualified</t>
        </is>
      </c>
      <c r="P162" s="31" t="inlineStr">
        <is>
          <t>🔴 Avoid</t>
        </is>
      </c>
      <c r="Q162" s="83" t="inlineStr">
        <is>
          <t>FULL</t>
        </is>
      </c>
    </row>
    <row r="163" ht="16" customHeight="1">
      <c r="A163" s="13" t="n">
        <v>159</v>
      </c>
      <c r="B163" s="14" t="inlineStr">
        <is>
          <t>DSP Nifty SDL Plus G-Sec Sep 2027 50:50 Index Fund - Regular - Growth</t>
        </is>
      </c>
      <c r="C163" s="14" t="inlineStr">
        <is>
          <t>DSP Mutual Fund</t>
        </is>
      </c>
      <c r="D163" s="14" t="inlineStr">
        <is>
          <t>G-SEC</t>
        </is>
      </c>
      <c r="E163" s="15" t="n">
        <v>0.5600000000000001</v>
      </c>
      <c r="F163" s="15" t="n">
        <v>1.93</v>
      </c>
      <c r="G163" s="15" t="n">
        <v>2.73</v>
      </c>
      <c r="H163" s="15" t="n">
        <v>5.77</v>
      </c>
      <c r="I163" s="15" t="n">
        <v>7.000000000000006</v>
      </c>
      <c r="J163" s="15" t="n">
        <v>23.86</v>
      </c>
      <c r="K163" s="17" t="n">
        <v>51.4</v>
      </c>
      <c r="L163" s="18" t="n">
        <v>0</v>
      </c>
      <c r="M163" s="19" t="n">
        <v>28.2</v>
      </c>
      <c r="N163" s="20" t="inlineStr">
        <is>
          <t>➡️ Neutral</t>
        </is>
      </c>
      <c r="O163" s="20" t="inlineStr">
        <is>
          <t>🔴 Not Qualified</t>
        </is>
      </c>
      <c r="P163" s="20" t="inlineStr">
        <is>
          <t>🔴 Avoid</t>
        </is>
      </c>
      <c r="Q163" s="83" t="inlineStr">
        <is>
          <t>FULL</t>
        </is>
      </c>
    </row>
    <row r="164" ht="16" customHeight="1">
      <c r="A164" s="28" t="n">
        <v>160</v>
      </c>
      <c r="B164" s="29" t="inlineStr">
        <is>
          <t>UTI Nifty 200 Momentum 30 Index Fund - Regular Plan - Growth Option</t>
        </is>
      </c>
      <c r="C164" s="29" t="inlineStr">
        <is>
          <t>UTI Mutual Fund</t>
        </is>
      </c>
      <c r="D164" s="29" t="inlineStr">
        <is>
          <t>Index Fund</t>
        </is>
      </c>
      <c r="E164" s="30" t="n">
        <v>3.01</v>
      </c>
      <c r="F164" s="30" t="n">
        <v>3.83</v>
      </c>
      <c r="G164" s="91" t="n">
        <v>-2.02</v>
      </c>
      <c r="H164" s="30" t="n">
        <v>2.52</v>
      </c>
      <c r="I164" s="91" t="n">
        <v>-7.037642026463208</v>
      </c>
      <c r="J164" s="30" t="n">
        <v>43.39</v>
      </c>
      <c r="K164" s="17" t="n">
        <v>51.2</v>
      </c>
      <c r="L164" s="18" t="n">
        <v>0</v>
      </c>
      <c r="M164" s="19" t="n">
        <v>28.2</v>
      </c>
      <c r="N164" s="31" t="inlineStr">
        <is>
          <t>➡️ Neutral</t>
        </is>
      </c>
      <c r="O164" s="31" t="inlineStr">
        <is>
          <t>🔴 Not Qualified</t>
        </is>
      </c>
      <c r="P164" s="31" t="inlineStr">
        <is>
          <t>🔴 Avoid</t>
        </is>
      </c>
      <c r="Q164" s="83" t="inlineStr">
        <is>
          <t>FULL</t>
        </is>
      </c>
    </row>
    <row r="165" ht="16" customHeight="1">
      <c r="A165" s="13" t="n">
        <v>161</v>
      </c>
      <c r="B165" s="14" t="inlineStr">
        <is>
          <t>Kotak Nifty 200 Momentum 30 Index Fund - Regular Plan - Growth Option</t>
        </is>
      </c>
      <c r="C165" s="14" t="inlineStr">
        <is>
          <t>Kotak Mahindra Mutual Fund</t>
        </is>
      </c>
      <c r="D165" s="14" t="inlineStr">
        <is>
          <t>Index Fund</t>
        </is>
      </c>
      <c r="E165" s="15" t="n">
        <v>3.01</v>
      </c>
      <c r="F165" s="15" t="n">
        <v>3.74</v>
      </c>
      <c r="G165" s="16" t="n">
        <v>-2.11</v>
      </c>
      <c r="H165" s="15" t="n">
        <v>2.47</v>
      </c>
      <c r="I165" s="16" t="n">
        <v>-7.059158600752924</v>
      </c>
      <c r="J165" s="15" t="n">
        <v>42.26</v>
      </c>
      <c r="K165" s="17" t="n">
        <v>50.5</v>
      </c>
      <c r="L165" s="18" t="n">
        <v>0</v>
      </c>
      <c r="M165" s="19" t="n">
        <v>27.8</v>
      </c>
      <c r="N165" s="20" t="inlineStr">
        <is>
          <t>➡️ Neutral</t>
        </is>
      </c>
      <c r="O165" s="20" t="inlineStr">
        <is>
          <t>🔴 Not Qualified</t>
        </is>
      </c>
      <c r="P165" s="20" t="inlineStr">
        <is>
          <t>🔴 Avoid</t>
        </is>
      </c>
      <c r="Q165" s="83" t="inlineStr">
        <is>
          <t>FULL</t>
        </is>
      </c>
    </row>
    <row r="166" ht="16" customHeight="1">
      <c r="A166" s="28" t="n">
        <v>162</v>
      </c>
      <c r="B166" s="29" t="inlineStr">
        <is>
          <t>Nippon India Nifty AAA PSU Bond Plus SDL - Sep 2026 Maturity 50:50 Index Fund-Regular Plan-Growth Option</t>
        </is>
      </c>
      <c r="C166" s="29" t="inlineStr">
        <is>
          <t>Nippon India Mutual Fund</t>
        </is>
      </c>
      <c r="D166" s="29" t="inlineStr">
        <is>
          <t>Index Fund</t>
        </is>
      </c>
      <c r="E166" s="30" t="n">
        <v>0.47</v>
      </c>
      <c r="F166" s="30" t="n">
        <v>1.5</v>
      </c>
      <c r="G166" s="30" t="n">
        <v>2.93</v>
      </c>
      <c r="H166" s="30" t="n">
        <v>5.85</v>
      </c>
      <c r="I166" s="30" t="n">
        <v>6.859721130087171</v>
      </c>
      <c r="J166" s="30" t="n">
        <v>22.72</v>
      </c>
      <c r="K166" s="17" t="n">
        <v>50.2</v>
      </c>
      <c r="L166" s="18" t="n">
        <v>0</v>
      </c>
      <c r="M166" s="19" t="n">
        <v>27.6</v>
      </c>
      <c r="N166" s="31" t="inlineStr">
        <is>
          <t>➡️ Neutral</t>
        </is>
      </c>
      <c r="O166" s="31" t="inlineStr">
        <is>
          <t>🔴 Not Qualified</t>
        </is>
      </c>
      <c r="P166" s="31" t="inlineStr">
        <is>
          <t>🔴 Avoid</t>
        </is>
      </c>
      <c r="Q166" s="83" t="inlineStr">
        <is>
          <t>FULL</t>
        </is>
      </c>
    </row>
    <row r="167" ht="16" customHeight="1">
      <c r="A167" s="13" t="n">
        <v>163</v>
      </c>
      <c r="B167" s="14" t="inlineStr">
        <is>
          <t>HDFC BSE 500 Index Fund - Regular Plan - Growth Option</t>
        </is>
      </c>
      <c r="C167" s="14" t="inlineStr">
        <is>
          <t>HDFC Mutual Fund</t>
        </is>
      </c>
      <c r="D167" s="14" t="inlineStr">
        <is>
          <t>Index Fund</t>
        </is>
      </c>
      <c r="E167" s="15" t="n">
        <v>0.77</v>
      </c>
      <c r="F167" s="15" t="n">
        <v>4.72</v>
      </c>
      <c r="G167" s="16" t="n">
        <v>-0.66</v>
      </c>
      <c r="H167" s="15" t="n">
        <v>3.32</v>
      </c>
      <c r="I167" s="15" t="n">
        <v>0.6081507632458072</v>
      </c>
      <c r="J167" s="15" t="n">
        <v>38.14</v>
      </c>
      <c r="K167" s="17" t="n">
        <v>50.2</v>
      </c>
      <c r="L167" s="18" t="n">
        <v>0</v>
      </c>
      <c r="M167" s="19" t="n">
        <v>27.6</v>
      </c>
      <c r="N167" s="20" t="inlineStr">
        <is>
          <t>➡️ Neutral</t>
        </is>
      </c>
      <c r="O167" s="20" t="inlineStr">
        <is>
          <t>🔴 Not Qualified</t>
        </is>
      </c>
      <c r="P167" s="20" t="inlineStr">
        <is>
          <t>🔴 Avoid</t>
        </is>
      </c>
      <c r="Q167" s="83" t="inlineStr">
        <is>
          <t>FULL</t>
        </is>
      </c>
    </row>
    <row r="168" ht="16" customHeight="1">
      <c r="A168" s="92" t="n">
        <v>164</v>
      </c>
      <c r="B168" s="93" t="inlineStr">
        <is>
          <t>SBI Nifty 500 Index Fund- Regular Plan- Growth</t>
        </is>
      </c>
      <c r="C168" s="93" t="inlineStr">
        <is>
          <t>SBI Mutual Fund</t>
        </is>
      </c>
      <c r="D168" s="93" t="inlineStr">
        <is>
          <t>Index Fund</t>
        </is>
      </c>
      <c r="E168" s="94" t="n">
        <v>0.68</v>
      </c>
      <c r="F168" s="94" t="n">
        <v>4.55</v>
      </c>
      <c r="G168" s="97" t="n">
        <v>-0.53</v>
      </c>
      <c r="H168" s="94" t="n">
        <v>3.56</v>
      </c>
      <c r="I168" s="94" t="n">
        <v>0</v>
      </c>
      <c r="J168" s="94" t="n">
        <v>0</v>
      </c>
      <c r="K168" s="17" t="n">
        <v>50.2</v>
      </c>
      <c r="L168" s="18" t="n">
        <v>0</v>
      </c>
      <c r="M168" s="19" t="n">
        <v>27.6</v>
      </c>
      <c r="N168" s="95" t="inlineStr">
        <is>
          <t>➡️ Neutral</t>
        </is>
      </c>
      <c r="O168" s="95" t="inlineStr">
        <is>
          <t>⏳ New Fund</t>
        </is>
      </c>
      <c r="P168" s="95" t="inlineStr">
        <is>
          <t>⏳ New Fund</t>
        </is>
      </c>
      <c r="Q168" s="96" t="inlineStr">
        <is>
          <t>MOMENTUM_ONLY</t>
        </is>
      </c>
    </row>
    <row r="169" ht="16" customHeight="1">
      <c r="A169" s="13" t="n">
        <v>165</v>
      </c>
      <c r="B169" s="14" t="inlineStr">
        <is>
          <t>Tata Nifty Midcap 150 Momentum 50 Index Fund - Growth - Regular Plan</t>
        </is>
      </c>
      <c r="C169" s="14" t="inlineStr">
        <is>
          <t>Tata Mutual Fund</t>
        </is>
      </c>
      <c r="D169" s="14" t="inlineStr">
        <is>
          <t>Index Fund</t>
        </is>
      </c>
      <c r="E169" s="15" t="n">
        <v>3.16</v>
      </c>
      <c r="F169" s="15" t="n">
        <v>2.98</v>
      </c>
      <c r="G169" s="15" t="n">
        <v>1.47</v>
      </c>
      <c r="H169" s="15" t="n">
        <v>4.98</v>
      </c>
      <c r="I169" s="16" t="n">
        <v>-0.9192248718249085</v>
      </c>
      <c r="J169" s="15" t="n">
        <v>58.97</v>
      </c>
      <c r="K169" s="17" t="n">
        <v>50.1</v>
      </c>
      <c r="L169" s="18" t="n">
        <v>0</v>
      </c>
      <c r="M169" s="19" t="n">
        <v>27.5</v>
      </c>
      <c r="N169" s="20" t="inlineStr">
        <is>
          <t>➡️ Neutral</t>
        </is>
      </c>
      <c r="O169" s="20" t="inlineStr">
        <is>
          <t>🔴 Not Qualified</t>
        </is>
      </c>
      <c r="P169" s="20" t="inlineStr">
        <is>
          <t>🔴 Avoid</t>
        </is>
      </c>
      <c r="Q169" s="83" t="inlineStr">
        <is>
          <t>FULL</t>
        </is>
      </c>
    </row>
    <row r="170" ht="16" customHeight="1">
      <c r="A170" s="28" t="n">
        <v>166</v>
      </c>
      <c r="B170" s="29" t="inlineStr">
        <is>
          <t>Motilal Oswal Nifty 500 Index Fund - Regular Plan</t>
        </is>
      </c>
      <c r="C170" s="29" t="inlineStr">
        <is>
          <t>Motilal Oswal Mutual Fund</t>
        </is>
      </c>
      <c r="D170" s="29" t="inlineStr">
        <is>
          <t>Index Fund</t>
        </is>
      </c>
      <c r="E170" s="30" t="n">
        <v>0.68</v>
      </c>
      <c r="F170" s="30" t="n">
        <v>4.54</v>
      </c>
      <c r="G170" s="91" t="n">
        <v>-0.54</v>
      </c>
      <c r="H170" s="30" t="n">
        <v>3.54</v>
      </c>
      <c r="I170" s="30" t="n">
        <v>1.019800039398211</v>
      </c>
      <c r="J170" s="30" t="n">
        <v>40.01</v>
      </c>
      <c r="K170" s="17" t="n">
        <v>50</v>
      </c>
      <c r="L170" s="18" t="n">
        <v>0</v>
      </c>
      <c r="M170" s="19" t="n">
        <v>27.5</v>
      </c>
      <c r="N170" s="31" t="inlineStr">
        <is>
          <t>➡️ Neutral</t>
        </is>
      </c>
      <c r="O170" s="31" t="inlineStr">
        <is>
          <t>🔴 Not Qualified</t>
        </is>
      </c>
      <c r="P170" s="31" t="inlineStr">
        <is>
          <t>🔴 Avoid</t>
        </is>
      </c>
      <c r="Q170" s="83" t="inlineStr">
        <is>
          <t>FULL</t>
        </is>
      </c>
    </row>
    <row r="171" ht="16" customHeight="1">
      <c r="A171" s="13" t="n">
        <v>167</v>
      </c>
      <c r="B171" s="14" t="inlineStr">
        <is>
          <t>Tata Nifty SDL Plus AAA PSU Bond Dec 6040 Index Fund-Regular Plan -Growth</t>
        </is>
      </c>
      <c r="C171" s="14" t="inlineStr">
        <is>
          <t>Tata Mutual Fund</t>
        </is>
      </c>
      <c r="D171" s="14" t="inlineStr">
        <is>
          <t>Index Fund</t>
        </is>
      </c>
      <c r="E171" s="15" t="n">
        <v>0.53</v>
      </c>
      <c r="F171" s="15" t="n">
        <v>2.14</v>
      </c>
      <c r="G171" s="15" t="n">
        <v>2.69</v>
      </c>
      <c r="H171" s="15" t="n">
        <v>5.54</v>
      </c>
      <c r="I171" s="15" t="n">
        <v>7.028033710799342</v>
      </c>
      <c r="J171" s="15" t="n">
        <v>23.58</v>
      </c>
      <c r="K171" s="37" t="n">
        <v>49.9</v>
      </c>
      <c r="L171" s="18" t="n">
        <v>0</v>
      </c>
      <c r="M171" s="19" t="n">
        <v>27.4</v>
      </c>
      <c r="N171" s="20" t="inlineStr">
        <is>
          <t>➡️ Neutral</t>
        </is>
      </c>
      <c r="O171" s="20" t="inlineStr">
        <is>
          <t>🔴 Not Qualified</t>
        </is>
      </c>
      <c r="P171" s="20" t="inlineStr">
        <is>
          <t>🔴 Avoid</t>
        </is>
      </c>
      <c r="Q171" s="83" t="inlineStr">
        <is>
          <t>FULL</t>
        </is>
      </c>
    </row>
    <row r="172" ht="16" customHeight="1">
      <c r="A172" s="28" t="n">
        <v>168</v>
      </c>
      <c r="B172" s="29" t="inlineStr">
        <is>
          <t>Aditya Birla Sun Life Nifty SDL Plus PSU Bond SEP 2026 60:40 Index Fund-Regular Growth</t>
        </is>
      </c>
      <c r="C172" s="29" t="inlineStr">
        <is>
          <t>Aditya Birla Sun Life Mutual Fund</t>
        </is>
      </c>
      <c r="D172" s="29" t="inlineStr">
        <is>
          <t>Index Fund</t>
        </is>
      </c>
      <c r="E172" s="30" t="n">
        <v>0.48</v>
      </c>
      <c r="F172" s="30" t="n">
        <v>1.47</v>
      </c>
      <c r="G172" s="30" t="n">
        <v>2.9</v>
      </c>
      <c r="H172" s="30" t="n">
        <v>5.83</v>
      </c>
      <c r="I172" s="30" t="n">
        <v>6.878435617293732</v>
      </c>
      <c r="J172" s="30" t="n">
        <v>22.91</v>
      </c>
      <c r="K172" s="37" t="n">
        <v>49.5</v>
      </c>
      <c r="L172" s="18" t="n">
        <v>0</v>
      </c>
      <c r="M172" s="19" t="n">
        <v>27.2</v>
      </c>
      <c r="N172" s="31" t="inlineStr">
        <is>
          <t>➡️ Neutral</t>
        </is>
      </c>
      <c r="O172" s="31" t="inlineStr">
        <is>
          <t>🔴 Not Qualified</t>
        </is>
      </c>
      <c r="P172" s="31" t="inlineStr">
        <is>
          <t>🔴 Avoid</t>
        </is>
      </c>
      <c r="Q172" s="83" t="inlineStr">
        <is>
          <t>FULL</t>
        </is>
      </c>
    </row>
    <row r="173" ht="16" customHeight="1">
      <c r="A173" s="92" t="n">
        <v>169</v>
      </c>
      <c r="B173" s="93" t="inlineStr">
        <is>
          <t>SBI Nifty200 Momentum 30 Index Fund- Regular Plan- Growth</t>
        </is>
      </c>
      <c r="C173" s="93" t="inlineStr">
        <is>
          <t>SBI Mutual Fund</t>
        </is>
      </c>
      <c r="D173" s="93" t="inlineStr">
        <is>
          <t>Index Fund</t>
        </is>
      </c>
      <c r="E173" s="94" t="n">
        <v>3</v>
      </c>
      <c r="F173" s="94" t="n">
        <v>3.64</v>
      </c>
      <c r="G173" s="97" t="n">
        <v>-2.2</v>
      </c>
      <c r="H173" s="94" t="n">
        <v>2.33</v>
      </c>
      <c r="I173" s="94" t="n">
        <v>0</v>
      </c>
      <c r="J173" s="94" t="n">
        <v>0</v>
      </c>
      <c r="K173" s="37" t="n">
        <v>49.4</v>
      </c>
      <c r="L173" s="18" t="n">
        <v>0</v>
      </c>
      <c r="M173" s="19" t="n">
        <v>27.2</v>
      </c>
      <c r="N173" s="95" t="inlineStr">
        <is>
          <t>➡️ Neutral</t>
        </is>
      </c>
      <c r="O173" s="95" t="inlineStr">
        <is>
          <t>⏳ New Fund</t>
        </is>
      </c>
      <c r="P173" s="95" t="inlineStr">
        <is>
          <t>⏳ New Fund</t>
        </is>
      </c>
      <c r="Q173" s="96" t="inlineStr">
        <is>
          <t>MOMENTUM_ONLY</t>
        </is>
      </c>
    </row>
    <row r="174" ht="16" customHeight="1">
      <c r="A174" s="28" t="n">
        <v>169</v>
      </c>
      <c r="B174" s="29" t="inlineStr">
        <is>
          <t>AXIS CRISIL IBX 50:50 Gilt Plus SDL September 2027 Index Fund- REGULAR PLAN-GROWTH</t>
        </is>
      </c>
      <c r="C174" s="29" t="inlineStr">
        <is>
          <t>Axis Mutual Fund</t>
        </is>
      </c>
      <c r="D174" s="29" t="inlineStr">
        <is>
          <t>GILT</t>
        </is>
      </c>
      <c r="E174" s="30" t="n">
        <v>0.49</v>
      </c>
      <c r="F174" s="30" t="n">
        <v>1.84</v>
      </c>
      <c r="G174" s="30" t="n">
        <v>2.71</v>
      </c>
      <c r="H174" s="30" t="n">
        <v>5.7</v>
      </c>
      <c r="I174" s="30" t="n">
        <v>6.957935656967518</v>
      </c>
      <c r="J174" s="30" t="n">
        <v>23.68</v>
      </c>
      <c r="K174" s="37" t="n">
        <v>49.4</v>
      </c>
      <c r="L174" s="18" t="n">
        <v>0</v>
      </c>
      <c r="M174" s="19" t="n">
        <v>27.2</v>
      </c>
      <c r="N174" s="31" t="inlineStr">
        <is>
          <t>➡️ Neutral</t>
        </is>
      </c>
      <c r="O174" s="31" t="inlineStr">
        <is>
          <t>🔴 Not Qualified</t>
        </is>
      </c>
      <c r="P174" s="31" t="inlineStr">
        <is>
          <t>🔴 Avoid</t>
        </is>
      </c>
      <c r="Q174" s="83" t="inlineStr">
        <is>
          <t>FULL</t>
        </is>
      </c>
    </row>
    <row r="175" ht="16" customHeight="1">
      <c r="A175" s="92" t="n">
        <v>171</v>
      </c>
      <c r="B175" s="93" t="inlineStr">
        <is>
          <t>HDFC NIFTY200 Momentum 30 Index Fund - Regular Plan</t>
        </is>
      </c>
      <c r="C175" s="93" t="inlineStr">
        <is>
          <t>HDFC Mutual Fund</t>
        </is>
      </c>
      <c r="D175" s="93" t="inlineStr">
        <is>
          <t>Index Fund</t>
        </is>
      </c>
      <c r="E175" s="94" t="n">
        <v>3</v>
      </c>
      <c r="F175" s="94" t="n">
        <v>3.66</v>
      </c>
      <c r="G175" s="97" t="n">
        <v>-2.23</v>
      </c>
      <c r="H175" s="94" t="n">
        <v>2.26</v>
      </c>
      <c r="I175" s="97" t="n">
        <v>-7.431106736658021</v>
      </c>
      <c r="J175" s="94" t="n">
        <v>0</v>
      </c>
      <c r="K175" s="37" t="n">
        <v>49.4</v>
      </c>
      <c r="L175" s="18" t="n">
        <v>0</v>
      </c>
      <c r="M175" s="19" t="n">
        <v>27.2</v>
      </c>
      <c r="N175" s="95" t="inlineStr">
        <is>
          <t>➡️ Neutral</t>
        </is>
      </c>
      <c r="O175" s="95" t="inlineStr">
        <is>
          <t>⏳ New Fund</t>
        </is>
      </c>
      <c r="P175" s="95" t="inlineStr">
        <is>
          <t>⏳ New Fund</t>
        </is>
      </c>
      <c r="Q175" s="96" t="inlineStr">
        <is>
          <t>MOMENTUM_ONLY</t>
        </is>
      </c>
    </row>
    <row r="176" ht="16" customHeight="1">
      <c r="A176" s="92" t="n">
        <v>172</v>
      </c>
      <c r="B176" s="93" t="inlineStr">
        <is>
          <t>Nippon India Nifty 500 Quality 50 Index Fund - Regular Plan - Growth Option</t>
        </is>
      </c>
      <c r="C176" s="93" t="inlineStr">
        <is>
          <t>Nippon India Mutual Fund</t>
        </is>
      </c>
      <c r="D176" s="93" t="inlineStr">
        <is>
          <t>Index Fund</t>
        </is>
      </c>
      <c r="E176" s="94" t="n">
        <v>0.39</v>
      </c>
      <c r="F176" s="94" t="n">
        <v>1.38</v>
      </c>
      <c r="G176" s="94" t="n">
        <v>5.54</v>
      </c>
      <c r="H176" s="94" t="n">
        <v>5.3</v>
      </c>
      <c r="I176" s="94" t="n">
        <v>0</v>
      </c>
      <c r="J176" s="94" t="n">
        <v>0</v>
      </c>
      <c r="K176" s="37" t="n">
        <v>49.4</v>
      </c>
      <c r="L176" s="18" t="n">
        <v>0</v>
      </c>
      <c r="M176" s="19" t="n">
        <v>27.2</v>
      </c>
      <c r="N176" s="95" t="inlineStr">
        <is>
          <t>➡️ Neutral</t>
        </is>
      </c>
      <c r="O176" s="95" t="inlineStr">
        <is>
          <t>⏳ New Fund</t>
        </is>
      </c>
      <c r="P176" s="95" t="inlineStr">
        <is>
          <t>⏳ New Fund</t>
        </is>
      </c>
      <c r="Q176" s="96" t="inlineStr">
        <is>
          <t>MOMENTUM_ONLY</t>
        </is>
      </c>
    </row>
    <row r="177" ht="16" customHeight="1">
      <c r="A177" s="13" t="n">
        <v>173</v>
      </c>
      <c r="B177" s="14" t="inlineStr">
        <is>
          <t>UTI NIFTY SDL Plus AAA PSU Bond Apr 2028- 75:25 Index Fund - Regular Plan - Growth Option</t>
        </is>
      </c>
      <c r="C177" s="14" t="inlineStr">
        <is>
          <t>UTI Mutual Fund</t>
        </is>
      </c>
      <c r="D177" s="14" t="inlineStr">
        <is>
          <t>Index Fund</t>
        </is>
      </c>
      <c r="E177" s="15" t="n">
        <v>0.53</v>
      </c>
      <c r="F177" s="15" t="n">
        <v>2.36</v>
      </c>
      <c r="G177" s="15" t="n">
        <v>2.62</v>
      </c>
      <c r="H177" s="15" t="n">
        <v>5.48</v>
      </c>
      <c r="I177" s="15" t="n">
        <v>7.070070514593385</v>
      </c>
      <c r="J177" s="15" t="n">
        <v>24.15</v>
      </c>
      <c r="K177" s="37" t="n">
        <v>49.4</v>
      </c>
      <c r="L177" s="18" t="n">
        <v>0</v>
      </c>
      <c r="M177" s="19" t="n">
        <v>27.2</v>
      </c>
      <c r="N177" s="20" t="inlineStr">
        <is>
          <t>➡️ Neutral</t>
        </is>
      </c>
      <c r="O177" s="20" t="inlineStr">
        <is>
          <t>🔴 Not Qualified</t>
        </is>
      </c>
      <c r="P177" s="20" t="inlineStr">
        <is>
          <t>🔴 Avoid</t>
        </is>
      </c>
      <c r="Q177" s="83" t="inlineStr">
        <is>
          <t>FULL</t>
        </is>
      </c>
    </row>
    <row r="178" ht="16" customHeight="1">
      <c r="A178" s="28" t="n">
        <v>174</v>
      </c>
      <c r="B178" s="29" t="inlineStr">
        <is>
          <t>UTI CRISIL SDL Maturity June 2027 Index Fund - Regular Plan - Growth Option</t>
        </is>
      </c>
      <c r="C178" s="29" t="inlineStr">
        <is>
          <t>UTI Mutual Fund</t>
        </is>
      </c>
      <c r="D178" s="29" t="inlineStr">
        <is>
          <t>Index Fund</t>
        </is>
      </c>
      <c r="E178" s="30" t="n">
        <v>0.46</v>
      </c>
      <c r="F178" s="30" t="n">
        <v>1.62</v>
      </c>
      <c r="G178" s="30" t="n">
        <v>2.77</v>
      </c>
      <c r="H178" s="30" t="n">
        <v>5.91</v>
      </c>
      <c r="I178" s="30" t="n">
        <v>6.97663296253066</v>
      </c>
      <c r="J178" s="30" t="n">
        <v>23.69</v>
      </c>
      <c r="K178" s="37" t="n">
        <v>49.2</v>
      </c>
      <c r="L178" s="18" t="n">
        <v>0</v>
      </c>
      <c r="M178" s="19" t="n">
        <v>27.1</v>
      </c>
      <c r="N178" s="31" t="inlineStr">
        <is>
          <t>➡️ Neutral</t>
        </is>
      </c>
      <c r="O178" s="31" t="inlineStr">
        <is>
          <t>🔴 Not Qualified</t>
        </is>
      </c>
      <c r="P178" s="31" t="inlineStr">
        <is>
          <t>🔴 Avoid</t>
        </is>
      </c>
      <c r="Q178" s="83" t="inlineStr">
        <is>
          <t>FULL</t>
        </is>
      </c>
    </row>
    <row r="179" ht="16" customHeight="1">
      <c r="A179" s="13" t="n">
        <v>175</v>
      </c>
      <c r="B179" s="14" t="inlineStr">
        <is>
          <t>HDFC Nifty G-Sec Jun 2036 Index Fund - Growth Option</t>
        </is>
      </c>
      <c r="C179" s="14" t="inlineStr">
        <is>
          <t>HDFC Mutual Fund</t>
        </is>
      </c>
      <c r="D179" s="14" t="inlineStr">
        <is>
          <t>G-SEC</t>
        </is>
      </c>
      <c r="E179" s="15" t="n">
        <v>0.38</v>
      </c>
      <c r="F179" s="15" t="n">
        <v>3.75</v>
      </c>
      <c r="G179" s="15" t="n">
        <v>2.64</v>
      </c>
      <c r="H179" s="15" t="n">
        <v>5.41</v>
      </c>
      <c r="I179" s="15" t="n">
        <v>6.887791632159757</v>
      </c>
      <c r="J179" s="15" t="n">
        <v>25.66</v>
      </c>
      <c r="K179" s="37" t="n">
        <v>49.1</v>
      </c>
      <c r="L179" s="18" t="n">
        <v>0</v>
      </c>
      <c r="M179" s="19" t="n">
        <v>27</v>
      </c>
      <c r="N179" s="20" t="inlineStr">
        <is>
          <t>➡️ Neutral</t>
        </is>
      </c>
      <c r="O179" s="20" t="inlineStr">
        <is>
          <t>🔴 Not Qualified</t>
        </is>
      </c>
      <c r="P179" s="20" t="inlineStr">
        <is>
          <t>🔴 Avoid</t>
        </is>
      </c>
      <c r="Q179" s="83" t="inlineStr">
        <is>
          <t>FULL</t>
        </is>
      </c>
    </row>
    <row r="180" ht="16" customHeight="1">
      <c r="A180" s="92" t="n">
        <v>176</v>
      </c>
      <c r="B180" s="93" t="inlineStr">
        <is>
          <t>Kotak CRISIL-IBX Financial Services 9 to 12 Months Debt Index Fund - Regular - Growth</t>
        </is>
      </c>
      <c r="C180" s="93" t="inlineStr">
        <is>
          <t>Kotak Mahindra Mutual Fund</t>
        </is>
      </c>
      <c r="D180" s="93" t="inlineStr">
        <is>
          <t>Banking/Financial</t>
        </is>
      </c>
      <c r="E180" s="94" t="n">
        <v>0.68</v>
      </c>
      <c r="F180" s="94" t="n">
        <v>2.14</v>
      </c>
      <c r="G180" s="94" t="n">
        <v>3.31</v>
      </c>
      <c r="H180" s="94" t="n">
        <v>0</v>
      </c>
      <c r="I180" s="94" t="n">
        <v>0</v>
      </c>
      <c r="J180" s="94" t="n">
        <v>0</v>
      </c>
      <c r="K180" s="37" t="n">
        <v>49.1</v>
      </c>
      <c r="L180" s="18" t="n">
        <v>0</v>
      </c>
      <c r="M180" s="19" t="n">
        <v>27</v>
      </c>
      <c r="N180" s="95" t="inlineStr">
        <is>
          <t>➡️ Neutral</t>
        </is>
      </c>
      <c r="O180" s="95" t="inlineStr">
        <is>
          <t>⏳ New Fund</t>
        </is>
      </c>
      <c r="P180" s="95" t="inlineStr">
        <is>
          <t>⏳ New Fund</t>
        </is>
      </c>
      <c r="Q180" s="96" t="inlineStr">
        <is>
          <t>MOMENTUM_ONLY</t>
        </is>
      </c>
    </row>
    <row r="181" ht="16" customHeight="1">
      <c r="A181" s="13" t="n">
        <v>177</v>
      </c>
      <c r="B181" s="14" t="inlineStr">
        <is>
          <t>Kotak Nifty SDL Plus AAA PSU Bond Jul 2028 60:40 Index Fund Regular Plan - Growth</t>
        </is>
      </c>
      <c r="C181" s="14" t="inlineStr">
        <is>
          <t>Kotak Mahindra Mutual Fund</t>
        </is>
      </c>
      <c r="D181" s="14" t="inlineStr">
        <is>
          <t>Index Fund</t>
        </is>
      </c>
      <c r="E181" s="15" t="n">
        <v>0.52</v>
      </c>
      <c r="F181" s="15" t="n">
        <v>2.36</v>
      </c>
      <c r="G181" s="15" t="n">
        <v>2.6</v>
      </c>
      <c r="H181" s="15" t="n">
        <v>5.49</v>
      </c>
      <c r="I181" s="15" t="n">
        <v>7.112090820784567</v>
      </c>
      <c r="J181" s="15" t="n">
        <v>24.07</v>
      </c>
      <c r="K181" s="37" t="n">
        <v>49.1</v>
      </c>
      <c r="L181" s="18" t="n">
        <v>0</v>
      </c>
      <c r="M181" s="19" t="n">
        <v>27</v>
      </c>
      <c r="N181" s="20" t="inlineStr">
        <is>
          <t>➡️ Neutral</t>
        </is>
      </c>
      <c r="O181" s="20" t="inlineStr">
        <is>
          <t>🔴 Not Qualified</t>
        </is>
      </c>
      <c r="P181" s="20" t="inlineStr">
        <is>
          <t>🔴 Avoid</t>
        </is>
      </c>
      <c r="Q181" s="83" t="inlineStr">
        <is>
          <t>FULL</t>
        </is>
      </c>
    </row>
    <row r="182" ht="16" customHeight="1">
      <c r="A182" s="28" t="n">
        <v>178</v>
      </c>
      <c r="B182" s="29" t="inlineStr">
        <is>
          <t>ICICI Prudential Nifty 200 Momentum 30 Index Fund - Growth</t>
        </is>
      </c>
      <c r="C182" s="29" t="inlineStr">
        <is>
          <t>ICICI Prudential Mutual Fund</t>
        </is>
      </c>
      <c r="D182" s="29" t="inlineStr">
        <is>
          <t>Index Fund</t>
        </is>
      </c>
      <c r="E182" s="30" t="n">
        <v>2.99</v>
      </c>
      <c r="F182" s="30" t="n">
        <v>3.64</v>
      </c>
      <c r="G182" s="91" t="n">
        <v>-2.25</v>
      </c>
      <c r="H182" s="30" t="n">
        <v>2.18</v>
      </c>
      <c r="I182" s="91" t="n">
        <v>-7.522975826424871</v>
      </c>
      <c r="J182" s="30" t="n">
        <v>40.83</v>
      </c>
      <c r="K182" s="37" t="n">
        <v>48.9</v>
      </c>
      <c r="L182" s="18" t="n">
        <v>0</v>
      </c>
      <c r="M182" s="19" t="n">
        <v>26.9</v>
      </c>
      <c r="N182" s="31" t="inlineStr">
        <is>
          <t>➡️ Neutral</t>
        </is>
      </c>
      <c r="O182" s="31" t="inlineStr">
        <is>
          <t>🔴 Not Qualified</t>
        </is>
      </c>
      <c r="P182" s="31" t="inlineStr">
        <is>
          <t>🔴 Avoid</t>
        </is>
      </c>
      <c r="Q182" s="83" t="inlineStr">
        <is>
          <t>FULL</t>
        </is>
      </c>
    </row>
    <row r="183" ht="16" customHeight="1">
      <c r="A183" s="13" t="n">
        <v>179</v>
      </c>
      <c r="B183" s="14" t="inlineStr">
        <is>
          <t>Kotak Nifty SDL Apr  2027 Top 12 Equal Weight Index Fund-Regular Plan- Growth</t>
        </is>
      </c>
      <c r="C183" s="14" t="inlineStr">
        <is>
          <t>Kotak Mahindra Mutual Fund</t>
        </is>
      </c>
      <c r="D183" s="14" t="inlineStr">
        <is>
          <t>Index Fund</t>
        </is>
      </c>
      <c r="E183" s="15" t="n">
        <v>0.45</v>
      </c>
      <c r="F183" s="15" t="n">
        <v>1.51</v>
      </c>
      <c r="G183" s="15" t="n">
        <v>2.77</v>
      </c>
      <c r="H183" s="15" t="n">
        <v>5.97</v>
      </c>
      <c r="I183" s="15" t="n">
        <v>7.042047812997287</v>
      </c>
      <c r="J183" s="15" t="n">
        <v>23.83</v>
      </c>
      <c r="K183" s="37" t="n">
        <v>48.7</v>
      </c>
      <c r="L183" s="18" t="n">
        <v>0</v>
      </c>
      <c r="M183" s="19" t="n">
        <v>26.8</v>
      </c>
      <c r="N183" s="20" t="inlineStr">
        <is>
          <t>➡️ Neutral</t>
        </is>
      </c>
      <c r="O183" s="20" t="inlineStr">
        <is>
          <t>🔴 Not Qualified</t>
        </is>
      </c>
      <c r="P183" s="20" t="inlineStr">
        <is>
          <t>🔴 Avoid</t>
        </is>
      </c>
      <c r="Q183" s="83" t="inlineStr">
        <is>
          <t>FULL</t>
        </is>
      </c>
    </row>
    <row r="184" ht="16" customHeight="1">
      <c r="A184" s="92" t="n">
        <v>180</v>
      </c>
      <c r="B184" s="93" t="inlineStr">
        <is>
          <t>ICICI Prudential Nifty 500 Index Fund - Growth</t>
        </is>
      </c>
      <c r="C184" s="93" t="inlineStr">
        <is>
          <t>ICICI Prudential Mutual Fund</t>
        </is>
      </c>
      <c r="D184" s="93" t="inlineStr">
        <is>
          <t>Index Fund</t>
        </is>
      </c>
      <c r="E184" s="94" t="n">
        <v>0.67</v>
      </c>
      <c r="F184" s="94" t="n">
        <v>4.48</v>
      </c>
      <c r="G184" s="97" t="n">
        <v>-0.71</v>
      </c>
      <c r="H184" s="94" t="n">
        <v>3.23</v>
      </c>
      <c r="I184" s="94" t="n">
        <v>0</v>
      </c>
      <c r="J184" s="94" t="n">
        <v>0</v>
      </c>
      <c r="K184" s="37" t="n">
        <v>48.2</v>
      </c>
      <c r="L184" s="18" t="n">
        <v>0</v>
      </c>
      <c r="M184" s="19" t="n">
        <v>26.5</v>
      </c>
      <c r="N184" s="95" t="inlineStr">
        <is>
          <t>➡️ Neutral</t>
        </is>
      </c>
      <c r="O184" s="95" t="inlineStr">
        <is>
          <t>⏳ New Fund</t>
        </is>
      </c>
      <c r="P184" s="95" t="inlineStr">
        <is>
          <t>⏳ New Fund</t>
        </is>
      </c>
      <c r="Q184" s="96" t="inlineStr">
        <is>
          <t>MOMENTUM_ONLY</t>
        </is>
      </c>
    </row>
    <row r="185" ht="16" customHeight="1">
      <c r="A185" s="13" t="n">
        <v>181</v>
      </c>
      <c r="B185" s="14" t="inlineStr">
        <is>
          <t>BANDHAN NIFTY200 MOMENTUM 30 INDEX FUND - GROWTH - REGULAR PLAN</t>
        </is>
      </c>
      <c r="C185" s="14" t="inlineStr">
        <is>
          <t>Bandhan Mutual Fund</t>
        </is>
      </c>
      <c r="D185" s="14" t="inlineStr">
        <is>
          <t>Index Fund</t>
        </is>
      </c>
      <c r="E185" s="15" t="n">
        <v>2.98</v>
      </c>
      <c r="F185" s="15" t="n">
        <v>3.6</v>
      </c>
      <c r="G185" s="16" t="n">
        <v>-2.29</v>
      </c>
      <c r="H185" s="15" t="n">
        <v>2.05</v>
      </c>
      <c r="I185" s="16" t="n">
        <v>-7.587879582816626</v>
      </c>
      <c r="J185" s="15" t="n">
        <v>40.13</v>
      </c>
      <c r="K185" s="37" t="n">
        <v>48</v>
      </c>
      <c r="L185" s="18" t="n">
        <v>0</v>
      </c>
      <c r="M185" s="19" t="n">
        <v>26.4</v>
      </c>
      <c r="N185" s="20" t="inlineStr">
        <is>
          <t>➡️ Neutral</t>
        </is>
      </c>
      <c r="O185" s="20" t="inlineStr">
        <is>
          <t>🔴 Not Qualified</t>
        </is>
      </c>
      <c r="P185" s="20" t="inlineStr">
        <is>
          <t>🔴 Avoid</t>
        </is>
      </c>
      <c r="Q185" s="83" t="inlineStr">
        <is>
          <t>FULL</t>
        </is>
      </c>
    </row>
    <row r="186" ht="16" customHeight="1">
      <c r="A186" s="28" t="n">
        <v>182</v>
      </c>
      <c r="B186" s="29" t="inlineStr">
        <is>
          <t>UTI Nifty50 Equal Weight Index Fund - Regular Plan - Growth Option</t>
        </is>
      </c>
      <c r="C186" s="29" t="inlineStr">
        <is>
          <t>UTI Mutual Fund</t>
        </is>
      </c>
      <c r="D186" s="29" t="inlineStr">
        <is>
          <t>Index Fund</t>
        </is>
      </c>
      <c r="E186" s="30" t="n">
        <v>0.6</v>
      </c>
      <c r="F186" s="30" t="n">
        <v>2.69</v>
      </c>
      <c r="G186" s="91" t="n">
        <v>-1.51</v>
      </c>
      <c r="H186" s="30" t="n">
        <v>6.35</v>
      </c>
      <c r="I186" s="30" t="n">
        <v>2.795914315696413</v>
      </c>
      <c r="J186" s="30" t="n">
        <v>45.5</v>
      </c>
      <c r="K186" s="37" t="n">
        <v>47.9</v>
      </c>
      <c r="L186" s="18" t="n">
        <v>0</v>
      </c>
      <c r="M186" s="19" t="n">
        <v>26.4</v>
      </c>
      <c r="N186" s="31" t="inlineStr">
        <is>
          <t>➡️ Neutral</t>
        </is>
      </c>
      <c r="O186" s="31" t="inlineStr">
        <is>
          <t>🔴 Not Qualified</t>
        </is>
      </c>
      <c r="P186" s="31" t="inlineStr">
        <is>
          <t>🔴 Avoid</t>
        </is>
      </c>
      <c r="Q186" s="83" t="inlineStr">
        <is>
          <t>FULL</t>
        </is>
      </c>
    </row>
    <row r="187" ht="16" customHeight="1">
      <c r="A187" s="92" t="n">
        <v>183</v>
      </c>
      <c r="B187" s="93" t="inlineStr">
        <is>
          <t>Kotak Nifty 50 Equal Weight Index Fund - Regular Plan - Growth</t>
        </is>
      </c>
      <c r="C187" s="93" t="inlineStr">
        <is>
          <t>Kotak Mahindra Mutual Fund</t>
        </is>
      </c>
      <c r="D187" s="93" t="inlineStr">
        <is>
          <t>Index Fund</t>
        </is>
      </c>
      <c r="E187" s="94" t="n">
        <v>0.62</v>
      </c>
      <c r="F187" s="94" t="n">
        <v>2.74</v>
      </c>
      <c r="G187" s="97" t="n">
        <v>-1.54</v>
      </c>
      <c r="H187" s="94" t="n">
        <v>6.15</v>
      </c>
      <c r="I187" s="94" t="n">
        <v>0</v>
      </c>
      <c r="J187" s="94" t="n">
        <v>0</v>
      </c>
      <c r="K187" s="37" t="n">
        <v>47.9</v>
      </c>
      <c r="L187" s="18" t="n">
        <v>0</v>
      </c>
      <c r="M187" s="19" t="n">
        <v>26.4</v>
      </c>
      <c r="N187" s="95" t="inlineStr">
        <is>
          <t>➡️ Neutral</t>
        </is>
      </c>
      <c r="O187" s="95" t="inlineStr">
        <is>
          <t>⏳ New Fund</t>
        </is>
      </c>
      <c r="P187" s="95" t="inlineStr">
        <is>
          <t>⏳ New Fund</t>
        </is>
      </c>
      <c r="Q187" s="96" t="inlineStr">
        <is>
          <t>MOMENTUM_ONLY</t>
        </is>
      </c>
    </row>
    <row r="188" ht="16" customHeight="1">
      <c r="A188" s="92" t="n">
        <v>183</v>
      </c>
      <c r="B188" s="93" t="inlineStr">
        <is>
          <t>Axis CRISIL-IBX Financial Services 3-6 Months Debt Index Fund - Regular Plan - Growth option</t>
        </is>
      </c>
      <c r="C188" s="93" t="inlineStr">
        <is>
          <t>Axis Mutual Fund</t>
        </is>
      </c>
      <c r="D188" s="93" t="inlineStr">
        <is>
          <t>Banking/Financial</t>
        </is>
      </c>
      <c r="E188" s="94" t="n">
        <v>0.66</v>
      </c>
      <c r="F188" s="94" t="n">
        <v>1.91</v>
      </c>
      <c r="G188" s="94" t="n">
        <v>3.62</v>
      </c>
      <c r="H188" s="94" t="n">
        <v>0</v>
      </c>
      <c r="I188" s="94" t="n">
        <v>0</v>
      </c>
      <c r="J188" s="94" t="n">
        <v>0</v>
      </c>
      <c r="K188" s="37" t="n">
        <v>47.9</v>
      </c>
      <c r="L188" s="18" t="n">
        <v>0</v>
      </c>
      <c r="M188" s="19" t="n">
        <v>26.4</v>
      </c>
      <c r="N188" s="95" t="inlineStr">
        <is>
          <t>➡️ Neutral</t>
        </is>
      </c>
      <c r="O188" s="95" t="inlineStr">
        <is>
          <t>⏳ New Fund</t>
        </is>
      </c>
      <c r="P188" s="95" t="inlineStr">
        <is>
          <t>⏳ New Fund</t>
        </is>
      </c>
      <c r="Q188" s="96" t="inlineStr">
        <is>
          <t>MOMENTUM_ONLY</t>
        </is>
      </c>
    </row>
    <row r="189" ht="16" customHeight="1">
      <c r="A189" s="13" t="n">
        <v>185</v>
      </c>
      <c r="B189" s="14" t="inlineStr">
        <is>
          <t>Motilal Oswal Nifty 200 Momentum 30 Index Fund-Regular Plan</t>
        </is>
      </c>
      <c r="C189" s="14" t="inlineStr">
        <is>
          <t>Motilal Oswal Mutual Fund</t>
        </is>
      </c>
      <c r="D189" s="14" t="inlineStr">
        <is>
          <t>Index Fund</t>
        </is>
      </c>
      <c r="E189" s="15" t="n">
        <v>2.98</v>
      </c>
      <c r="F189" s="15" t="n">
        <v>3.58</v>
      </c>
      <c r="G189" s="16" t="n">
        <v>-2.34</v>
      </c>
      <c r="H189" s="15" t="n">
        <v>1.87</v>
      </c>
      <c r="I189" s="16" t="n">
        <v>-7.61493627214408</v>
      </c>
      <c r="J189" s="15" t="n">
        <v>41.22</v>
      </c>
      <c r="K189" s="37" t="n">
        <v>47.7</v>
      </c>
      <c r="L189" s="18" t="n">
        <v>0</v>
      </c>
      <c r="M189" s="19" t="n">
        <v>26.2</v>
      </c>
      <c r="N189" s="20" t="inlineStr">
        <is>
          <t>➡️ Neutral</t>
        </is>
      </c>
      <c r="O189" s="20" t="inlineStr">
        <is>
          <t>🔴 Not Qualified</t>
        </is>
      </c>
      <c r="P189" s="20" t="inlineStr">
        <is>
          <t>🔴 Avoid</t>
        </is>
      </c>
      <c r="Q189" s="83" t="inlineStr">
        <is>
          <t>FULL</t>
        </is>
      </c>
    </row>
    <row r="190" ht="16" customHeight="1">
      <c r="A190" s="92" t="n">
        <v>186</v>
      </c>
      <c r="B190" s="93" t="inlineStr">
        <is>
          <t>Baroda BNP Paribas Nifty200 Momentum 30 Index Fund - Regular Plan - Growth Option</t>
        </is>
      </c>
      <c r="C190" s="93" t="inlineStr">
        <is>
          <t>Baroda BNP Paribas Mutual Fund</t>
        </is>
      </c>
      <c r="D190" s="93" t="inlineStr">
        <is>
          <t>Index Fund</t>
        </is>
      </c>
      <c r="E190" s="94" t="n">
        <v>2.98</v>
      </c>
      <c r="F190" s="94" t="n">
        <v>3.62</v>
      </c>
      <c r="G190" s="97" t="n">
        <v>-2.39</v>
      </c>
      <c r="H190" s="94" t="n">
        <v>1.74</v>
      </c>
      <c r="I190" s="94" t="n">
        <v>0</v>
      </c>
      <c r="J190" s="94" t="n">
        <v>0</v>
      </c>
      <c r="K190" s="37" t="n">
        <v>47.7</v>
      </c>
      <c r="L190" s="18" t="n">
        <v>0</v>
      </c>
      <c r="M190" s="19" t="n">
        <v>26.2</v>
      </c>
      <c r="N190" s="95" t="inlineStr">
        <is>
          <t>➡️ Neutral</t>
        </is>
      </c>
      <c r="O190" s="95" t="inlineStr">
        <is>
          <t>⏳ New Fund</t>
        </is>
      </c>
      <c r="P190" s="95" t="inlineStr">
        <is>
          <t>⏳ New Fund</t>
        </is>
      </c>
      <c r="Q190" s="96" t="inlineStr">
        <is>
          <t>MOMENTUM_ONLY</t>
        </is>
      </c>
    </row>
    <row r="191" ht="16" customHeight="1">
      <c r="A191" s="13" t="n">
        <v>187</v>
      </c>
      <c r="B191" s="14" t="inlineStr">
        <is>
          <t>Edelweiss CRISIL IBX 50:50 Gilt Plus SDL April 2037 Index Fund - Regular Plan - Growth</t>
        </is>
      </c>
      <c r="C191" s="14" t="inlineStr">
        <is>
          <t>Edelweiss Mutual Fund</t>
        </is>
      </c>
      <c r="D191" s="14" t="inlineStr">
        <is>
          <t>GILT</t>
        </is>
      </c>
      <c r="E191" s="15" t="n">
        <v>0.16</v>
      </c>
      <c r="F191" s="15" t="n">
        <v>3.74</v>
      </c>
      <c r="G191" s="15" t="n">
        <v>2.83</v>
      </c>
      <c r="H191" s="15" t="n">
        <v>4.34</v>
      </c>
      <c r="I191" s="15" t="n">
        <v>6.324973548080415</v>
      </c>
      <c r="J191" s="15" t="n">
        <v>23.9</v>
      </c>
      <c r="K191" s="37" t="n">
        <v>47.5</v>
      </c>
      <c r="L191" s="18" t="n">
        <v>0</v>
      </c>
      <c r="M191" s="19" t="n">
        <v>26.2</v>
      </c>
      <c r="N191" s="20" t="inlineStr">
        <is>
          <t>➡️ Neutral</t>
        </is>
      </c>
      <c r="O191" s="20" t="inlineStr">
        <is>
          <t>🔴 Not Qualified</t>
        </is>
      </c>
      <c r="P191" s="20" t="inlineStr">
        <is>
          <t>🔴 Avoid</t>
        </is>
      </c>
      <c r="Q191" s="83" t="inlineStr">
        <is>
          <t>FULL</t>
        </is>
      </c>
    </row>
    <row r="192" ht="16" customHeight="1">
      <c r="A192" s="28" t="n">
        <v>188</v>
      </c>
      <c r="B192" s="29" t="inlineStr">
        <is>
          <t>Edelweiss CRISIL IBX 50:50 Gilt Plus SDL Short Duration Index fund - Regular Plan - Growth</t>
        </is>
      </c>
      <c r="C192" s="29" t="inlineStr">
        <is>
          <t>Edelweiss Mutual Fund</t>
        </is>
      </c>
      <c r="D192" s="29" t="inlineStr">
        <is>
          <t>GILT</t>
        </is>
      </c>
      <c r="E192" s="30" t="n">
        <v>0.47</v>
      </c>
      <c r="F192" s="30" t="n">
        <v>2.23</v>
      </c>
      <c r="G192" s="30" t="n">
        <v>2.57</v>
      </c>
      <c r="H192" s="30" t="n">
        <v>5.5</v>
      </c>
      <c r="I192" s="30" t="n">
        <v>6.691143025089019</v>
      </c>
      <c r="J192" s="30" t="n">
        <v>22.71</v>
      </c>
      <c r="K192" s="37" t="n">
        <v>47.5</v>
      </c>
      <c r="L192" s="18" t="n">
        <v>0</v>
      </c>
      <c r="M192" s="19" t="n">
        <v>26.1</v>
      </c>
      <c r="N192" s="31" t="inlineStr">
        <is>
          <t>➡️ Neutral</t>
        </is>
      </c>
      <c r="O192" s="31" t="inlineStr">
        <is>
          <t>🔴 Not Qualified</t>
        </is>
      </c>
      <c r="P192" s="31" t="inlineStr">
        <is>
          <t>🔴 Avoid</t>
        </is>
      </c>
      <c r="Q192" s="83" t="inlineStr">
        <is>
          <t>FULL</t>
        </is>
      </c>
    </row>
    <row r="193" ht="16" customHeight="1">
      <c r="A193" s="13" t="n">
        <v>189</v>
      </c>
      <c r="B193" s="14" t="inlineStr">
        <is>
          <t>Nippon India Nifty G-Sec Jun 2036 Maturity Index Fund-Regular Plan-Growth Option</t>
        </is>
      </c>
      <c r="C193" s="14" t="inlineStr">
        <is>
          <t>Nippon India Mutual Fund</t>
        </is>
      </c>
      <c r="D193" s="14" t="inlineStr">
        <is>
          <t>G-SEC</t>
        </is>
      </c>
      <c r="E193" s="15" t="n">
        <v>0.39</v>
      </c>
      <c r="F193" s="15" t="n">
        <v>3.71</v>
      </c>
      <c r="G193" s="15" t="n">
        <v>2.58</v>
      </c>
      <c r="H193" s="15" t="n">
        <v>5.26</v>
      </c>
      <c r="I193" s="15" t="n">
        <v>6.855041996154765</v>
      </c>
      <c r="J193" s="15" t="n">
        <v>25.47</v>
      </c>
      <c r="K193" s="37" t="n">
        <v>47.4</v>
      </c>
      <c r="L193" s="18" t="n">
        <v>0</v>
      </c>
      <c r="M193" s="19" t="n">
        <v>26.1</v>
      </c>
      <c r="N193" s="20" t="inlineStr">
        <is>
          <t>➡️ Neutral</t>
        </is>
      </c>
      <c r="O193" s="20" t="inlineStr">
        <is>
          <t>🔴 Not Qualified</t>
        </is>
      </c>
      <c r="P193" s="20" t="inlineStr">
        <is>
          <t>🔴 Avoid</t>
        </is>
      </c>
      <c r="Q193" s="83" t="inlineStr">
        <is>
          <t>FULL</t>
        </is>
      </c>
    </row>
    <row r="194" ht="16" customHeight="1">
      <c r="A194" s="92" t="n">
        <v>190</v>
      </c>
      <c r="B194" s="93" t="inlineStr">
        <is>
          <t>Axis Nifty 500 Index Fund - Regular Plan - Growth Option</t>
        </is>
      </c>
      <c r="C194" s="93" t="inlineStr">
        <is>
          <t>Axis Mutual Fund</t>
        </is>
      </c>
      <c r="D194" s="93" t="inlineStr">
        <is>
          <t>Index Fund</t>
        </is>
      </c>
      <c r="E194" s="94" t="n">
        <v>0.66</v>
      </c>
      <c r="F194" s="94" t="n">
        <v>4.48</v>
      </c>
      <c r="G194" s="97" t="n">
        <v>-0.8100000000000001</v>
      </c>
      <c r="H194" s="94" t="n">
        <v>3.17</v>
      </c>
      <c r="I194" s="94" t="n">
        <v>0.7571337424799873</v>
      </c>
      <c r="J194" s="94" t="n">
        <v>0</v>
      </c>
      <c r="K194" s="37" t="n">
        <v>47.3</v>
      </c>
      <c r="L194" s="18" t="n">
        <v>0</v>
      </c>
      <c r="M194" s="19" t="n">
        <v>26</v>
      </c>
      <c r="N194" s="95" t="inlineStr">
        <is>
          <t>➡️ Neutral</t>
        </is>
      </c>
      <c r="O194" s="95" t="inlineStr">
        <is>
          <t>⏳ New Fund</t>
        </is>
      </c>
      <c r="P194" s="95" t="inlineStr">
        <is>
          <t>⏳ New Fund</t>
        </is>
      </c>
      <c r="Q194" s="96" t="inlineStr">
        <is>
          <t>MOMENTUM_ONLY</t>
        </is>
      </c>
    </row>
    <row r="195" ht="16" customHeight="1">
      <c r="A195" s="13" t="n">
        <v>191</v>
      </c>
      <c r="B195" s="14" t="inlineStr">
        <is>
          <t>SBI CRISIL IBX Gilt Index - June 2036 Fund - Regular Plan - Growth</t>
        </is>
      </c>
      <c r="C195" s="14" t="inlineStr">
        <is>
          <t>SBI Mutual Fund</t>
        </is>
      </c>
      <c r="D195" s="14" t="inlineStr">
        <is>
          <t>GILT</t>
        </is>
      </c>
      <c r="E195" s="15" t="n">
        <v>0.36</v>
      </c>
      <c r="F195" s="15" t="n">
        <v>3.72</v>
      </c>
      <c r="G195" s="15" t="n">
        <v>2.58</v>
      </c>
      <c r="H195" s="15" t="n">
        <v>5.29</v>
      </c>
      <c r="I195" s="15" t="n">
        <v>6.756732808755439</v>
      </c>
      <c r="J195" s="15" t="n">
        <v>25.11</v>
      </c>
      <c r="K195" s="37" t="n">
        <v>47.3</v>
      </c>
      <c r="L195" s="18" t="n">
        <v>0</v>
      </c>
      <c r="M195" s="19" t="n">
        <v>26</v>
      </c>
      <c r="N195" s="20" t="inlineStr">
        <is>
          <t>➡️ Neutral</t>
        </is>
      </c>
      <c r="O195" s="20" t="inlineStr">
        <is>
          <t>🔴 Not Qualified</t>
        </is>
      </c>
      <c r="P195" s="20" t="inlineStr">
        <is>
          <t>🔴 Avoid</t>
        </is>
      </c>
      <c r="Q195" s="83" t="inlineStr">
        <is>
          <t>FULL</t>
        </is>
      </c>
    </row>
    <row r="196" ht="16" customHeight="1">
      <c r="A196" s="92" t="n">
        <v>191</v>
      </c>
      <c r="B196" s="93" t="inlineStr">
        <is>
          <t>KOTAK NIFTY 200 QUALITY 30 INDEX FUND - REGULAR PLAN - GROWTH</t>
        </is>
      </c>
      <c r="C196" s="93" t="inlineStr">
        <is>
          <t>Kotak Mahindra Mutual Fund</t>
        </is>
      </c>
      <c r="D196" s="93" t="inlineStr">
        <is>
          <t>Index Fund</t>
        </is>
      </c>
      <c r="E196" s="94" t="n">
        <v>2.37</v>
      </c>
      <c r="F196" s="94" t="n">
        <v>2.45</v>
      </c>
      <c r="G196" s="94" t="n">
        <v>0.24</v>
      </c>
      <c r="H196" s="94" t="n">
        <v>2.96</v>
      </c>
      <c r="I196" s="94" t="n">
        <v>0</v>
      </c>
      <c r="J196" s="94" t="n">
        <v>0</v>
      </c>
      <c r="K196" s="37" t="n">
        <v>47.3</v>
      </c>
      <c r="L196" s="18" t="n">
        <v>0</v>
      </c>
      <c r="M196" s="19" t="n">
        <v>26</v>
      </c>
      <c r="N196" s="95" t="inlineStr">
        <is>
          <t>➡️ Neutral</t>
        </is>
      </c>
      <c r="O196" s="95" t="inlineStr">
        <is>
          <t>⏳ New Fund</t>
        </is>
      </c>
      <c r="P196" s="95" t="inlineStr">
        <is>
          <t>⏳ New Fund</t>
        </is>
      </c>
      <c r="Q196" s="96" t="inlineStr">
        <is>
          <t>MOMENTUM_ONLY</t>
        </is>
      </c>
    </row>
    <row r="197" ht="16" customHeight="1">
      <c r="A197" s="13" t="n">
        <v>193</v>
      </c>
      <c r="B197" s="14" t="inlineStr">
        <is>
          <t>DSP Nifty 50 Equal Weight Index Fund - Regular Plan - Growth</t>
        </is>
      </c>
      <c r="C197" s="14" t="inlineStr">
        <is>
          <t>DSP Mutual Fund</t>
        </is>
      </c>
      <c r="D197" s="14" t="inlineStr">
        <is>
          <t>Index Fund</t>
        </is>
      </c>
      <c r="E197" s="15" t="n">
        <v>0.59</v>
      </c>
      <c r="F197" s="15" t="n">
        <v>2.68</v>
      </c>
      <c r="G197" s="16" t="n">
        <v>-1.57</v>
      </c>
      <c r="H197" s="15" t="n">
        <v>6.22</v>
      </c>
      <c r="I197" s="15" t="n">
        <v>2.795914315696413</v>
      </c>
      <c r="J197" s="15" t="n">
        <v>45.73</v>
      </c>
      <c r="K197" s="37" t="n">
        <v>47.1</v>
      </c>
      <c r="L197" s="18" t="n">
        <v>0</v>
      </c>
      <c r="M197" s="19" t="n">
        <v>25.9</v>
      </c>
      <c r="N197" s="20" t="inlineStr">
        <is>
          <t>➡️ Neutral</t>
        </is>
      </c>
      <c r="O197" s="20" t="inlineStr">
        <is>
          <t>🔴 Not Qualified</t>
        </is>
      </c>
      <c r="P197" s="20" t="inlineStr">
        <is>
          <t>🔴 Avoid</t>
        </is>
      </c>
      <c r="Q197" s="83" t="inlineStr">
        <is>
          <t>FULL</t>
        </is>
      </c>
    </row>
    <row r="198" ht="16" customHeight="1">
      <c r="A198" s="28" t="n">
        <v>194</v>
      </c>
      <c r="B198" s="29" t="inlineStr">
        <is>
          <t>HDFC NIFTY50 Equal weight Index Fund - Growth Option</t>
        </is>
      </c>
      <c r="C198" s="29" t="inlineStr">
        <is>
          <t>HDFC Mutual Fund</t>
        </is>
      </c>
      <c r="D198" s="29" t="inlineStr">
        <is>
          <t>Index Fund</t>
        </is>
      </c>
      <c r="E198" s="30" t="n">
        <v>0.59</v>
      </c>
      <c r="F198" s="30" t="n">
        <v>2.61</v>
      </c>
      <c r="G198" s="91" t="n">
        <v>-1.62</v>
      </c>
      <c r="H198" s="30" t="n">
        <v>6.18</v>
      </c>
      <c r="I198" s="30" t="n">
        <v>2.800778207171173</v>
      </c>
      <c r="J198" s="30" t="n">
        <v>45.94</v>
      </c>
      <c r="K198" s="37" t="n">
        <v>46.7</v>
      </c>
      <c r="L198" s="18" t="n">
        <v>0</v>
      </c>
      <c r="M198" s="19" t="n">
        <v>25.7</v>
      </c>
      <c r="N198" s="31" t="inlineStr">
        <is>
          <t>➡️ Neutral</t>
        </is>
      </c>
      <c r="O198" s="31" t="inlineStr">
        <is>
          <t>🔴 Not Qualified</t>
        </is>
      </c>
      <c r="P198" s="31" t="inlineStr">
        <is>
          <t>🔴 Avoid</t>
        </is>
      </c>
      <c r="Q198" s="83" t="inlineStr">
        <is>
          <t>FULL</t>
        </is>
      </c>
    </row>
    <row r="199" ht="16" customHeight="1">
      <c r="A199" s="13" t="n">
        <v>195</v>
      </c>
      <c r="B199" s="14" t="inlineStr">
        <is>
          <t>Nippon India Nifty SDL Plus G-Sec - Jun 2028 Maturity 70:30 Index Fund-Regular Plan-Growth Option</t>
        </is>
      </c>
      <c r="C199" s="14" t="inlineStr">
        <is>
          <t>Nippon India Mutual Fund</t>
        </is>
      </c>
      <c r="D199" s="14" t="inlineStr">
        <is>
          <t>G-SEC</t>
        </is>
      </c>
      <c r="E199" s="15" t="n">
        <v>0.47</v>
      </c>
      <c r="F199" s="15" t="n">
        <v>2.16</v>
      </c>
      <c r="G199" s="15" t="n">
        <v>2.52</v>
      </c>
      <c r="H199" s="15" t="n">
        <v>5.49</v>
      </c>
      <c r="I199" s="15" t="n">
        <v>7.042047812997287</v>
      </c>
      <c r="J199" s="15" t="n">
        <v>24.17</v>
      </c>
      <c r="K199" s="37" t="n">
        <v>46.4</v>
      </c>
      <c r="L199" s="18" t="n">
        <v>0</v>
      </c>
      <c r="M199" s="19" t="n">
        <v>25.5</v>
      </c>
      <c r="N199" s="20" t="inlineStr">
        <is>
          <t>➡️ Neutral</t>
        </is>
      </c>
      <c r="O199" s="20" t="inlineStr">
        <is>
          <t>🔴 Not Qualified</t>
        </is>
      </c>
      <c r="P199" s="20" t="inlineStr">
        <is>
          <t>🔴 Avoid</t>
        </is>
      </c>
      <c r="Q199" s="83" t="inlineStr">
        <is>
          <t>FULL</t>
        </is>
      </c>
    </row>
    <row r="200" ht="16" customHeight="1">
      <c r="A200" s="28" t="n">
        <v>196</v>
      </c>
      <c r="B200" s="29" t="inlineStr">
        <is>
          <t>Axis Nifty SDL September 2026 Debt Index Fund - Regular Plan - Growth</t>
        </is>
      </c>
      <c r="C200" s="29" t="inlineStr">
        <is>
          <t>Axis Mutual Fund</t>
        </is>
      </c>
      <c r="D200" s="29" t="inlineStr">
        <is>
          <t>Index Fund</t>
        </is>
      </c>
      <c r="E200" s="30" t="n">
        <v>0.45</v>
      </c>
      <c r="F200" s="30" t="n">
        <v>1.36</v>
      </c>
      <c r="G200" s="30" t="n">
        <v>2.71</v>
      </c>
      <c r="H200" s="30" t="n">
        <v>5.68</v>
      </c>
      <c r="I200" s="30" t="n">
        <v>6.826962888589128</v>
      </c>
      <c r="J200" s="30" t="n">
        <v>23.11</v>
      </c>
      <c r="K200" s="37" t="n">
        <v>46.4</v>
      </c>
      <c r="L200" s="18" t="n">
        <v>0</v>
      </c>
      <c r="M200" s="19" t="n">
        <v>25.5</v>
      </c>
      <c r="N200" s="31" t="inlineStr">
        <is>
          <t>➡️ Neutral</t>
        </is>
      </c>
      <c r="O200" s="31" t="inlineStr">
        <is>
          <t>🔴 Not Qualified</t>
        </is>
      </c>
      <c r="P200" s="31" t="inlineStr">
        <is>
          <t>🔴 Avoid</t>
        </is>
      </c>
      <c r="Q200" s="83" t="inlineStr">
        <is>
          <t>FULL</t>
        </is>
      </c>
    </row>
    <row r="201" ht="16" customHeight="1">
      <c r="A201" s="13" t="n">
        <v>197</v>
      </c>
      <c r="B201" s="14" t="inlineStr">
        <is>
          <t>BANDHAN CRISIL IBX 90:10 SDL PLUS GILT - NOV 2026 INDEX FUND - REGULAR GROWTH</t>
        </is>
      </c>
      <c r="C201" s="14" t="inlineStr">
        <is>
          <t>Bandhan Mutual Fund</t>
        </is>
      </c>
      <c r="D201" s="14" t="inlineStr">
        <is>
          <t>GILT</t>
        </is>
      </c>
      <c r="E201" s="15" t="n">
        <v>0.47</v>
      </c>
      <c r="F201" s="15" t="n">
        <v>1.4</v>
      </c>
      <c r="G201" s="15" t="n">
        <v>2.68</v>
      </c>
      <c r="H201" s="15" t="n">
        <v>5.61</v>
      </c>
      <c r="I201" s="15" t="n">
        <v>6.780147967681716</v>
      </c>
      <c r="J201" s="15" t="n">
        <v>22.91</v>
      </c>
      <c r="K201" s="37" t="n">
        <v>46.3</v>
      </c>
      <c r="L201" s="18" t="n">
        <v>0</v>
      </c>
      <c r="M201" s="19" t="n">
        <v>25.5</v>
      </c>
      <c r="N201" s="20" t="inlineStr">
        <is>
          <t>➡️ Neutral</t>
        </is>
      </c>
      <c r="O201" s="20" t="inlineStr">
        <is>
          <t>🔴 Not Qualified</t>
        </is>
      </c>
      <c r="P201" s="20" t="inlineStr">
        <is>
          <t>🔴 Avoid</t>
        </is>
      </c>
      <c r="Q201" s="83" t="inlineStr">
        <is>
          <t>FULL</t>
        </is>
      </c>
    </row>
    <row r="202" ht="16" customHeight="1">
      <c r="A202" s="92" t="n">
        <v>197</v>
      </c>
      <c r="B202" s="93" t="inlineStr">
        <is>
          <t>Edelweiss Nifty500 Multicap Momentum Quality 50 Index Fund - Regular - Growth</t>
        </is>
      </c>
      <c r="C202" s="93" t="inlineStr">
        <is>
          <t>Edelweiss Mutual Fund</t>
        </is>
      </c>
      <c r="D202" s="93" t="inlineStr">
        <is>
          <t>Index Fund</t>
        </is>
      </c>
      <c r="E202" s="94" t="n">
        <v>3.2</v>
      </c>
      <c r="F202" s="97" t="n">
        <v>-0.7</v>
      </c>
      <c r="G202" s="94" t="n">
        <v>1.63</v>
      </c>
      <c r="H202" s="94" t="n">
        <v>3.51</v>
      </c>
      <c r="I202" s="94" t="n">
        <v>0</v>
      </c>
      <c r="J202" s="94" t="n">
        <v>0</v>
      </c>
      <c r="K202" s="37" t="n">
        <v>46.3</v>
      </c>
      <c r="L202" s="18" t="n">
        <v>0</v>
      </c>
      <c r="M202" s="19" t="n">
        <v>25.5</v>
      </c>
      <c r="N202" s="95" t="inlineStr">
        <is>
          <t>➡️ Neutral</t>
        </is>
      </c>
      <c r="O202" s="95" t="inlineStr">
        <is>
          <t>⏳ New Fund</t>
        </is>
      </c>
      <c r="P202" s="95" t="inlineStr">
        <is>
          <t>⏳ New Fund</t>
        </is>
      </c>
      <c r="Q202" s="96" t="inlineStr">
        <is>
          <t>MOMENTUM_ONLY</t>
        </is>
      </c>
    </row>
    <row r="203" ht="16" customHeight="1">
      <c r="A203" s="13" t="n">
        <v>199</v>
      </c>
      <c r="B203" s="14" t="inlineStr">
        <is>
          <t>HDFC NIFTY SDL Plus G-Sec Jun 2027 40:60 Index Fund - Growth Option</t>
        </is>
      </c>
      <c r="C203" s="14" t="inlineStr">
        <is>
          <t>HDFC Mutual Fund</t>
        </is>
      </c>
      <c r="D203" s="14" t="inlineStr">
        <is>
          <t>G-SEC</t>
        </is>
      </c>
      <c r="E203" s="15" t="n">
        <v>0.44</v>
      </c>
      <c r="F203" s="15" t="n">
        <v>1.62</v>
      </c>
      <c r="G203" s="15" t="n">
        <v>2.6</v>
      </c>
      <c r="H203" s="15" t="n">
        <v>5.71</v>
      </c>
      <c r="I203" s="15" t="n">
        <v>6.915854764389362</v>
      </c>
      <c r="J203" s="15" t="n">
        <v>23.59</v>
      </c>
      <c r="K203" s="37" t="n">
        <v>45.8</v>
      </c>
      <c r="L203" s="18" t="n">
        <v>0</v>
      </c>
      <c r="M203" s="19" t="n">
        <v>25.2</v>
      </c>
      <c r="N203" s="20" t="inlineStr">
        <is>
          <t>➡️ Neutral</t>
        </is>
      </c>
      <c r="O203" s="20" t="inlineStr">
        <is>
          <t>🔴 Not Qualified</t>
        </is>
      </c>
      <c r="P203" s="20" t="inlineStr">
        <is>
          <t>🔴 Avoid</t>
        </is>
      </c>
      <c r="Q203" s="83" t="inlineStr">
        <is>
          <t>FULL</t>
        </is>
      </c>
    </row>
    <row r="204" ht="16" customHeight="1">
      <c r="A204" s="92" t="n">
        <v>200</v>
      </c>
      <c r="B204" s="93" t="inlineStr">
        <is>
          <t>SBI Nifty50 Equal Weight Index Fund - Regular Plan - Income Distribution Cum Capital Withdrawal Option</t>
        </is>
      </c>
      <c r="C204" s="93" t="inlineStr">
        <is>
          <t>SBI Mutual Fund</t>
        </is>
      </c>
      <c r="D204" s="93" t="inlineStr">
        <is>
          <t>Index Fund</t>
        </is>
      </c>
      <c r="E204" s="94" t="n">
        <v>0.58</v>
      </c>
      <c r="F204" s="94" t="n">
        <v>2.6</v>
      </c>
      <c r="G204" s="97" t="n">
        <v>-1.64</v>
      </c>
      <c r="H204" s="94" t="n">
        <v>6.15</v>
      </c>
      <c r="I204" s="94" t="n">
        <v>2.713192920870688</v>
      </c>
      <c r="J204" s="94" t="n">
        <v>0</v>
      </c>
      <c r="K204" s="37" t="n">
        <v>45.8</v>
      </c>
      <c r="L204" s="18" t="n">
        <v>0</v>
      </c>
      <c r="M204" s="19" t="n">
        <v>25.2</v>
      </c>
      <c r="N204" s="95" t="inlineStr">
        <is>
          <t>➡️ Neutral</t>
        </is>
      </c>
      <c r="O204" s="95" t="inlineStr">
        <is>
          <t>⏳ New Fund</t>
        </is>
      </c>
      <c r="P204" s="95" t="inlineStr">
        <is>
          <t>⏳ New Fund</t>
        </is>
      </c>
      <c r="Q204" s="96" t="inlineStr">
        <is>
          <t>MOMENTUM_ONLY</t>
        </is>
      </c>
    </row>
    <row r="205" ht="16" customHeight="1">
      <c r="A205" s="92" t="n">
        <v>200</v>
      </c>
      <c r="B205" s="93" t="inlineStr">
        <is>
          <t>SBI Nifty50 Equal Weight Index Fund - Regular Plan - Growth</t>
        </is>
      </c>
      <c r="C205" s="93" t="inlineStr">
        <is>
          <t>SBI Mutual Fund</t>
        </is>
      </c>
      <c r="D205" s="93" t="inlineStr">
        <is>
          <t>Index Fund</t>
        </is>
      </c>
      <c r="E205" s="94" t="n">
        <v>0.58</v>
      </c>
      <c r="F205" s="94" t="n">
        <v>2.6</v>
      </c>
      <c r="G205" s="97" t="n">
        <v>-1.64</v>
      </c>
      <c r="H205" s="94" t="n">
        <v>6.15</v>
      </c>
      <c r="I205" s="94" t="n">
        <v>2.713192920870688</v>
      </c>
      <c r="J205" s="94" t="n">
        <v>0</v>
      </c>
      <c r="K205" s="37" t="n">
        <v>45.8</v>
      </c>
      <c r="L205" s="18" t="n">
        <v>0</v>
      </c>
      <c r="M205" s="19" t="n">
        <v>25.2</v>
      </c>
      <c r="N205" s="95" t="inlineStr">
        <is>
          <t>➡️ Neutral</t>
        </is>
      </c>
      <c r="O205" s="95" t="inlineStr">
        <is>
          <t>⏳ New Fund</t>
        </is>
      </c>
      <c r="P205" s="95" t="inlineStr">
        <is>
          <t>⏳ New Fund</t>
        </is>
      </c>
      <c r="Q205" s="96" t="inlineStr">
        <is>
          <t>MOMENTUM_ONLY</t>
        </is>
      </c>
    </row>
    <row r="206" ht="16" customHeight="1">
      <c r="A206" s="28" t="n">
        <v>202</v>
      </c>
      <c r="B206" s="29" t="inlineStr">
        <is>
          <t>Aditya Birla Sun Life Nifty SDL Apr 2027 Index Fund-Regular Growth</t>
        </is>
      </c>
      <c r="C206" s="29" t="inlineStr">
        <is>
          <t>Aditya Birla Sun Life Mutual Fund</t>
        </is>
      </c>
      <c r="D206" s="29" t="inlineStr">
        <is>
          <t>Index Fund</t>
        </is>
      </c>
      <c r="E206" s="30" t="n">
        <v>0.46</v>
      </c>
      <c r="F206" s="30" t="n">
        <v>1.41</v>
      </c>
      <c r="G206" s="30" t="n">
        <v>2.65</v>
      </c>
      <c r="H206" s="30" t="n">
        <v>5.59</v>
      </c>
      <c r="I206" s="30" t="n">
        <v>6.733312513010659</v>
      </c>
      <c r="J206" s="30" t="n">
        <v>22.8</v>
      </c>
      <c r="K206" s="37" t="n">
        <v>45.7</v>
      </c>
      <c r="L206" s="18" t="n">
        <v>0</v>
      </c>
      <c r="M206" s="19" t="n">
        <v>25.2</v>
      </c>
      <c r="N206" s="31" t="inlineStr">
        <is>
          <t>➡️ Neutral</t>
        </is>
      </c>
      <c r="O206" s="31" t="inlineStr">
        <is>
          <t>🔴 Not Qualified</t>
        </is>
      </c>
      <c r="P206" s="31" t="inlineStr">
        <is>
          <t>🔴 Avoid</t>
        </is>
      </c>
      <c r="Q206" s="83" t="inlineStr">
        <is>
          <t>FULL</t>
        </is>
      </c>
    </row>
    <row r="207" ht="16" customHeight="1">
      <c r="A207" s="13" t="n">
        <v>203</v>
      </c>
      <c r="B207" s="14" t="inlineStr">
        <is>
          <t>Baroda BNP Paribas Nifty SDL December 2026 Index Fund - Regular Plan - Growth Option</t>
        </is>
      </c>
      <c r="C207" s="14" t="inlineStr">
        <is>
          <t>Baroda BNP Paribas Mutual Fund</t>
        </is>
      </c>
      <c r="D207" s="14" t="inlineStr">
        <is>
          <t>Index Fund</t>
        </is>
      </c>
      <c r="E207" s="15" t="n">
        <v>0.49</v>
      </c>
      <c r="F207" s="15" t="n">
        <v>1.44</v>
      </c>
      <c r="G207" s="15" t="n">
        <v>2.7</v>
      </c>
      <c r="H207" s="15" t="n">
        <v>5.49</v>
      </c>
      <c r="I207" s="15" t="n">
        <v>6.775465346679699</v>
      </c>
      <c r="J207" s="15" t="n">
        <v>22.86</v>
      </c>
      <c r="K207" s="37" t="n">
        <v>45.7</v>
      </c>
      <c r="L207" s="18" t="n">
        <v>0</v>
      </c>
      <c r="M207" s="19" t="n">
        <v>25.1</v>
      </c>
      <c r="N207" s="20" t="inlineStr">
        <is>
          <t>➡️ Neutral</t>
        </is>
      </c>
      <c r="O207" s="20" t="inlineStr">
        <is>
          <t>🔴 Not Qualified</t>
        </is>
      </c>
      <c r="P207" s="20" t="inlineStr">
        <is>
          <t>🔴 Avoid</t>
        </is>
      </c>
      <c r="Q207" s="83" t="inlineStr">
        <is>
          <t>FULL</t>
        </is>
      </c>
    </row>
    <row r="208" ht="16" customHeight="1">
      <c r="A208" s="28" t="n">
        <v>204</v>
      </c>
      <c r="B208" s="29" t="inlineStr">
        <is>
          <t>DSP Nifty SDL Plus G-Sec Jun 2028 30:70 Index Fund - Regular - Growth</t>
        </is>
      </c>
      <c r="C208" s="29" t="inlineStr">
        <is>
          <t>DSP Mutual Fund</t>
        </is>
      </c>
      <c r="D208" s="29" t="inlineStr">
        <is>
          <t>G-SEC</t>
        </is>
      </c>
      <c r="E208" s="30" t="n">
        <v>0.43</v>
      </c>
      <c r="F208" s="30" t="n">
        <v>2.03</v>
      </c>
      <c r="G208" s="30" t="n">
        <v>2.47</v>
      </c>
      <c r="H208" s="30" t="n">
        <v>5.61</v>
      </c>
      <c r="I208" s="30" t="n">
        <v>7.060730429042006</v>
      </c>
      <c r="J208" s="30" t="n">
        <v>24.13</v>
      </c>
      <c r="K208" s="37" t="n">
        <v>45.2</v>
      </c>
      <c r="L208" s="18" t="n">
        <v>0</v>
      </c>
      <c r="M208" s="19" t="n">
        <v>24.9</v>
      </c>
      <c r="N208" s="31" t="inlineStr">
        <is>
          <t>➡️ Neutral</t>
        </is>
      </c>
      <c r="O208" s="31" t="inlineStr">
        <is>
          <t>🔴 Not Qualified</t>
        </is>
      </c>
      <c r="P208" s="31" t="inlineStr">
        <is>
          <t>🔴 Avoid</t>
        </is>
      </c>
      <c r="Q208" s="83" t="inlineStr">
        <is>
          <t>FULL</t>
        </is>
      </c>
    </row>
    <row r="209" ht="16" customHeight="1">
      <c r="A209" s="13" t="n">
        <v>205</v>
      </c>
      <c r="B209" s="14" t="inlineStr">
        <is>
          <t>Axis CRISIL IBX 50:50 Gilt Plus SDL June 2028 Index Fund - Regular Plan - Growth</t>
        </is>
      </c>
      <c r="C209" s="14" t="inlineStr">
        <is>
          <t>Axis Mutual Fund</t>
        </is>
      </c>
      <c r="D209" s="14" t="inlineStr">
        <is>
          <t>GILT</t>
        </is>
      </c>
      <c r="E209" s="15" t="n">
        <v>0.44</v>
      </c>
      <c r="F209" s="15" t="n">
        <v>2.23</v>
      </c>
      <c r="G209" s="15" t="n">
        <v>2.46</v>
      </c>
      <c r="H209" s="15" t="n">
        <v>5.49</v>
      </c>
      <c r="I209" s="15" t="n">
        <v>7.051389528581087</v>
      </c>
      <c r="J209" s="15" t="n">
        <v>24.11</v>
      </c>
      <c r="K209" s="37" t="n">
        <v>45.1</v>
      </c>
      <c r="L209" s="18" t="n">
        <v>0</v>
      </c>
      <c r="M209" s="19" t="n">
        <v>24.8</v>
      </c>
      <c r="N209" s="20" t="inlineStr">
        <is>
          <t>➡️ Neutral</t>
        </is>
      </c>
      <c r="O209" s="20" t="inlineStr">
        <is>
          <t>🔴 Not Qualified</t>
        </is>
      </c>
      <c r="P209" s="20" t="inlineStr">
        <is>
          <t>🔴 Avoid</t>
        </is>
      </c>
      <c r="Q209" s="83" t="inlineStr">
        <is>
          <t>FULL</t>
        </is>
      </c>
    </row>
    <row r="210" ht="16" customHeight="1">
      <c r="A210" s="28" t="n">
        <v>205</v>
      </c>
      <c r="B210" s="29" t="inlineStr">
        <is>
          <t>Nippon India Nifty SDL Plus G-Sec-Jun 2029 Maturity 70:30 Index Fund-Regular Plan- Growth Option</t>
        </is>
      </c>
      <c r="C210" s="29" t="inlineStr">
        <is>
          <t>Nippon India Mutual Fund</t>
        </is>
      </c>
      <c r="D210" s="29" t="inlineStr">
        <is>
          <t>G-SEC</t>
        </is>
      </c>
      <c r="E210" s="30" t="n">
        <v>0.43</v>
      </c>
      <c r="F210" s="30" t="n">
        <v>2.55</v>
      </c>
      <c r="G210" s="30" t="n">
        <v>2.55</v>
      </c>
      <c r="H210" s="30" t="n">
        <v>5.57</v>
      </c>
      <c r="I210" s="30" t="n">
        <v>7.121426428142752</v>
      </c>
      <c r="J210" s="30" t="n">
        <v>24.63</v>
      </c>
      <c r="K210" s="37" t="n">
        <v>45.1</v>
      </c>
      <c r="L210" s="18" t="n">
        <v>0</v>
      </c>
      <c r="M210" s="19" t="n">
        <v>24.8</v>
      </c>
      <c r="N210" s="31" t="inlineStr">
        <is>
          <t>➡️ Neutral</t>
        </is>
      </c>
      <c r="O210" s="31" t="inlineStr">
        <is>
          <t>🔴 Not Qualified</t>
        </is>
      </c>
      <c r="P210" s="31" t="inlineStr">
        <is>
          <t>🔴 Avoid</t>
        </is>
      </c>
      <c r="Q210" s="83" t="inlineStr">
        <is>
          <t>FULL</t>
        </is>
      </c>
    </row>
    <row r="211" ht="16" customHeight="1">
      <c r="A211" s="13" t="n">
        <v>207</v>
      </c>
      <c r="B211" s="14" t="inlineStr">
        <is>
          <t>HDFC Nifty SDL Oct 2026 Index Fund - Growth Option</t>
        </is>
      </c>
      <c r="C211" s="14" t="inlineStr">
        <is>
          <t>HDFC Mutual Fund</t>
        </is>
      </c>
      <c r="D211" s="14" t="inlineStr">
        <is>
          <t>Index Fund</t>
        </is>
      </c>
      <c r="E211" s="15" t="n">
        <v>0.45</v>
      </c>
      <c r="F211" s="15" t="n">
        <v>1.34</v>
      </c>
      <c r="G211" s="15" t="n">
        <v>2.64</v>
      </c>
      <c r="H211" s="15" t="n">
        <v>5.59</v>
      </c>
      <c r="I211" s="15" t="n">
        <v>6.719257868484085</v>
      </c>
      <c r="J211" s="15" t="n">
        <v>22.82</v>
      </c>
      <c r="K211" s="37" t="n">
        <v>44.8</v>
      </c>
      <c r="L211" s="18" t="n">
        <v>0</v>
      </c>
      <c r="M211" s="19" t="n">
        <v>24.7</v>
      </c>
      <c r="N211" s="20" t="inlineStr">
        <is>
          <t>➡️ Neutral</t>
        </is>
      </c>
      <c r="O211" s="20" t="inlineStr">
        <is>
          <t>🔴 Not Qualified</t>
        </is>
      </c>
      <c r="P211" s="20" t="inlineStr">
        <is>
          <t>🔴 Avoid</t>
        </is>
      </c>
      <c r="Q211" s="83" t="inlineStr">
        <is>
          <t>FULL</t>
        </is>
      </c>
    </row>
    <row r="212" ht="16" customHeight="1">
      <c r="A212" s="28" t="n">
        <v>208</v>
      </c>
      <c r="B212" s="29" t="inlineStr">
        <is>
          <t>Edelweiss CRISIL IBX 50:50 Gilt Plus SDL June 2027 Index Fund - Regular Plan - Growth</t>
        </is>
      </c>
      <c r="C212" s="29" t="inlineStr">
        <is>
          <t>Edelweiss Mutual Fund</t>
        </is>
      </c>
      <c r="D212" s="29" t="inlineStr">
        <is>
          <t>GILT</t>
        </is>
      </c>
      <c r="E212" s="30" t="n">
        <v>0.44</v>
      </c>
      <c r="F212" s="30" t="n">
        <v>1.59</v>
      </c>
      <c r="G212" s="30" t="n">
        <v>2.56</v>
      </c>
      <c r="H212" s="30" t="n">
        <v>5.61</v>
      </c>
      <c r="I212" s="30" t="n">
        <v>6.812920566755398</v>
      </c>
      <c r="J212" s="30" t="n">
        <v>23.21</v>
      </c>
      <c r="K212" s="37" t="n">
        <v>44.6</v>
      </c>
      <c r="L212" s="18" t="n">
        <v>0</v>
      </c>
      <c r="M212" s="19" t="n">
        <v>24.5</v>
      </c>
      <c r="N212" s="31" t="inlineStr">
        <is>
          <t>➡️ Neutral</t>
        </is>
      </c>
      <c r="O212" s="31" t="inlineStr">
        <is>
          <t>🔴 Not Qualified</t>
        </is>
      </c>
      <c r="P212" s="31" t="inlineStr">
        <is>
          <t>🔴 Avoid</t>
        </is>
      </c>
      <c r="Q212" s="83" t="inlineStr">
        <is>
          <t>FULL</t>
        </is>
      </c>
    </row>
    <row r="213" ht="16" customHeight="1">
      <c r="A213" s="92" t="n">
        <v>209</v>
      </c>
      <c r="B213" s="93" t="inlineStr">
        <is>
          <t>DSP Nifty 500 Index Fund - Regular - Growth</t>
        </is>
      </c>
      <c r="C213" s="93" t="inlineStr">
        <is>
          <t>DSP Mutual Fund</t>
        </is>
      </c>
      <c r="D213" s="93" t="inlineStr">
        <is>
          <t>Index Fund</t>
        </is>
      </c>
      <c r="E213" s="94" t="n">
        <v>0.68</v>
      </c>
      <c r="F213" s="94" t="n">
        <v>4.49</v>
      </c>
      <c r="G213" s="97" t="n">
        <v>-0.66</v>
      </c>
      <c r="H213" s="94" t="n">
        <v>0</v>
      </c>
      <c r="I213" s="94" t="n">
        <v>0</v>
      </c>
      <c r="J213" s="94" t="n">
        <v>0</v>
      </c>
      <c r="K213" s="37" t="n">
        <v>44.5</v>
      </c>
      <c r="L213" s="18" t="n">
        <v>0</v>
      </c>
      <c r="M213" s="19" t="n">
        <v>24.5</v>
      </c>
      <c r="N213" s="95" t="inlineStr">
        <is>
          <t>➡️ Neutral</t>
        </is>
      </c>
      <c r="O213" s="95" t="inlineStr">
        <is>
          <t>⏳ New Fund</t>
        </is>
      </c>
      <c r="P213" s="95" t="inlineStr">
        <is>
          <t>⏳ New Fund</t>
        </is>
      </c>
      <c r="Q213" s="96" t="inlineStr">
        <is>
          <t>MOMENTUM_ONLY</t>
        </is>
      </c>
    </row>
    <row r="214" ht="16" customHeight="1">
      <c r="A214" s="28" t="n">
        <v>210</v>
      </c>
      <c r="B214" s="29" t="inlineStr">
        <is>
          <t>ICICI Prudential Nifty50 Equal Weight Index Fund- Growth</t>
        </is>
      </c>
      <c r="C214" s="29" t="inlineStr">
        <is>
          <t>ICICI Prudential Mutual Fund</t>
        </is>
      </c>
      <c r="D214" s="29" t="inlineStr">
        <is>
          <t>Index Fund</t>
        </is>
      </c>
      <c r="E214" s="30" t="n">
        <v>0.57</v>
      </c>
      <c r="F214" s="30" t="n">
        <v>2.56</v>
      </c>
      <c r="G214" s="91" t="n">
        <v>-1.69</v>
      </c>
      <c r="H214" s="30" t="n">
        <v>5.98</v>
      </c>
      <c r="I214" s="30" t="n">
        <v>2.674242144756045</v>
      </c>
      <c r="J214" s="30" t="n">
        <v>45.06</v>
      </c>
      <c r="K214" s="37" t="n">
        <v>44.4</v>
      </c>
      <c r="L214" s="18" t="n">
        <v>0</v>
      </c>
      <c r="M214" s="19" t="n">
        <v>24.4</v>
      </c>
      <c r="N214" s="31" t="inlineStr">
        <is>
          <t>➡️ Neutral</t>
        </is>
      </c>
      <c r="O214" s="31" t="inlineStr">
        <is>
          <t>🔴 Not Qualified</t>
        </is>
      </c>
      <c r="P214" s="31" t="inlineStr">
        <is>
          <t>🔴 Avoid</t>
        </is>
      </c>
      <c r="Q214" s="83" t="inlineStr">
        <is>
          <t>FULL</t>
        </is>
      </c>
    </row>
    <row r="215" ht="16" customHeight="1">
      <c r="A215" s="92" t="n">
        <v>211</v>
      </c>
      <c r="B215" s="93" t="inlineStr">
        <is>
          <t>Bandhan CRISIL-IBX 10:90 Gilt Plus SDL Index - Dec 2029 Fund-Regular Plan-Growth</t>
        </is>
      </c>
      <c r="C215" s="93" t="inlineStr">
        <is>
          <t>Bandhan Mutual Fund</t>
        </is>
      </c>
      <c r="D215" s="93" t="inlineStr">
        <is>
          <t>GILT</t>
        </is>
      </c>
      <c r="E215" s="94" t="n">
        <v>0.54</v>
      </c>
      <c r="F215" s="94" t="n">
        <v>2.47</v>
      </c>
      <c r="G215" s="94" t="n">
        <v>2.43</v>
      </c>
      <c r="H215" s="94" t="n">
        <v>5</v>
      </c>
      <c r="I215" s="94" t="n">
        <v>0</v>
      </c>
      <c r="J215" s="94" t="n">
        <v>0</v>
      </c>
      <c r="K215" s="37" t="n">
        <v>44.1</v>
      </c>
      <c r="L215" s="18" t="n">
        <v>0</v>
      </c>
      <c r="M215" s="19" t="n">
        <v>24.2</v>
      </c>
      <c r="N215" s="95" t="inlineStr">
        <is>
          <t>➡️ Neutral</t>
        </is>
      </c>
      <c r="O215" s="95" t="inlineStr">
        <is>
          <t>⏳ New Fund</t>
        </is>
      </c>
      <c r="P215" s="95" t="inlineStr">
        <is>
          <t>⏳ New Fund</t>
        </is>
      </c>
      <c r="Q215" s="96" t="inlineStr">
        <is>
          <t>MOMENTUM_ONLY</t>
        </is>
      </c>
    </row>
    <row r="216" ht="16" customHeight="1">
      <c r="A216" s="28" t="n">
        <v>212</v>
      </c>
      <c r="B216" s="29" t="inlineStr">
        <is>
          <t>HDFC Nifty G-Sec Dec 2026 Index Fund - Growth Option</t>
        </is>
      </c>
      <c r="C216" s="29" t="inlineStr">
        <is>
          <t>HDFC Mutual Fund</t>
        </is>
      </c>
      <c r="D216" s="29" t="inlineStr">
        <is>
          <t>G-SEC</t>
        </is>
      </c>
      <c r="E216" s="30" t="n">
        <v>0.45</v>
      </c>
      <c r="F216" s="30" t="n">
        <v>1.44</v>
      </c>
      <c r="G216" s="30" t="n">
        <v>2.59</v>
      </c>
      <c r="H216" s="30" t="n">
        <v>5.51</v>
      </c>
      <c r="I216" s="30" t="n">
        <v>6.611444038620928</v>
      </c>
      <c r="J216" s="30" t="n">
        <v>22.64</v>
      </c>
      <c r="K216" s="37" t="n">
        <v>44.1</v>
      </c>
      <c r="L216" s="18" t="n">
        <v>0</v>
      </c>
      <c r="M216" s="19" t="n">
        <v>24.2</v>
      </c>
      <c r="N216" s="31" t="inlineStr">
        <is>
          <t>➡️ Neutral</t>
        </is>
      </c>
      <c r="O216" s="31" t="inlineStr">
        <is>
          <t>🔴 Not Qualified</t>
        </is>
      </c>
      <c r="P216" s="31" t="inlineStr">
        <is>
          <t>🔴 Avoid</t>
        </is>
      </c>
      <c r="Q216" s="83" t="inlineStr">
        <is>
          <t>FULL</t>
        </is>
      </c>
    </row>
    <row r="217" ht="16" customHeight="1">
      <c r="A217" s="13" t="n">
        <v>213</v>
      </c>
      <c r="B217" s="14" t="inlineStr">
        <is>
          <t>Aditya Birla Sun Life Crisil IBX 50:50 Gilt Plus SDL Apr 2028 Index Fund-Regular Growth</t>
        </is>
      </c>
      <c r="C217" s="14" t="inlineStr">
        <is>
          <t>Aditya Birla Sun Life Mutual Fund</t>
        </is>
      </c>
      <c r="D217" s="14" t="inlineStr">
        <is>
          <t>GILT</t>
        </is>
      </c>
      <c r="E217" s="15" t="n">
        <v>0.45</v>
      </c>
      <c r="F217" s="15" t="n">
        <v>2.1</v>
      </c>
      <c r="G217" s="15" t="n">
        <v>2.33</v>
      </c>
      <c r="H217" s="15" t="n">
        <v>5.48</v>
      </c>
      <c r="I217" s="15" t="n">
        <v>7.042047812997287</v>
      </c>
      <c r="J217" s="15" t="n">
        <v>24.13</v>
      </c>
      <c r="K217" s="37" t="n">
        <v>43.9</v>
      </c>
      <c r="L217" s="18" t="n">
        <v>0</v>
      </c>
      <c r="M217" s="19" t="n">
        <v>24.2</v>
      </c>
      <c r="N217" s="20" t="inlineStr">
        <is>
          <t>➡️ Neutral</t>
        </is>
      </c>
      <c r="O217" s="20" t="inlineStr">
        <is>
          <t>🔴 Not Qualified</t>
        </is>
      </c>
      <c r="P217" s="20" t="inlineStr">
        <is>
          <t>🔴 Avoid</t>
        </is>
      </c>
      <c r="Q217" s="83" t="inlineStr">
        <is>
          <t>FULL</t>
        </is>
      </c>
    </row>
    <row r="218" ht="16" customHeight="1">
      <c r="A218" s="28" t="n">
        <v>214</v>
      </c>
      <c r="B218" s="29" t="inlineStr">
        <is>
          <t>HDFC Nifty G-Sec Apr 2029 Index Fund - Growth Option</t>
        </is>
      </c>
      <c r="C218" s="29" t="inlineStr">
        <is>
          <t>HDFC Mutual Fund</t>
        </is>
      </c>
      <c r="D218" s="29" t="inlineStr">
        <is>
          <t>G-SEC</t>
        </is>
      </c>
      <c r="E218" s="30" t="n">
        <v>0.38</v>
      </c>
      <c r="F218" s="30" t="n">
        <v>2.44</v>
      </c>
      <c r="G218" s="30" t="n">
        <v>2.34</v>
      </c>
      <c r="H218" s="30" t="n">
        <v>5.63</v>
      </c>
      <c r="I218" s="30" t="n">
        <v>7.186752912848338</v>
      </c>
      <c r="J218" s="30" t="n">
        <v>24.87</v>
      </c>
      <c r="K218" s="37" t="n">
        <v>43.5</v>
      </c>
      <c r="L218" s="18" t="n">
        <v>0</v>
      </c>
      <c r="M218" s="19" t="n">
        <v>23.9</v>
      </c>
      <c r="N218" s="31" t="inlineStr">
        <is>
          <t>➡️ Neutral</t>
        </is>
      </c>
      <c r="O218" s="31" t="inlineStr">
        <is>
          <t>🔴 Not Qualified</t>
        </is>
      </c>
      <c r="P218" s="31" t="inlineStr">
        <is>
          <t>🔴 Avoid</t>
        </is>
      </c>
      <c r="Q218" s="83" t="inlineStr">
        <is>
          <t>FULL</t>
        </is>
      </c>
    </row>
    <row r="219" ht="16" customHeight="1">
      <c r="A219" s="13" t="n">
        <v>215</v>
      </c>
      <c r="B219" s="14" t="inlineStr">
        <is>
          <t>HDFC Nifty G-Sec Jun 2027 Index Fund - Growth Option</t>
        </is>
      </c>
      <c r="C219" s="14" t="inlineStr">
        <is>
          <t>HDFC Mutual Fund</t>
        </is>
      </c>
      <c r="D219" s="14" t="inlineStr">
        <is>
          <t>G-SEC</t>
        </is>
      </c>
      <c r="E219" s="15" t="n">
        <v>0.43</v>
      </c>
      <c r="F219" s="15" t="n">
        <v>1.65</v>
      </c>
      <c r="G219" s="15" t="n">
        <v>2.49</v>
      </c>
      <c r="H219" s="15" t="n">
        <v>5.53</v>
      </c>
      <c r="I219" s="15" t="n">
        <v>6.826962888589128</v>
      </c>
      <c r="J219" s="15" t="n">
        <v>23.41</v>
      </c>
      <c r="K219" s="37" t="n">
        <v>43.2</v>
      </c>
      <c r="L219" s="18" t="n">
        <v>0</v>
      </c>
      <c r="M219" s="19" t="n">
        <v>23.7</v>
      </c>
      <c r="N219" s="20" t="inlineStr">
        <is>
          <t>➡️ Neutral</t>
        </is>
      </c>
      <c r="O219" s="20" t="inlineStr">
        <is>
          <t>🔴 Not Qualified</t>
        </is>
      </c>
      <c r="P219" s="20" t="inlineStr">
        <is>
          <t>🔴 Avoid</t>
        </is>
      </c>
      <c r="Q219" s="83" t="inlineStr">
        <is>
          <t>FULL</t>
        </is>
      </c>
    </row>
    <row r="220" ht="16" customHeight="1">
      <c r="A220" s="28" t="n">
        <v>216</v>
      </c>
      <c r="B220" s="29" t="inlineStr">
        <is>
          <t>ICICI Prudential Nifty SDL Sep 2026 Index Fund - Growth</t>
        </is>
      </c>
      <c r="C220" s="29" t="inlineStr">
        <is>
          <t>ICICI Prudential Mutual Fund</t>
        </is>
      </c>
      <c r="D220" s="29" t="inlineStr">
        <is>
          <t>Index Fund</t>
        </is>
      </c>
      <c r="E220" s="30" t="n">
        <v>0.44</v>
      </c>
      <c r="F220" s="30" t="n">
        <v>1.33</v>
      </c>
      <c r="G220" s="30" t="n">
        <v>2.6</v>
      </c>
      <c r="H220" s="30" t="n">
        <v>5.51</v>
      </c>
      <c r="I220" s="30" t="n">
        <v>6.634891100427343</v>
      </c>
      <c r="J220" s="30" t="n">
        <v>22.55</v>
      </c>
      <c r="K220" s="37" t="n">
        <v>43.1</v>
      </c>
      <c r="L220" s="18" t="n">
        <v>0</v>
      </c>
      <c r="M220" s="19" t="n">
        <v>23.7</v>
      </c>
      <c r="N220" s="31" t="inlineStr">
        <is>
          <t>➡️ Neutral</t>
        </is>
      </c>
      <c r="O220" s="31" t="inlineStr">
        <is>
          <t>🔴 Not Qualified</t>
        </is>
      </c>
      <c r="P220" s="31" t="inlineStr">
        <is>
          <t>🔴 Avoid</t>
        </is>
      </c>
      <c r="Q220" s="83" t="inlineStr">
        <is>
          <t>FULL</t>
        </is>
      </c>
    </row>
    <row r="221" ht="16" customHeight="1">
      <c r="A221" s="92" t="n">
        <v>217</v>
      </c>
      <c r="B221" s="93" t="inlineStr">
        <is>
          <t>Axis Nifty500 Quality 50 Index Fund - Regular Plan - Growth Option</t>
        </is>
      </c>
      <c r="C221" s="93" t="inlineStr">
        <is>
          <t>Axis Mutual Fund</t>
        </is>
      </c>
      <c r="D221" s="93" t="inlineStr">
        <is>
          <t>Index Fund</t>
        </is>
      </c>
      <c r="E221" s="94" t="n">
        <v>0.34</v>
      </c>
      <c r="F221" s="94" t="n">
        <v>1.53</v>
      </c>
      <c r="G221" s="94" t="n">
        <v>5.81</v>
      </c>
      <c r="H221" s="94" t="n">
        <v>0</v>
      </c>
      <c r="I221" s="94" t="n">
        <v>0</v>
      </c>
      <c r="J221" s="94" t="n">
        <v>0</v>
      </c>
      <c r="K221" s="37" t="n">
        <v>43</v>
      </c>
      <c r="L221" s="18" t="n">
        <v>0</v>
      </c>
      <c r="M221" s="19" t="n">
        <v>23.7</v>
      </c>
      <c r="N221" s="95" t="inlineStr">
        <is>
          <t>➡️ Neutral</t>
        </is>
      </c>
      <c r="O221" s="95" t="inlineStr">
        <is>
          <t>⏳ New Fund</t>
        </is>
      </c>
      <c r="P221" s="95" t="inlineStr">
        <is>
          <t>⏳ New Fund</t>
        </is>
      </c>
      <c r="Q221" s="96" t="inlineStr">
        <is>
          <t>MOMENTUM_ONLY</t>
        </is>
      </c>
    </row>
    <row r="222" ht="16" customHeight="1">
      <c r="A222" s="28" t="n">
        <v>218</v>
      </c>
      <c r="B222" s="29" t="inlineStr">
        <is>
          <t>Tata Nifty G-Sec Dec 2029 Index Fund - Regular Plan - Growth</t>
        </is>
      </c>
      <c r="C222" s="29" t="inlineStr">
        <is>
          <t>Tata Mutual Fund</t>
        </is>
      </c>
      <c r="D222" s="29" t="inlineStr">
        <is>
          <t>G-SEC</t>
        </is>
      </c>
      <c r="E222" s="30" t="n">
        <v>0.44</v>
      </c>
      <c r="F222" s="30" t="n">
        <v>2.43</v>
      </c>
      <c r="G222" s="30" t="n">
        <v>2.29</v>
      </c>
      <c r="H222" s="30" t="n">
        <v>5.5</v>
      </c>
      <c r="I222" s="30" t="n">
        <v>7.084079115431541</v>
      </c>
      <c r="J222" s="30" t="n">
        <v>24.52</v>
      </c>
      <c r="K222" s="37" t="n">
        <v>42.7</v>
      </c>
      <c r="L222" s="18" t="n">
        <v>0</v>
      </c>
      <c r="M222" s="19" t="n">
        <v>23.5</v>
      </c>
      <c r="N222" s="31" t="inlineStr">
        <is>
          <t>➡️ Neutral</t>
        </is>
      </c>
      <c r="O222" s="31" t="inlineStr">
        <is>
          <t>🔴 Not Qualified</t>
        </is>
      </c>
      <c r="P222" s="31" t="inlineStr">
        <is>
          <t>🔴 Avoid</t>
        </is>
      </c>
      <c r="Q222" s="83" t="inlineStr">
        <is>
          <t>FULL</t>
        </is>
      </c>
    </row>
    <row r="223" ht="16" customHeight="1">
      <c r="A223" s="13" t="n">
        <v>219</v>
      </c>
      <c r="B223" s="14" t="inlineStr">
        <is>
          <t>Sundaram Nifty 100 Equal Weight Fund (Formerly Known as Principal Nifty 100 Equal Weight Fund-Income Distribution CUM Capital Withdrawal</t>
        </is>
      </c>
      <c r="C223" s="14" t="inlineStr">
        <is>
          <t>Sundaram Mutual Fund</t>
        </is>
      </c>
      <c r="D223" s="14" t="inlineStr">
        <is>
          <t>Index Fund</t>
        </is>
      </c>
      <c r="E223" s="15" t="n">
        <v>1.91</v>
      </c>
      <c r="F223" s="15" t="n">
        <v>5.47</v>
      </c>
      <c r="G223" s="16" t="n">
        <v>-4.54</v>
      </c>
      <c r="H223" s="16" t="n">
        <v>-5.53</v>
      </c>
      <c r="I223" s="16" t="n">
        <v>-8.179522980982068</v>
      </c>
      <c r="J223" s="15" t="n">
        <v>16.11</v>
      </c>
      <c r="K223" s="37" t="n">
        <v>42.5</v>
      </c>
      <c r="L223" s="18" t="n">
        <v>0</v>
      </c>
      <c r="M223" s="19" t="n">
        <v>23.4</v>
      </c>
      <c r="N223" s="20" t="inlineStr">
        <is>
          <t>➡️ Neutral</t>
        </is>
      </c>
      <c r="O223" s="20" t="inlineStr">
        <is>
          <t>🔴 Not Qualified</t>
        </is>
      </c>
      <c r="P223" s="20" t="inlineStr">
        <is>
          <t>🔴 Avoid</t>
        </is>
      </c>
      <c r="Q223" s="83" t="inlineStr">
        <is>
          <t>FULL</t>
        </is>
      </c>
    </row>
    <row r="224" ht="16" customHeight="1">
      <c r="A224" s="28" t="n">
        <v>220</v>
      </c>
      <c r="B224" s="29" t="inlineStr">
        <is>
          <t>Nippon India Nifty G-Sec Sep 2027 Maturity Index Fund-Regular Plan-Growth Option</t>
        </is>
      </c>
      <c r="C224" s="29" t="inlineStr">
        <is>
          <t>Nippon India Mutual Fund</t>
        </is>
      </c>
      <c r="D224" s="29" t="inlineStr">
        <is>
          <t>G-SEC</t>
        </is>
      </c>
      <c r="E224" s="30" t="n">
        <v>0.44</v>
      </c>
      <c r="F224" s="30" t="n">
        <v>1.66</v>
      </c>
      <c r="G224" s="30" t="n">
        <v>2.46</v>
      </c>
      <c r="H224" s="30" t="n">
        <v>5.47</v>
      </c>
      <c r="I224" s="30" t="n">
        <v>6.780147967681716</v>
      </c>
      <c r="J224" s="30" t="n">
        <v>23.21</v>
      </c>
      <c r="K224" s="37" t="n">
        <v>42.5</v>
      </c>
      <c r="L224" s="18" t="n">
        <v>0</v>
      </c>
      <c r="M224" s="19" t="n">
        <v>23.4</v>
      </c>
      <c r="N224" s="31" t="inlineStr">
        <is>
          <t>➡️ Neutral</t>
        </is>
      </c>
      <c r="O224" s="31" t="inlineStr">
        <is>
          <t>🔴 Not Qualified</t>
        </is>
      </c>
      <c r="P224" s="31" t="inlineStr">
        <is>
          <t>🔴 Avoid</t>
        </is>
      </c>
      <c r="Q224" s="83" t="inlineStr">
        <is>
          <t>FULL</t>
        </is>
      </c>
    </row>
    <row r="225" ht="16" customHeight="1">
      <c r="A225" s="13" t="n">
        <v>221</v>
      </c>
      <c r="B225" s="14" t="inlineStr">
        <is>
          <t>Aditya Birla Sun Life Crisil IBX Gilt-Apr 2029 Index Fund-Regular Growth</t>
        </is>
      </c>
      <c r="C225" s="14" t="inlineStr">
        <is>
          <t>Aditya Birla Sun Life Mutual Fund</t>
        </is>
      </c>
      <c r="D225" s="14" t="inlineStr">
        <is>
          <t>GILT</t>
        </is>
      </c>
      <c r="E225" s="15" t="n">
        <v>0.36</v>
      </c>
      <c r="F225" s="15" t="n">
        <v>2.42</v>
      </c>
      <c r="G225" s="15" t="n">
        <v>2.32</v>
      </c>
      <c r="H225" s="15" t="n">
        <v>5.59</v>
      </c>
      <c r="I225" s="15" t="n">
        <v>7.163426596950506</v>
      </c>
      <c r="J225" s="15" t="n">
        <v>24.91</v>
      </c>
      <c r="K225" s="37" t="n">
        <v>42.3</v>
      </c>
      <c r="L225" s="18" t="n">
        <v>0</v>
      </c>
      <c r="M225" s="19" t="n">
        <v>23.2</v>
      </c>
      <c r="N225" s="20" t="inlineStr">
        <is>
          <t>➡️ Neutral</t>
        </is>
      </c>
      <c r="O225" s="20" t="inlineStr">
        <is>
          <t>🔴 Not Qualified</t>
        </is>
      </c>
      <c r="P225" s="20" t="inlineStr">
        <is>
          <t>🔴 Avoid</t>
        </is>
      </c>
      <c r="Q225" s="83" t="inlineStr">
        <is>
          <t>FULL</t>
        </is>
      </c>
    </row>
    <row r="226" ht="16" customHeight="1">
      <c r="A226" s="28" t="n">
        <v>222</v>
      </c>
      <c r="B226" s="29" t="inlineStr">
        <is>
          <t>Edelweiss CRISIL IBX 50:50 Gilt Plus SDL Sep 2028 Index Fund - Regular Plan - Growth</t>
        </is>
      </c>
      <c r="C226" s="29" t="inlineStr">
        <is>
          <t>Edelweiss Mutual Fund</t>
        </is>
      </c>
      <c r="D226" s="29" t="inlineStr">
        <is>
          <t>GILT</t>
        </is>
      </c>
      <c r="E226" s="30" t="n">
        <v>0.4</v>
      </c>
      <c r="F226" s="30" t="n">
        <v>2.1</v>
      </c>
      <c r="G226" s="30" t="n">
        <v>2.29</v>
      </c>
      <c r="H226" s="30" t="n">
        <v>5.36</v>
      </c>
      <c r="I226" s="30" t="n">
        <v>6.953260819855323</v>
      </c>
      <c r="J226" s="30" t="n">
        <v>24</v>
      </c>
      <c r="K226" s="37" t="n">
        <v>41.7</v>
      </c>
      <c r="L226" s="18" t="n">
        <v>0</v>
      </c>
      <c r="M226" s="19" t="n">
        <v>22.9</v>
      </c>
      <c r="N226" s="31" t="inlineStr">
        <is>
          <t>➡️ Neutral</t>
        </is>
      </c>
      <c r="O226" s="31" t="inlineStr">
        <is>
          <t>🔴 Not Qualified</t>
        </is>
      </c>
      <c r="P226" s="31" t="inlineStr">
        <is>
          <t>🔴 Avoid</t>
        </is>
      </c>
      <c r="Q226" s="83" t="inlineStr">
        <is>
          <t>FULL</t>
        </is>
      </c>
    </row>
    <row r="227" ht="16" customHeight="1">
      <c r="A227" s="13" t="n">
        <v>223</v>
      </c>
      <c r="B227" s="14" t="inlineStr">
        <is>
          <t>Tata Nifty G Sec Dec 2026 Index Fund-Regular Plan-Growth</t>
        </is>
      </c>
      <c r="C227" s="14" t="inlineStr">
        <is>
          <t>Tata Mutual Fund</t>
        </is>
      </c>
      <c r="D227" s="14" t="inlineStr">
        <is>
          <t>Index Fund</t>
        </is>
      </c>
      <c r="E227" s="15" t="n">
        <v>0.44</v>
      </c>
      <c r="F227" s="15" t="n">
        <v>1.42</v>
      </c>
      <c r="G227" s="15" t="n">
        <v>2.52</v>
      </c>
      <c r="H227" s="15" t="n">
        <v>5.41</v>
      </c>
      <c r="I227" s="15" t="n">
        <v>6.517604178839842</v>
      </c>
      <c r="J227" s="15" t="n">
        <v>22.25</v>
      </c>
      <c r="K227" s="37" t="n">
        <v>41.5</v>
      </c>
      <c r="L227" s="18" t="n">
        <v>0</v>
      </c>
      <c r="M227" s="19" t="n">
        <v>22.8</v>
      </c>
      <c r="N227" s="20" t="inlineStr">
        <is>
          <t>➡️ Neutral</t>
        </is>
      </c>
      <c r="O227" s="20" t="inlineStr">
        <is>
          <t>🔴 Not Qualified</t>
        </is>
      </c>
      <c r="P227" s="20" t="inlineStr">
        <is>
          <t>🔴 Avoid</t>
        </is>
      </c>
      <c r="Q227" s="83" t="inlineStr">
        <is>
          <t>FULL</t>
        </is>
      </c>
    </row>
    <row r="228" ht="16" customHeight="1">
      <c r="A228" s="92" t="n">
        <v>224</v>
      </c>
      <c r="B228" s="93" t="inlineStr">
        <is>
          <t>Kotak NIFTY 100 Low Volatility 30 Index Fund - Regular plan - Growth option</t>
        </is>
      </c>
      <c r="C228" s="93" t="inlineStr">
        <is>
          <t>Kotak Mahindra Mutual Fund</t>
        </is>
      </c>
      <c r="D228" s="93" t="inlineStr">
        <is>
          <t>Index Fund</t>
        </is>
      </c>
      <c r="E228" s="94" t="n">
        <v>0.67</v>
      </c>
      <c r="F228" s="94" t="n">
        <v>3.72</v>
      </c>
      <c r="G228" s="97" t="n">
        <v>-2.66</v>
      </c>
      <c r="H228" s="94" t="n">
        <v>1.46</v>
      </c>
      <c r="I228" s="94" t="n">
        <v>0.4888053466653552</v>
      </c>
      <c r="J228" s="94" t="n">
        <v>0</v>
      </c>
      <c r="K228" s="37" t="n">
        <v>41.5</v>
      </c>
      <c r="L228" s="18" t="n">
        <v>0</v>
      </c>
      <c r="M228" s="19" t="n">
        <v>22.8</v>
      </c>
      <c r="N228" s="95" t="inlineStr">
        <is>
          <t>➡️ Neutral</t>
        </is>
      </c>
      <c r="O228" s="95" t="inlineStr">
        <is>
          <t>⏳ New Fund</t>
        </is>
      </c>
      <c r="P228" s="95" t="inlineStr">
        <is>
          <t>⏳ New Fund</t>
        </is>
      </c>
      <c r="Q228" s="96" t="inlineStr">
        <is>
          <t>MOMENTUM_ONLY</t>
        </is>
      </c>
    </row>
    <row r="229" ht="16" customHeight="1">
      <c r="A229" s="13" t="n">
        <v>225</v>
      </c>
      <c r="B229" s="14" t="inlineStr">
        <is>
          <t>BANDHAN CRISIL IBX Gilt June 2027 Index Fund Regular Plan-Growth</t>
        </is>
      </c>
      <c r="C229" s="14" t="inlineStr">
        <is>
          <t>Bandhan Mutual Fund</t>
        </is>
      </c>
      <c r="D229" s="14" t="inlineStr">
        <is>
          <t>GILT</t>
        </is>
      </c>
      <c r="E229" s="15" t="n">
        <v>0.43</v>
      </c>
      <c r="F229" s="15" t="n">
        <v>1.58</v>
      </c>
      <c r="G229" s="15" t="n">
        <v>2.44</v>
      </c>
      <c r="H229" s="15" t="n">
        <v>5.41</v>
      </c>
      <c r="I229" s="15" t="n">
        <v>6.709887077065169</v>
      </c>
      <c r="J229" s="15" t="n">
        <v>23</v>
      </c>
      <c r="K229" s="37" t="n">
        <v>41</v>
      </c>
      <c r="L229" s="18" t="n">
        <v>0</v>
      </c>
      <c r="M229" s="19" t="n">
        <v>22.6</v>
      </c>
      <c r="N229" s="20" t="inlineStr">
        <is>
          <t>➡️ Neutral</t>
        </is>
      </c>
      <c r="O229" s="20" t="inlineStr">
        <is>
          <t>🔴 Not Qualified</t>
        </is>
      </c>
      <c r="P229" s="20" t="inlineStr">
        <is>
          <t>🔴 Avoid</t>
        </is>
      </c>
      <c r="Q229" s="83" t="inlineStr">
        <is>
          <t>FULL</t>
        </is>
      </c>
    </row>
    <row r="230" ht="16" customHeight="1">
      <c r="A230" s="92" t="n">
        <v>225</v>
      </c>
      <c r="B230" s="93" t="inlineStr">
        <is>
          <t>SBI Nifty100 Low Volatility 30 Index Fund- Regular Plan- Growth</t>
        </is>
      </c>
      <c r="C230" s="93" t="inlineStr">
        <is>
          <t>SBI Mutual Fund</t>
        </is>
      </c>
      <c r="D230" s="93" t="inlineStr">
        <is>
          <t>Index Fund</t>
        </is>
      </c>
      <c r="E230" s="94" t="n">
        <v>0.67</v>
      </c>
      <c r="F230" s="94" t="n">
        <v>3.6</v>
      </c>
      <c r="G230" s="97" t="n">
        <v>-2.66</v>
      </c>
      <c r="H230" s="94" t="n">
        <v>1.59</v>
      </c>
      <c r="I230" s="94" t="n">
        <v>0</v>
      </c>
      <c r="J230" s="94" t="n">
        <v>0</v>
      </c>
      <c r="K230" s="37" t="n">
        <v>41</v>
      </c>
      <c r="L230" s="18" t="n">
        <v>0</v>
      </c>
      <c r="M230" s="19" t="n">
        <v>22.6</v>
      </c>
      <c r="N230" s="95" t="inlineStr">
        <is>
          <t>➡️ Neutral</t>
        </is>
      </c>
      <c r="O230" s="95" t="inlineStr">
        <is>
          <t>⏳ New Fund</t>
        </is>
      </c>
      <c r="P230" s="95" t="inlineStr">
        <is>
          <t>⏳ New Fund</t>
        </is>
      </c>
      <c r="Q230" s="96" t="inlineStr">
        <is>
          <t>MOMENTUM_ONLY</t>
        </is>
      </c>
    </row>
    <row r="231" ht="16" customHeight="1">
      <c r="A231" s="13" t="n">
        <v>227</v>
      </c>
      <c r="B231" s="14" t="inlineStr">
        <is>
          <t>SBI CRISIL IBX Gilt Index - April 2029 Fund - Regular Plan - Growth</t>
        </is>
      </c>
      <c r="C231" s="14" t="inlineStr">
        <is>
          <t>SBI Mutual Fund</t>
        </is>
      </c>
      <c r="D231" s="14" t="inlineStr">
        <is>
          <t>GILT</t>
        </is>
      </c>
      <c r="E231" s="15" t="n">
        <v>0.36</v>
      </c>
      <c r="F231" s="15" t="n">
        <v>2.41</v>
      </c>
      <c r="G231" s="15" t="n">
        <v>2.28</v>
      </c>
      <c r="H231" s="15" t="n">
        <v>5.5</v>
      </c>
      <c r="I231" s="15" t="n">
        <v>7.079409785448476</v>
      </c>
      <c r="J231" s="15" t="n">
        <v>24.57</v>
      </c>
      <c r="K231" s="37" t="n">
        <v>41</v>
      </c>
      <c r="L231" s="18" t="n">
        <v>0</v>
      </c>
      <c r="M231" s="19" t="n">
        <v>22.6</v>
      </c>
      <c r="N231" s="20" t="inlineStr">
        <is>
          <t>➡️ Neutral</t>
        </is>
      </c>
      <c r="O231" s="20" t="inlineStr">
        <is>
          <t>🔴 Not Qualified</t>
        </is>
      </c>
      <c r="P231" s="20" t="inlineStr">
        <is>
          <t>🔴 Avoid</t>
        </is>
      </c>
      <c r="Q231" s="83" t="inlineStr">
        <is>
          <t>FULL</t>
        </is>
      </c>
    </row>
    <row r="232" ht="16" customHeight="1">
      <c r="A232" s="92" t="n">
        <v>228</v>
      </c>
      <c r="B232" s="93" t="inlineStr">
        <is>
          <t>SBI Nifty200 Quality 30 Index Fund-Regular Plan- Growth</t>
        </is>
      </c>
      <c r="C232" s="93" t="inlineStr">
        <is>
          <t>SBI Mutual Fund</t>
        </is>
      </c>
      <c r="D232" s="93" t="inlineStr">
        <is>
          <t>Index Fund</t>
        </is>
      </c>
      <c r="E232" s="94" t="n">
        <v>2.35</v>
      </c>
      <c r="F232" s="94" t="n">
        <v>2.34</v>
      </c>
      <c r="G232" s="94" t="n">
        <v>0.1</v>
      </c>
      <c r="H232" s="94" t="n">
        <v>2.78</v>
      </c>
      <c r="I232" s="94" t="n">
        <v>0</v>
      </c>
      <c r="J232" s="94" t="n">
        <v>0</v>
      </c>
      <c r="K232" s="37" t="n">
        <v>40.8</v>
      </c>
      <c r="L232" s="18" t="n">
        <v>0</v>
      </c>
      <c r="M232" s="19" t="n">
        <v>22.5</v>
      </c>
      <c r="N232" s="95" t="inlineStr">
        <is>
          <t>➡️ Neutral</t>
        </is>
      </c>
      <c r="O232" s="95" t="inlineStr">
        <is>
          <t>⏳ New Fund</t>
        </is>
      </c>
      <c r="P232" s="95" t="inlineStr">
        <is>
          <t>⏳ New Fund</t>
        </is>
      </c>
      <c r="Q232" s="96" t="inlineStr">
        <is>
          <t>MOMENTUM_ONLY</t>
        </is>
      </c>
    </row>
    <row r="233" ht="16" customHeight="1">
      <c r="A233" s="92" t="n">
        <v>228</v>
      </c>
      <c r="B233" s="93" t="inlineStr">
        <is>
          <t>SBI Nifty200 Quality 30 Index Fund- Regular Plan- Income Cum Distribution Withdrawal Option</t>
        </is>
      </c>
      <c r="C233" s="93" t="inlineStr">
        <is>
          <t>SBI Mutual Fund</t>
        </is>
      </c>
      <c r="D233" s="93" t="inlineStr">
        <is>
          <t>Index Fund</t>
        </is>
      </c>
      <c r="E233" s="94" t="n">
        <v>2.35</v>
      </c>
      <c r="F233" s="94" t="n">
        <v>2.34</v>
      </c>
      <c r="G233" s="94" t="n">
        <v>0.1</v>
      </c>
      <c r="H233" s="94" t="n">
        <v>2.78</v>
      </c>
      <c r="I233" s="94" t="n">
        <v>0</v>
      </c>
      <c r="J233" s="94" t="n">
        <v>0</v>
      </c>
      <c r="K233" s="37" t="n">
        <v>40.8</v>
      </c>
      <c r="L233" s="18" t="n">
        <v>0</v>
      </c>
      <c r="M233" s="19" t="n">
        <v>22.5</v>
      </c>
      <c r="N233" s="95" t="inlineStr">
        <is>
          <t>➡️ Neutral</t>
        </is>
      </c>
      <c r="O233" s="95" t="inlineStr">
        <is>
          <t>⏳ New Fund</t>
        </is>
      </c>
      <c r="P233" s="95" t="inlineStr">
        <is>
          <t>⏳ New Fund</t>
        </is>
      </c>
      <c r="Q233" s="96" t="inlineStr">
        <is>
          <t>MOMENTUM_ONLY</t>
        </is>
      </c>
    </row>
    <row r="234" ht="16" customHeight="1">
      <c r="A234" s="92" t="n">
        <v>230</v>
      </c>
      <c r="B234" s="93" t="inlineStr">
        <is>
          <t>Motilal Oswal Nifty MidSmall India Consumption Index Fund-Regular Plan-Growth</t>
        </is>
      </c>
      <c r="C234" s="93" t="inlineStr">
        <is>
          <t>Motilal Oswal Mutual Fund</t>
        </is>
      </c>
      <c r="D234" s="93" t="inlineStr">
        <is>
          <t>Index Fund</t>
        </is>
      </c>
      <c r="E234" s="94" t="n">
        <v>0.43</v>
      </c>
      <c r="F234" s="94" t="n">
        <v>6.31</v>
      </c>
      <c r="G234" s="94" t="n">
        <v>2.11</v>
      </c>
      <c r="H234" s="97" t="n">
        <v>-2.11</v>
      </c>
      <c r="I234" s="94" t="n">
        <v>0</v>
      </c>
      <c r="J234" s="94" t="n">
        <v>0</v>
      </c>
      <c r="K234" s="37" t="n">
        <v>40.8</v>
      </c>
      <c r="L234" s="18" t="n">
        <v>0</v>
      </c>
      <c r="M234" s="19" t="n">
        <v>22.4</v>
      </c>
      <c r="N234" s="95" t="inlineStr">
        <is>
          <t>➡️ Neutral</t>
        </is>
      </c>
      <c r="O234" s="95" t="inlineStr">
        <is>
          <t>⏳ New Fund</t>
        </is>
      </c>
      <c r="P234" s="95" t="inlineStr">
        <is>
          <t>⏳ New Fund</t>
        </is>
      </c>
      <c r="Q234" s="96" t="inlineStr">
        <is>
          <t>MOMENTUM_ONLY</t>
        </is>
      </c>
    </row>
    <row r="235" ht="16" customHeight="1">
      <c r="A235" s="13" t="n">
        <v>231</v>
      </c>
      <c r="B235" s="14" t="inlineStr">
        <is>
          <t>BANDHAN CRISIL IBX Gilt April 2028 Index Fund Regular Plan-Growth</t>
        </is>
      </c>
      <c r="C235" s="14" t="inlineStr">
        <is>
          <t>Bandhan Mutual Fund</t>
        </is>
      </c>
      <c r="D235" s="14" t="inlineStr">
        <is>
          <t>GILT</t>
        </is>
      </c>
      <c r="E235" s="15" t="n">
        <v>0.39</v>
      </c>
      <c r="F235" s="15" t="n">
        <v>1.72</v>
      </c>
      <c r="G235" s="15" t="n">
        <v>2.32</v>
      </c>
      <c r="H235" s="15" t="n">
        <v>5.46</v>
      </c>
      <c r="I235" s="15" t="n">
        <v>6.883113727099111</v>
      </c>
      <c r="J235" s="15" t="n">
        <v>23.5</v>
      </c>
      <c r="K235" s="37" t="n">
        <v>40.6</v>
      </c>
      <c r="L235" s="18" t="n">
        <v>0</v>
      </c>
      <c r="M235" s="19" t="n">
        <v>22.4</v>
      </c>
      <c r="N235" s="20" t="inlineStr">
        <is>
          <t>➡️ Neutral</t>
        </is>
      </c>
      <c r="O235" s="20" t="inlineStr">
        <is>
          <t>🔴 Not Qualified</t>
        </is>
      </c>
      <c r="P235" s="20" t="inlineStr">
        <is>
          <t>🔴 Avoid</t>
        </is>
      </c>
      <c r="Q235" s="83" t="inlineStr">
        <is>
          <t>FULL</t>
        </is>
      </c>
    </row>
    <row r="236" ht="16" customHeight="1">
      <c r="A236" s="92" t="n">
        <v>232</v>
      </c>
      <c r="B236" s="93" t="inlineStr">
        <is>
          <t>UTI Nifty 200 Quality 30 Index Fund - Regular Plan - Growth Option</t>
        </is>
      </c>
      <c r="C236" s="93" t="inlineStr">
        <is>
          <t>UTI Mutual Fund</t>
        </is>
      </c>
      <c r="D236" s="93" t="inlineStr">
        <is>
          <t>Index Fund</t>
        </is>
      </c>
      <c r="E236" s="94" t="n">
        <v>2.35</v>
      </c>
      <c r="F236" s="94" t="n">
        <v>2.33</v>
      </c>
      <c r="G236" s="94" t="n">
        <v>0.05</v>
      </c>
      <c r="H236" s="94" t="n">
        <v>2.67</v>
      </c>
      <c r="I236" s="94" t="n">
        <v>0</v>
      </c>
      <c r="J236" s="94" t="n">
        <v>0</v>
      </c>
      <c r="K236" s="37" t="n">
        <v>40.6</v>
      </c>
      <c r="L236" s="18" t="n">
        <v>0</v>
      </c>
      <c r="M236" s="19" t="n">
        <v>22.3</v>
      </c>
      <c r="N236" s="95" t="inlineStr">
        <is>
          <t>➡️ Neutral</t>
        </is>
      </c>
      <c r="O236" s="95" t="inlineStr">
        <is>
          <t>⏳ New Fund</t>
        </is>
      </c>
      <c r="P236" s="95" t="inlineStr">
        <is>
          <t>⏳ New Fund</t>
        </is>
      </c>
      <c r="Q236" s="96" t="inlineStr">
        <is>
          <t>MOMENTUM_ONLY</t>
        </is>
      </c>
    </row>
    <row r="237" ht="16" customHeight="1">
      <c r="A237" s="92" t="n">
        <v>233</v>
      </c>
      <c r="B237" s="93" t="inlineStr">
        <is>
          <t>KOTAK NIFTY COMMODITIES INDEX FUND-REGULAR GROWTH</t>
        </is>
      </c>
      <c r="C237" s="93" t="inlineStr">
        <is>
          <t>Kotak Mahindra Mutual Fund</t>
        </is>
      </c>
      <c r="D237" s="93" t="inlineStr">
        <is>
          <t>Commodities</t>
        </is>
      </c>
      <c r="E237" s="97" t="n">
        <v>-0.08</v>
      </c>
      <c r="F237" s="97" t="n">
        <v>-2.85</v>
      </c>
      <c r="G237" s="97" t="n">
        <v>-0.87</v>
      </c>
      <c r="H237" s="94" t="n">
        <v>13.2</v>
      </c>
      <c r="I237" s="94" t="n">
        <v>0</v>
      </c>
      <c r="J237" s="94" t="n">
        <v>0</v>
      </c>
      <c r="K237" s="37" t="n">
        <v>40.4</v>
      </c>
      <c r="L237" s="18" t="n">
        <v>0</v>
      </c>
      <c r="M237" s="19" t="n">
        <v>22.2</v>
      </c>
      <c r="N237" s="95" t="inlineStr">
        <is>
          <t>➡️ Neutral</t>
        </is>
      </c>
      <c r="O237" s="95" t="inlineStr">
        <is>
          <t>⏳ New Fund</t>
        </is>
      </c>
      <c r="P237" s="95" t="inlineStr">
        <is>
          <t>⏳ New Fund</t>
        </is>
      </c>
      <c r="Q237" s="96" t="inlineStr">
        <is>
          <t>MOMENTUM_ONLY</t>
        </is>
      </c>
    </row>
    <row r="238" ht="16" customHeight="1">
      <c r="A238" s="28" t="n">
        <v>234</v>
      </c>
      <c r="B238" s="29" t="inlineStr">
        <is>
          <t>ICICI Prudential Nifty SDL Dec 2028 Index Fund - Growth</t>
        </is>
      </c>
      <c r="C238" s="29" t="inlineStr">
        <is>
          <t>ICICI Prudential Mutual Fund</t>
        </is>
      </c>
      <c r="D238" s="29" t="inlineStr">
        <is>
          <t>Index Fund</t>
        </is>
      </c>
      <c r="E238" s="30" t="n">
        <v>0.35</v>
      </c>
      <c r="F238" s="30" t="n">
        <v>2.5</v>
      </c>
      <c r="G238" s="30" t="n">
        <v>2.38</v>
      </c>
      <c r="H238" s="30" t="n">
        <v>5.16</v>
      </c>
      <c r="I238" s="30" t="n">
        <v>7.060730429042006</v>
      </c>
      <c r="J238" s="30" t="n">
        <v>24.62</v>
      </c>
      <c r="K238" s="37" t="n">
        <v>40.3</v>
      </c>
      <c r="L238" s="18" t="n">
        <v>0</v>
      </c>
      <c r="M238" s="19" t="n">
        <v>22.2</v>
      </c>
      <c r="N238" s="31" t="inlineStr">
        <is>
          <t>➡️ Neutral</t>
        </is>
      </c>
      <c r="O238" s="31" t="inlineStr">
        <is>
          <t>🔴 Not Qualified</t>
        </is>
      </c>
      <c r="P238" s="31" t="inlineStr">
        <is>
          <t>🔴 Avoid</t>
        </is>
      </c>
      <c r="Q238" s="83" t="inlineStr">
        <is>
          <t>FULL</t>
        </is>
      </c>
    </row>
    <row r="239" ht="16" customHeight="1">
      <c r="A239" s="92" t="n">
        <v>235</v>
      </c>
      <c r="B239" s="93" t="inlineStr">
        <is>
          <t>Aditya Birla Sun Life Crisil IBX Gilt June 2027 Index Fund-Regular Growth</t>
        </is>
      </c>
      <c r="C239" s="93" t="inlineStr">
        <is>
          <t>Aditya Birla Sun Life Mutual Fund</t>
        </is>
      </c>
      <c r="D239" s="93" t="inlineStr">
        <is>
          <t>GILT</t>
        </is>
      </c>
      <c r="E239" s="94" t="n">
        <v>0.41</v>
      </c>
      <c r="F239" s="94" t="n">
        <v>1.55</v>
      </c>
      <c r="G239" s="94" t="n">
        <v>2.4</v>
      </c>
      <c r="H239" s="94" t="n">
        <v>5.3</v>
      </c>
      <c r="I239" s="94" t="n">
        <v>6.616133863501172</v>
      </c>
      <c r="J239" s="94" t="n">
        <v>0</v>
      </c>
      <c r="K239" s="37" t="n">
        <v>40.2</v>
      </c>
      <c r="L239" s="18" t="n">
        <v>0</v>
      </c>
      <c r="M239" s="19" t="n">
        <v>22.1</v>
      </c>
      <c r="N239" s="95" t="inlineStr">
        <is>
          <t>➡️ Neutral</t>
        </is>
      </c>
      <c r="O239" s="95" t="inlineStr">
        <is>
          <t>⏳ New Fund</t>
        </is>
      </c>
      <c r="P239" s="95" t="inlineStr">
        <is>
          <t>⏳ New Fund</t>
        </is>
      </c>
      <c r="Q239" s="96" t="inlineStr">
        <is>
          <t>MOMENTUM_ONLY</t>
        </is>
      </c>
    </row>
    <row r="240" ht="16" customHeight="1">
      <c r="A240" s="92" t="n">
        <v>236</v>
      </c>
      <c r="B240" s="93" t="inlineStr">
        <is>
          <t>ICICI Prudential Nifty200 Quality 30 Index Fund - Growth</t>
        </is>
      </c>
      <c r="C240" s="93" t="inlineStr">
        <is>
          <t>ICICI Prudential Mutual Fund</t>
        </is>
      </c>
      <c r="D240" s="93" t="inlineStr">
        <is>
          <t>Index Fund</t>
        </is>
      </c>
      <c r="E240" s="94" t="n">
        <v>2.31</v>
      </c>
      <c r="F240" s="94" t="n">
        <v>2.28</v>
      </c>
      <c r="G240" s="94" t="n">
        <v>0.01</v>
      </c>
      <c r="H240" s="94" t="n">
        <v>2.65</v>
      </c>
      <c r="I240" s="94" t="n">
        <v>0</v>
      </c>
      <c r="J240" s="94" t="n">
        <v>0</v>
      </c>
      <c r="K240" s="37" t="n">
        <v>40.2</v>
      </c>
      <c r="L240" s="18" t="n">
        <v>0</v>
      </c>
      <c r="M240" s="19" t="n">
        <v>22.1</v>
      </c>
      <c r="N240" s="95" t="inlineStr">
        <is>
          <t>➡️ Neutral</t>
        </is>
      </c>
      <c r="O240" s="95" t="inlineStr">
        <is>
          <t>⏳ New Fund</t>
        </is>
      </c>
      <c r="P240" s="95" t="inlineStr">
        <is>
          <t>⏳ New Fund</t>
        </is>
      </c>
      <c r="Q240" s="96" t="inlineStr">
        <is>
          <t>MOMENTUM_ONLY</t>
        </is>
      </c>
    </row>
    <row r="241" ht="16" customHeight="1">
      <c r="A241" s="92" t="n">
        <v>236</v>
      </c>
      <c r="B241" s="93" t="inlineStr">
        <is>
          <t>HDFC NIFTY100 Low Volatility 30 Index Fund - Regular Plan</t>
        </is>
      </c>
      <c r="C241" s="93" t="inlineStr">
        <is>
          <t>HDFC Mutual Fund</t>
        </is>
      </c>
      <c r="D241" s="93" t="inlineStr">
        <is>
          <t>Index Fund</t>
        </is>
      </c>
      <c r="E241" s="94" t="n">
        <v>0.67</v>
      </c>
      <c r="F241" s="94" t="n">
        <v>3.57</v>
      </c>
      <c r="G241" s="97" t="n">
        <v>-2.7</v>
      </c>
      <c r="H241" s="94" t="n">
        <v>1.45</v>
      </c>
      <c r="I241" s="94" t="n">
        <v>0.553468363851084</v>
      </c>
      <c r="J241" s="94" t="n">
        <v>0</v>
      </c>
      <c r="K241" s="37" t="n">
        <v>40.2</v>
      </c>
      <c r="L241" s="18" t="n">
        <v>0</v>
      </c>
      <c r="M241" s="19" t="n">
        <v>22.1</v>
      </c>
      <c r="N241" s="95" t="inlineStr">
        <is>
          <t>➡️ Neutral</t>
        </is>
      </c>
      <c r="O241" s="95" t="inlineStr">
        <is>
          <t>⏳ New Fund</t>
        </is>
      </c>
      <c r="P241" s="95" t="inlineStr">
        <is>
          <t>⏳ New Fund</t>
        </is>
      </c>
      <c r="Q241" s="96" t="inlineStr">
        <is>
          <t>MOMENTUM_ONLY</t>
        </is>
      </c>
    </row>
    <row r="242" ht="16" customHeight="1">
      <c r="A242" s="92" t="n">
        <v>238</v>
      </c>
      <c r="B242" s="93" t="inlineStr">
        <is>
          <t>Kotak  BSE Housing Index Fund - Regular Plan - Growth Option</t>
        </is>
      </c>
      <c r="C242" s="93" t="inlineStr">
        <is>
          <t>Kotak Mahindra Mutual Fund</t>
        </is>
      </c>
      <c r="D242" s="93" t="inlineStr">
        <is>
          <t>Index Fund</t>
        </is>
      </c>
      <c r="E242" s="97" t="n">
        <v>-0.1</v>
      </c>
      <c r="F242" s="94" t="n">
        <v>7.92</v>
      </c>
      <c r="G242" s="94" t="n">
        <v>0.54</v>
      </c>
      <c r="H242" s="97" t="n">
        <v>-1.5</v>
      </c>
      <c r="I242" s="97" t="n">
        <v>-2.922711203907224</v>
      </c>
      <c r="J242" s="94" t="n">
        <v>0</v>
      </c>
      <c r="K242" s="37" t="n">
        <v>40.1</v>
      </c>
      <c r="L242" s="18" t="n">
        <v>0</v>
      </c>
      <c r="M242" s="19" t="n">
        <v>22</v>
      </c>
      <c r="N242" s="95" t="inlineStr">
        <is>
          <t>➡️ Neutral</t>
        </is>
      </c>
      <c r="O242" s="95" t="inlineStr">
        <is>
          <t>⏳ New Fund</t>
        </is>
      </c>
      <c r="P242" s="95" t="inlineStr">
        <is>
          <t>⏳ New Fund</t>
        </is>
      </c>
      <c r="Q242" s="96" t="inlineStr">
        <is>
          <t>MOMENTUM_ONLY</t>
        </is>
      </c>
    </row>
    <row r="243" ht="16" customHeight="1">
      <c r="A243" s="13" t="n">
        <v>239</v>
      </c>
      <c r="B243" s="14" t="inlineStr">
        <is>
          <t>UTI BSE Housing Index Fund - Regular Plan - Growth Option</t>
        </is>
      </c>
      <c r="C243" s="14" t="inlineStr">
        <is>
          <t>UTI Mutual Fund</t>
        </is>
      </c>
      <c r="D243" s="14" t="inlineStr">
        <is>
          <t>Index Fund</t>
        </is>
      </c>
      <c r="E243" s="16" t="n">
        <v>-0.02</v>
      </c>
      <c r="F243" s="15" t="n">
        <v>7.9</v>
      </c>
      <c r="G243" s="15" t="n">
        <v>0.57</v>
      </c>
      <c r="H243" s="16" t="n">
        <v>-1.52</v>
      </c>
      <c r="I243" s="16" t="n">
        <v>-2.866071838929529</v>
      </c>
      <c r="J243" s="15" t="n">
        <v>34.95</v>
      </c>
      <c r="K243" s="37" t="n">
        <v>39.9</v>
      </c>
      <c r="L243" s="18" t="n">
        <v>0</v>
      </c>
      <c r="M243" s="19" t="n">
        <v>22</v>
      </c>
      <c r="N243" s="20" t="inlineStr">
        <is>
          <t>📉 Weak</t>
        </is>
      </c>
      <c r="O243" s="20" t="inlineStr">
        <is>
          <t>🔴 Not Qualified</t>
        </is>
      </c>
      <c r="P243" s="20" t="inlineStr">
        <is>
          <t>🔴 Avoid</t>
        </is>
      </c>
      <c r="Q243" s="83" t="inlineStr">
        <is>
          <t>FULL</t>
        </is>
      </c>
    </row>
    <row r="244" ht="16" customHeight="1">
      <c r="A244" s="92" t="n">
        <v>240</v>
      </c>
      <c r="B244" s="93" t="inlineStr">
        <is>
          <t>Bandhan Nifty 200 Quality 30 Index Fund - Regular Plan - Growth</t>
        </is>
      </c>
      <c r="C244" s="93" t="inlineStr">
        <is>
          <t>Bandhan Mutual Fund</t>
        </is>
      </c>
      <c r="D244" s="93" t="inlineStr">
        <is>
          <t>Index Fund</t>
        </is>
      </c>
      <c r="E244" s="94" t="n">
        <v>2.32</v>
      </c>
      <c r="F244" s="94" t="n">
        <v>2.26</v>
      </c>
      <c r="G244" s="97" t="n">
        <v>-0.04</v>
      </c>
      <c r="H244" s="94" t="n">
        <v>2.48</v>
      </c>
      <c r="I244" s="94" t="n">
        <v>0</v>
      </c>
      <c r="J244" s="94" t="n">
        <v>0</v>
      </c>
      <c r="K244" s="37" t="n">
        <v>39.8</v>
      </c>
      <c r="L244" s="18" t="n">
        <v>0</v>
      </c>
      <c r="M244" s="19" t="n">
        <v>21.9</v>
      </c>
      <c r="N244" s="95" t="inlineStr">
        <is>
          <t>📉 Weak</t>
        </is>
      </c>
      <c r="O244" s="95" t="inlineStr">
        <is>
          <t>⏳ New Fund</t>
        </is>
      </c>
      <c r="P244" s="95" t="inlineStr">
        <is>
          <t>⏳ New Fund</t>
        </is>
      </c>
      <c r="Q244" s="96" t="inlineStr">
        <is>
          <t>MOMENTUM_ONLY</t>
        </is>
      </c>
    </row>
    <row r="245" ht="16" customHeight="1">
      <c r="A245" s="13" t="n">
        <v>241</v>
      </c>
      <c r="B245" s="14" t="inlineStr">
        <is>
          <t>PGIM India CRISIL IBX Gilt Index - Apr 2028 Fund - Regular Plan, Growth Option</t>
        </is>
      </c>
      <c r="C245" s="14" t="inlineStr">
        <is>
          <t>PGIM India Mutual Fund</t>
        </is>
      </c>
      <c r="D245" s="14" t="inlineStr">
        <is>
          <t>GILT</t>
        </is>
      </c>
      <c r="E245" s="15" t="n">
        <v>0.43</v>
      </c>
      <c r="F245" s="15" t="n">
        <v>1.7</v>
      </c>
      <c r="G245" s="15" t="n">
        <v>2.21</v>
      </c>
      <c r="H245" s="15" t="n">
        <v>5.29</v>
      </c>
      <c r="I245" s="15" t="n">
        <v>6.79419459877022</v>
      </c>
      <c r="J245" s="15" t="n">
        <v>23.14</v>
      </c>
      <c r="K245" s="37" t="n">
        <v>39.8</v>
      </c>
      <c r="L245" s="18" t="n">
        <v>0</v>
      </c>
      <c r="M245" s="19" t="n">
        <v>21.9</v>
      </c>
      <c r="N245" s="20" t="inlineStr">
        <is>
          <t>📉 Weak</t>
        </is>
      </c>
      <c r="O245" s="20" t="inlineStr">
        <is>
          <t>🔴 Not Qualified</t>
        </is>
      </c>
      <c r="P245" s="20" t="inlineStr">
        <is>
          <t>🔴 Avoid</t>
        </is>
      </c>
      <c r="Q245" s="83" t="inlineStr">
        <is>
          <t>FULL</t>
        </is>
      </c>
    </row>
    <row r="246" ht="16" customHeight="1">
      <c r="A246" s="28" t="n">
        <v>242</v>
      </c>
      <c r="B246" s="29" t="inlineStr">
        <is>
          <t>BANDHAN NIFTY100 LOW VOLATILITY 30 INDEX FUND - GROWTH - REGULAR PLAN</t>
        </is>
      </c>
      <c r="C246" s="29" t="inlineStr">
        <is>
          <t>Bandhan Mutual Fund</t>
        </is>
      </c>
      <c r="D246" s="29" t="inlineStr">
        <is>
          <t>Index Fund</t>
        </is>
      </c>
      <c r="E246" s="30" t="n">
        <v>0.66</v>
      </c>
      <c r="F246" s="30" t="n">
        <v>3.57</v>
      </c>
      <c r="G246" s="91" t="n">
        <v>-2.74</v>
      </c>
      <c r="H246" s="30" t="n">
        <v>1.34</v>
      </c>
      <c r="I246" s="30" t="n">
        <v>0.4091629284897369</v>
      </c>
      <c r="J246" s="30" t="n">
        <v>35.25</v>
      </c>
      <c r="K246" s="37" t="n">
        <v>39.4</v>
      </c>
      <c r="L246" s="18" t="n">
        <v>0</v>
      </c>
      <c r="M246" s="19" t="n">
        <v>21.7</v>
      </c>
      <c r="N246" s="31" t="inlineStr">
        <is>
          <t>📉 Weak</t>
        </is>
      </c>
      <c r="O246" s="31" t="inlineStr">
        <is>
          <t>🔴 Not Qualified</t>
        </is>
      </c>
      <c r="P246" s="31" t="inlineStr">
        <is>
          <t>🔴 Avoid</t>
        </is>
      </c>
      <c r="Q246" s="83" t="inlineStr">
        <is>
          <t>FULL</t>
        </is>
      </c>
    </row>
    <row r="247" ht="16" customHeight="1">
      <c r="A247" s="92" t="n">
        <v>243</v>
      </c>
      <c r="B247" s="93" t="inlineStr">
        <is>
          <t>HDFC Nifty Top 20 Equal Weight Index Fund - Regular Growth</t>
        </is>
      </c>
      <c r="C247" s="93" t="inlineStr">
        <is>
          <t>HDFC Mutual Fund</t>
        </is>
      </c>
      <c r="D247" s="93" t="inlineStr">
        <is>
          <t>Index Fund</t>
        </is>
      </c>
      <c r="E247" s="94" t="n">
        <v>0.85</v>
      </c>
      <c r="F247" s="94" t="n">
        <v>4.66</v>
      </c>
      <c r="G247" s="97" t="n">
        <v>-6.49</v>
      </c>
      <c r="H247" s="97" t="n">
        <v>-0.86</v>
      </c>
      <c r="I247" s="94" t="n">
        <v>0</v>
      </c>
      <c r="J247" s="94" t="n">
        <v>0</v>
      </c>
      <c r="K247" s="37" t="n">
        <v>39.2</v>
      </c>
      <c r="L247" s="18" t="n">
        <v>0</v>
      </c>
      <c r="M247" s="19" t="n">
        <v>21.6</v>
      </c>
      <c r="N247" s="95" t="inlineStr">
        <is>
          <t>📉 Weak</t>
        </is>
      </c>
      <c r="O247" s="95" t="inlineStr">
        <is>
          <t>⏳ New Fund</t>
        </is>
      </c>
      <c r="P247" s="95" t="inlineStr">
        <is>
          <t>⏳ New Fund</t>
        </is>
      </c>
      <c r="Q247" s="96" t="inlineStr">
        <is>
          <t>MOMENTUM_ONLY</t>
        </is>
      </c>
    </row>
    <row r="248" ht="16" customHeight="1">
      <c r="A248" s="28" t="n">
        <v>244</v>
      </c>
      <c r="B248" s="29" t="inlineStr">
        <is>
          <t>Baroda BNP Paribas NIFTY SDL December 2028 Index Fund - Regular Plan - Growth Option</t>
        </is>
      </c>
      <c r="C248" s="29" t="inlineStr">
        <is>
          <t>Baroda BNP Paribas Mutual Fund</t>
        </is>
      </c>
      <c r="D248" s="29" t="inlineStr">
        <is>
          <t>Index Fund</t>
        </is>
      </c>
      <c r="E248" s="30" t="n">
        <v>0.31</v>
      </c>
      <c r="F248" s="30" t="n">
        <v>2.45</v>
      </c>
      <c r="G248" s="30" t="n">
        <v>2.26</v>
      </c>
      <c r="H248" s="30" t="n">
        <v>4.95</v>
      </c>
      <c r="I248" s="30" t="n">
        <v>6.887791632159757</v>
      </c>
      <c r="J248" s="30" t="n">
        <v>23.94</v>
      </c>
      <c r="K248" s="37" t="n">
        <v>38.5</v>
      </c>
      <c r="L248" s="18" t="n">
        <v>0</v>
      </c>
      <c r="M248" s="19" t="n">
        <v>21.2</v>
      </c>
      <c r="N248" s="31" t="inlineStr">
        <is>
          <t>📉 Weak</t>
        </is>
      </c>
      <c r="O248" s="31" t="inlineStr">
        <is>
          <t>🔴 Not Qualified</t>
        </is>
      </c>
      <c r="P248" s="31" t="inlineStr">
        <is>
          <t>🔴 Avoid</t>
        </is>
      </c>
      <c r="Q248" s="83" t="inlineStr">
        <is>
          <t>FULL</t>
        </is>
      </c>
    </row>
    <row r="249" ht="16" customHeight="1">
      <c r="A249" s="13" t="n">
        <v>245</v>
      </c>
      <c r="B249" s="14" t="inlineStr">
        <is>
          <t>Aditya Birla Sun Life Crisil IBX Gilt Apr 2028 Index Fund-Regular Growth</t>
        </is>
      </c>
      <c r="C249" s="14" t="inlineStr">
        <is>
          <t>Aditya Birla Sun Life Mutual Fund</t>
        </is>
      </c>
      <c r="D249" s="14" t="inlineStr">
        <is>
          <t>GILT</t>
        </is>
      </c>
      <c r="E249" s="15" t="n">
        <v>0.33</v>
      </c>
      <c r="F249" s="15" t="n">
        <v>1.62</v>
      </c>
      <c r="G249" s="15" t="n">
        <v>2.15</v>
      </c>
      <c r="H249" s="15" t="n">
        <v>5.13</v>
      </c>
      <c r="I249" s="15" t="n">
        <v>6.531685427388223</v>
      </c>
      <c r="J249" s="15" t="n">
        <v>22.21</v>
      </c>
      <c r="K249" s="37" t="n">
        <v>37.5</v>
      </c>
      <c r="L249" s="18" t="n">
        <v>0</v>
      </c>
      <c r="M249" s="19" t="n">
        <v>20.6</v>
      </c>
      <c r="N249" s="20" t="inlineStr">
        <is>
          <t>📉 Weak</t>
        </is>
      </c>
      <c r="O249" s="20" t="inlineStr">
        <is>
          <t>🔴 Not Qualified</t>
        </is>
      </c>
      <c r="P249" s="20" t="inlineStr">
        <is>
          <t>🔴 Avoid</t>
        </is>
      </c>
      <c r="Q249" s="83" t="inlineStr">
        <is>
          <t>FULL</t>
        </is>
      </c>
    </row>
    <row r="250" ht="16" customHeight="1">
      <c r="A250" s="92" t="n">
        <v>246</v>
      </c>
      <c r="B250" s="93" t="inlineStr">
        <is>
          <t>DSP Nifty IT Index Fund - Regular - Growth</t>
        </is>
      </c>
      <c r="C250" s="93" t="inlineStr">
        <is>
          <t>DSP Mutual Fund</t>
        </is>
      </c>
      <c r="D250" s="93" t="inlineStr">
        <is>
          <t>Index Fund</t>
        </is>
      </c>
      <c r="E250" s="94" t="n">
        <v>3.37</v>
      </c>
      <c r="F250" s="94" t="n">
        <v>3.55</v>
      </c>
      <c r="G250" s="97" t="n">
        <v>-7.08</v>
      </c>
      <c r="H250" s="97" t="n">
        <v>-12.3</v>
      </c>
      <c r="I250" s="94" t="n">
        <v>0</v>
      </c>
      <c r="J250" s="94" t="n">
        <v>0</v>
      </c>
      <c r="K250" s="37" t="n">
        <v>37.4</v>
      </c>
      <c r="L250" s="18" t="n">
        <v>0</v>
      </c>
      <c r="M250" s="19" t="n">
        <v>20.6</v>
      </c>
      <c r="N250" s="95" t="inlineStr">
        <is>
          <t>📉 Weak</t>
        </is>
      </c>
      <c r="O250" s="95" t="inlineStr">
        <is>
          <t>⏳ New Fund</t>
        </is>
      </c>
      <c r="P250" s="95" t="inlineStr">
        <is>
          <t>⏳ New Fund</t>
        </is>
      </c>
      <c r="Q250" s="96" t="inlineStr">
        <is>
          <t>MOMENTUM_ONLY</t>
        </is>
      </c>
    </row>
    <row r="251" ht="16" customHeight="1">
      <c r="A251" s="13" t="n">
        <v>246</v>
      </c>
      <c r="B251" s="14" t="inlineStr">
        <is>
          <t>Nippon India Nifty G-Sec Oct 2028 Maturity Index Fund-Regular Plan-Growth Option</t>
        </is>
      </c>
      <c r="C251" s="14" t="inlineStr">
        <is>
          <t>Nippon India Mutual Fund</t>
        </is>
      </c>
      <c r="D251" s="14" t="inlineStr">
        <is>
          <t>G-SEC</t>
        </is>
      </c>
      <c r="E251" s="15" t="n">
        <v>0.28</v>
      </c>
      <c r="F251" s="15" t="n">
        <v>2.01</v>
      </c>
      <c r="G251" s="15" t="n">
        <v>2.01</v>
      </c>
      <c r="H251" s="15" t="n">
        <v>5.43</v>
      </c>
      <c r="I251" s="15" t="n">
        <v>7.042047812997287</v>
      </c>
      <c r="J251" s="15" t="n">
        <v>23.98</v>
      </c>
      <c r="K251" s="37" t="n">
        <v>37.4</v>
      </c>
      <c r="L251" s="18" t="n">
        <v>0</v>
      </c>
      <c r="M251" s="19" t="n">
        <v>20.6</v>
      </c>
      <c r="N251" s="20" t="inlineStr">
        <is>
          <t>📉 Weak</t>
        </is>
      </c>
      <c r="O251" s="20" t="inlineStr">
        <is>
          <t>🔴 Not Qualified</t>
        </is>
      </c>
      <c r="P251" s="20" t="inlineStr">
        <is>
          <t>🔴 Avoid</t>
        </is>
      </c>
      <c r="Q251" s="83" t="inlineStr">
        <is>
          <t>FULL</t>
        </is>
      </c>
    </row>
    <row r="252" ht="16" customHeight="1">
      <c r="A252" s="92" t="n">
        <v>248</v>
      </c>
      <c r="B252" s="93" t="inlineStr">
        <is>
          <t>SBI Nifty IT Index Fund - Regular Plan - Growth</t>
        </is>
      </c>
      <c r="C252" s="93" t="inlineStr">
        <is>
          <t>SBI Mutual Fund</t>
        </is>
      </c>
      <c r="D252" s="93" t="inlineStr">
        <is>
          <t>Index Fund</t>
        </is>
      </c>
      <c r="E252" s="94" t="n">
        <v>3.35</v>
      </c>
      <c r="F252" s="94" t="n">
        <v>3.51</v>
      </c>
      <c r="G252" s="97" t="n">
        <v>-7.1</v>
      </c>
      <c r="H252" s="97" t="n">
        <v>-12.13</v>
      </c>
      <c r="I252" s="94" t="n">
        <v>0</v>
      </c>
      <c r="J252" s="94" t="n">
        <v>0</v>
      </c>
      <c r="K252" s="37" t="n">
        <v>37.2</v>
      </c>
      <c r="L252" s="18" t="n">
        <v>0</v>
      </c>
      <c r="M252" s="19" t="n">
        <v>20.5</v>
      </c>
      <c r="N252" s="95" t="inlineStr">
        <is>
          <t>📉 Weak</t>
        </is>
      </c>
      <c r="O252" s="95" t="inlineStr">
        <is>
          <t>⏳ New Fund</t>
        </is>
      </c>
      <c r="P252" s="95" t="inlineStr">
        <is>
          <t>⏳ New Fund</t>
        </is>
      </c>
      <c r="Q252" s="96" t="inlineStr">
        <is>
          <t>MOMENTUM_ONLY</t>
        </is>
      </c>
    </row>
    <row r="253" ht="16" customHeight="1">
      <c r="A253" s="13" t="n">
        <v>249</v>
      </c>
      <c r="B253" s="14" t="inlineStr">
        <is>
          <t>ICICI Prudential Nifty IT Index Fund - Growth</t>
        </is>
      </c>
      <c r="C253" s="14" t="inlineStr">
        <is>
          <t>ICICI Prudential Mutual Fund</t>
        </is>
      </c>
      <c r="D253" s="14" t="inlineStr">
        <is>
          <t>Index Fund</t>
        </is>
      </c>
      <c r="E253" s="15" t="n">
        <v>3.38</v>
      </c>
      <c r="F253" s="15" t="n">
        <v>3.49</v>
      </c>
      <c r="G253" s="16" t="n">
        <v>-7.16</v>
      </c>
      <c r="H253" s="16" t="n">
        <v>-12.21</v>
      </c>
      <c r="I253" s="16" t="n">
        <v>-12.89087303846973</v>
      </c>
      <c r="J253" s="15" t="n">
        <v>2.36</v>
      </c>
      <c r="K253" s="37" t="n">
        <v>37.2</v>
      </c>
      <c r="L253" s="18" t="n">
        <v>0</v>
      </c>
      <c r="M253" s="19" t="n">
        <v>20.5</v>
      </c>
      <c r="N253" s="20" t="inlineStr">
        <is>
          <t>📉 Weak</t>
        </is>
      </c>
      <c r="O253" s="20" t="inlineStr">
        <is>
          <t>🔴 Not Qualified</t>
        </is>
      </c>
      <c r="P253" s="20" t="inlineStr">
        <is>
          <t>🔴 Avoid</t>
        </is>
      </c>
      <c r="Q253" s="83" t="inlineStr">
        <is>
          <t>FULL</t>
        </is>
      </c>
    </row>
    <row r="254" ht="16" customHeight="1">
      <c r="A254" s="92" t="n">
        <v>250</v>
      </c>
      <c r="B254" s="93" t="inlineStr">
        <is>
          <t>HDFC BSE India Sector Leaders Index Fund - Regular Plan - Growth Option</t>
        </is>
      </c>
      <c r="C254" s="93" t="inlineStr">
        <is>
          <t>HDFC Mutual Fund</t>
        </is>
      </c>
      <c r="D254" s="93" t="inlineStr">
        <is>
          <t>Index Fund</t>
        </is>
      </c>
      <c r="E254" s="94" t="n">
        <v>0.5600000000000001</v>
      </c>
      <c r="F254" s="94" t="n">
        <v>3.67</v>
      </c>
      <c r="G254" s="97" t="n">
        <v>-2.1</v>
      </c>
      <c r="H254" s="94" t="n">
        <v>0</v>
      </c>
      <c r="I254" s="94" t="n">
        <v>0</v>
      </c>
      <c r="J254" s="94" t="n">
        <v>0</v>
      </c>
      <c r="K254" s="37" t="n">
        <v>37.1</v>
      </c>
      <c r="L254" s="18" t="n">
        <v>0</v>
      </c>
      <c r="M254" s="19" t="n">
        <v>20.4</v>
      </c>
      <c r="N254" s="95" t="inlineStr">
        <is>
          <t>📉 Weak</t>
        </is>
      </c>
      <c r="O254" s="95" t="inlineStr">
        <is>
          <t>⏳ New Fund</t>
        </is>
      </c>
      <c r="P254" s="95" t="inlineStr">
        <is>
          <t>⏳ New Fund</t>
        </is>
      </c>
      <c r="Q254" s="96" t="inlineStr">
        <is>
          <t>MOMENTUM_ONLY</t>
        </is>
      </c>
    </row>
    <row r="255" ht="16" customHeight="1">
      <c r="A255" s="92" t="n">
        <v>251</v>
      </c>
      <c r="B255" s="93" t="inlineStr">
        <is>
          <t>Nippon India Nifty 500 Low Volatility 50 Index Fund - Regular Plan - Growth Option</t>
        </is>
      </c>
      <c r="C255" s="93" t="inlineStr">
        <is>
          <t>Nippon India Mutual Fund</t>
        </is>
      </c>
      <c r="D255" s="93" t="inlineStr">
        <is>
          <t>Index Fund</t>
        </is>
      </c>
      <c r="E255" s="94" t="n">
        <v>0.79</v>
      </c>
      <c r="F255" s="94" t="n">
        <v>1.65</v>
      </c>
      <c r="G255" s="97" t="n">
        <v>-3.08</v>
      </c>
      <c r="H255" s="94" t="n">
        <v>4.56</v>
      </c>
      <c r="I255" s="94" t="n">
        <v>0</v>
      </c>
      <c r="J255" s="94" t="n">
        <v>0</v>
      </c>
      <c r="K255" s="37" t="n">
        <v>37</v>
      </c>
      <c r="L255" s="18" t="n">
        <v>0</v>
      </c>
      <c r="M255" s="19" t="n">
        <v>20.4</v>
      </c>
      <c r="N255" s="95" t="inlineStr">
        <is>
          <t>📉 Weak</t>
        </is>
      </c>
      <c r="O255" s="95" t="inlineStr">
        <is>
          <t>⏳ New Fund</t>
        </is>
      </c>
      <c r="P255" s="95" t="inlineStr">
        <is>
          <t>⏳ New Fund</t>
        </is>
      </c>
      <c r="Q255" s="96" t="inlineStr">
        <is>
          <t>MOMENTUM_ONLY</t>
        </is>
      </c>
    </row>
    <row r="256" ht="16" customHeight="1">
      <c r="A256" s="92" t="n">
        <v>252</v>
      </c>
      <c r="B256" s="93" t="inlineStr">
        <is>
          <t>Kotak Nifty India Tourism Index Fund-Regular plan-Growth</t>
        </is>
      </c>
      <c r="C256" s="93" t="inlineStr">
        <is>
          <t>Kotak Mahindra Mutual Fund</t>
        </is>
      </c>
      <c r="D256" s="93" t="inlineStr">
        <is>
          <t>Index Fund</t>
        </is>
      </c>
      <c r="E256" s="94" t="n">
        <v>0.27</v>
      </c>
      <c r="F256" s="94" t="n">
        <v>10.64</v>
      </c>
      <c r="G256" s="97" t="n">
        <v>-1.18</v>
      </c>
      <c r="H256" s="97" t="n">
        <v>-13.67</v>
      </c>
      <c r="I256" s="94" t="n">
        <v>0</v>
      </c>
      <c r="J256" s="94" t="n">
        <v>0</v>
      </c>
      <c r="K256" s="37" t="n">
        <v>37</v>
      </c>
      <c r="L256" s="18" t="n">
        <v>0</v>
      </c>
      <c r="M256" s="19" t="n">
        <v>20.3</v>
      </c>
      <c r="N256" s="95" t="inlineStr">
        <is>
          <t>📉 Weak</t>
        </is>
      </c>
      <c r="O256" s="95" t="inlineStr">
        <is>
          <t>⏳ New Fund</t>
        </is>
      </c>
      <c r="P256" s="95" t="inlineStr">
        <is>
          <t>⏳ New Fund</t>
        </is>
      </c>
      <c r="Q256" s="96" t="inlineStr">
        <is>
          <t>MOMENTUM_ONLY</t>
        </is>
      </c>
    </row>
    <row r="257" ht="16" customHeight="1">
      <c r="A257" s="92" t="n">
        <v>253</v>
      </c>
      <c r="B257" s="93" t="inlineStr">
        <is>
          <t>Tata Nifty India Tourism Index Fund - Regular - Growth</t>
        </is>
      </c>
      <c r="C257" s="93" t="inlineStr">
        <is>
          <t>Tata Mutual Fund</t>
        </is>
      </c>
      <c r="D257" s="93" t="inlineStr">
        <is>
          <t>Index Fund</t>
        </is>
      </c>
      <c r="E257" s="94" t="n">
        <v>0.27</v>
      </c>
      <c r="F257" s="94" t="n">
        <v>10.61</v>
      </c>
      <c r="G257" s="97" t="n">
        <v>-1.27</v>
      </c>
      <c r="H257" s="97" t="n">
        <v>-13.75</v>
      </c>
      <c r="I257" s="97" t="n">
        <v>-3.781498660600624</v>
      </c>
      <c r="J257" s="94" t="n">
        <v>0</v>
      </c>
      <c r="K257" s="37" t="n">
        <v>36.7</v>
      </c>
      <c r="L257" s="18" t="n">
        <v>0</v>
      </c>
      <c r="M257" s="19" t="n">
        <v>20.2</v>
      </c>
      <c r="N257" s="95" t="inlineStr">
        <is>
          <t>📉 Weak</t>
        </is>
      </c>
      <c r="O257" s="95" t="inlineStr">
        <is>
          <t>⏳ New Fund</t>
        </is>
      </c>
      <c r="P257" s="95" t="inlineStr">
        <is>
          <t>⏳ New Fund</t>
        </is>
      </c>
      <c r="Q257" s="96" t="inlineStr">
        <is>
          <t>MOMENTUM_ONLY</t>
        </is>
      </c>
    </row>
    <row r="258" ht="16" customHeight="1">
      <c r="A258" s="92" t="n">
        <v>254</v>
      </c>
      <c r="B258" s="93" t="inlineStr">
        <is>
          <t>Nippon India Nifty IT Index Fund - Regular Plan - Growth Option</t>
        </is>
      </c>
      <c r="C258" s="93" t="inlineStr">
        <is>
          <t>Nippon India Mutual Fund</t>
        </is>
      </c>
      <c r="D258" s="93" t="inlineStr">
        <is>
          <t>Index Fund</t>
        </is>
      </c>
      <c r="E258" s="94" t="n">
        <v>3.35</v>
      </c>
      <c r="F258" s="94" t="n">
        <v>3.44</v>
      </c>
      <c r="G258" s="97" t="n">
        <v>-7.23</v>
      </c>
      <c r="H258" s="97" t="n">
        <v>-12.26</v>
      </c>
      <c r="I258" s="97" t="n">
        <v>-12.94829122871855</v>
      </c>
      <c r="J258" s="94" t="n">
        <v>0</v>
      </c>
      <c r="K258" s="37" t="n">
        <v>35.9</v>
      </c>
      <c r="L258" s="18" t="n">
        <v>0</v>
      </c>
      <c r="M258" s="19" t="n">
        <v>19.8</v>
      </c>
      <c r="N258" s="95" t="inlineStr">
        <is>
          <t>📉 Weak</t>
        </is>
      </c>
      <c r="O258" s="95" t="inlineStr">
        <is>
          <t>⏳ New Fund</t>
        </is>
      </c>
      <c r="P258" s="95" t="inlineStr">
        <is>
          <t>⏳ New Fund</t>
        </is>
      </c>
      <c r="Q258" s="96" t="inlineStr">
        <is>
          <t>MOMENTUM_ONLY</t>
        </is>
      </c>
    </row>
    <row r="259" ht="16" customHeight="1">
      <c r="A259" s="13" t="n">
        <v>255</v>
      </c>
      <c r="B259" s="14" t="inlineStr">
        <is>
          <t>Axis Nifty IT Index Fund - Regular Plan - Growth</t>
        </is>
      </c>
      <c r="C259" s="14" t="inlineStr">
        <is>
          <t>Axis Mutual Fund</t>
        </is>
      </c>
      <c r="D259" s="14" t="inlineStr">
        <is>
          <t>Index Fund</t>
        </is>
      </c>
      <c r="E259" s="15" t="n">
        <v>3.34</v>
      </c>
      <c r="F259" s="15" t="n">
        <v>3.41</v>
      </c>
      <c r="G259" s="16" t="n">
        <v>-7.23</v>
      </c>
      <c r="H259" s="16" t="n">
        <v>-12.34</v>
      </c>
      <c r="I259" s="16" t="n">
        <v>-13.09775607039827</v>
      </c>
      <c r="J259" s="15" t="n">
        <v>1.83</v>
      </c>
      <c r="K259" s="37" t="n">
        <v>35.6</v>
      </c>
      <c r="L259" s="18" t="n">
        <v>0</v>
      </c>
      <c r="M259" s="19" t="n">
        <v>19.6</v>
      </c>
      <c r="N259" s="20" t="inlineStr">
        <is>
          <t>📉 Weak</t>
        </is>
      </c>
      <c r="O259" s="20" t="inlineStr">
        <is>
          <t>🔴 Not Qualified</t>
        </is>
      </c>
      <c r="P259" s="20" t="inlineStr">
        <is>
          <t>🔴 Avoid</t>
        </is>
      </c>
      <c r="Q259" s="83" t="inlineStr">
        <is>
          <t>FULL</t>
        </is>
      </c>
    </row>
    <row r="260" ht="16" customHeight="1">
      <c r="A260" s="92" t="n">
        <v>256</v>
      </c>
      <c r="B260" s="93" t="inlineStr">
        <is>
          <t>Bandhan BSE India Sector Leaders Index Fund - Regular Plan - Growth</t>
        </is>
      </c>
      <c r="C260" s="93" t="inlineStr">
        <is>
          <t>Bandhan Mutual Fund</t>
        </is>
      </c>
      <c r="D260" s="93" t="inlineStr">
        <is>
          <t>Index Fund</t>
        </is>
      </c>
      <c r="E260" s="94" t="n">
        <v>0.54</v>
      </c>
      <c r="F260" s="94" t="n">
        <v>3.58</v>
      </c>
      <c r="G260" s="97" t="n">
        <v>-2.26</v>
      </c>
      <c r="H260" s="94" t="n">
        <v>0</v>
      </c>
      <c r="I260" s="94" t="n">
        <v>0</v>
      </c>
      <c r="J260" s="94" t="n">
        <v>0</v>
      </c>
      <c r="K260" s="37" t="n">
        <v>35.4</v>
      </c>
      <c r="L260" s="18" t="n">
        <v>0</v>
      </c>
      <c r="M260" s="19" t="n">
        <v>19.5</v>
      </c>
      <c r="N260" s="95" t="inlineStr">
        <is>
          <t>📉 Weak</t>
        </is>
      </c>
      <c r="O260" s="95" t="inlineStr">
        <is>
          <t>⏳ New Fund</t>
        </is>
      </c>
      <c r="P260" s="95" t="inlineStr">
        <is>
          <t>⏳ New Fund</t>
        </is>
      </c>
      <c r="Q260" s="96" t="inlineStr">
        <is>
          <t>MOMENTUM_ONLY</t>
        </is>
      </c>
    </row>
    <row r="261" ht="16" customHeight="1">
      <c r="A261" s="92" t="n">
        <v>257</v>
      </c>
      <c r="B261" s="93" t="inlineStr">
        <is>
          <t>Axis BSE India Sectors Leaders Index Fund- Regular Plan- Growth Option</t>
        </is>
      </c>
      <c r="C261" s="93" t="inlineStr">
        <is>
          <t>Axis Mutual Fund</t>
        </is>
      </c>
      <c r="D261" s="93" t="inlineStr">
        <is>
          <t>Index Fund</t>
        </is>
      </c>
      <c r="E261" s="94" t="n">
        <v>0.53</v>
      </c>
      <c r="F261" s="94" t="n">
        <v>3.59</v>
      </c>
      <c r="G261" s="97" t="n">
        <v>-2.28</v>
      </c>
      <c r="H261" s="94" t="n">
        <v>0</v>
      </c>
      <c r="I261" s="94" t="n">
        <v>0</v>
      </c>
      <c r="J261" s="94" t="n">
        <v>0</v>
      </c>
      <c r="K261" s="37" t="n">
        <v>35.2</v>
      </c>
      <c r="L261" s="18" t="n">
        <v>0</v>
      </c>
      <c r="M261" s="19" t="n">
        <v>19.4</v>
      </c>
      <c r="N261" s="95" t="inlineStr">
        <is>
          <t>📉 Weak</t>
        </is>
      </c>
      <c r="O261" s="95" t="inlineStr">
        <is>
          <t>⏳ New Fund</t>
        </is>
      </c>
      <c r="P261" s="95" t="inlineStr">
        <is>
          <t>⏳ New Fund</t>
        </is>
      </c>
      <c r="Q261" s="96" t="inlineStr">
        <is>
          <t>MOMENTUM_ONLY</t>
        </is>
      </c>
    </row>
    <row r="262" ht="16" customHeight="1">
      <c r="A262" s="92" t="n">
        <v>258</v>
      </c>
      <c r="B262" s="93" t="inlineStr">
        <is>
          <t>Axis Nifty500 Value 50 Index Fund - Regular Plan - Growth Option</t>
        </is>
      </c>
      <c r="C262" s="93" t="inlineStr">
        <is>
          <t>Axis Mutual Fund</t>
        </is>
      </c>
      <c r="D262" s="93" t="inlineStr">
        <is>
          <t>Index Fund</t>
        </is>
      </c>
      <c r="E262" s="94" t="n">
        <v>0.39</v>
      </c>
      <c r="F262" s="97" t="n">
        <v>-1.94</v>
      </c>
      <c r="G262" s="97" t="n">
        <v>-3.45</v>
      </c>
      <c r="H262" s="94" t="n">
        <v>16.36</v>
      </c>
      <c r="I262" s="94" t="n">
        <v>0</v>
      </c>
      <c r="J262" s="94" t="n">
        <v>0</v>
      </c>
      <c r="K262" s="37" t="n">
        <v>34.9</v>
      </c>
      <c r="L262" s="18" t="n">
        <v>0</v>
      </c>
      <c r="M262" s="19" t="n">
        <v>19.2</v>
      </c>
      <c r="N262" s="95" t="inlineStr">
        <is>
          <t>📉 Weak</t>
        </is>
      </c>
      <c r="O262" s="95" t="inlineStr">
        <is>
          <t>⏳ New Fund</t>
        </is>
      </c>
      <c r="P262" s="95" t="inlineStr">
        <is>
          <t>⏳ New Fund</t>
        </is>
      </c>
      <c r="Q262" s="96" t="inlineStr">
        <is>
          <t>MOMENTUM_ONLY</t>
        </is>
      </c>
    </row>
    <row r="263" ht="16" customHeight="1">
      <c r="A263" s="13" t="n">
        <v>259</v>
      </c>
      <c r="B263" s="14" t="inlineStr">
        <is>
          <t>UTI Nifty 500 Value 50 Index Fund - Regular Plan - Growth Option</t>
        </is>
      </c>
      <c r="C263" s="14" t="inlineStr">
        <is>
          <t>UTI Mutual Fund</t>
        </is>
      </c>
      <c r="D263" s="14" t="inlineStr">
        <is>
          <t>Index Fund</t>
        </is>
      </c>
      <c r="E263" s="15" t="n">
        <v>0.39</v>
      </c>
      <c r="F263" s="16" t="n">
        <v>-1.92</v>
      </c>
      <c r="G263" s="16" t="n">
        <v>-3.52</v>
      </c>
      <c r="H263" s="15" t="n">
        <v>16.35</v>
      </c>
      <c r="I263" s="15" t="n">
        <v>4.436583628535073</v>
      </c>
      <c r="J263" s="15" t="n">
        <v>94.81</v>
      </c>
      <c r="K263" s="37" t="n">
        <v>34.8</v>
      </c>
      <c r="L263" s="18" t="n">
        <v>0</v>
      </c>
      <c r="M263" s="19" t="n">
        <v>19.1</v>
      </c>
      <c r="N263" s="20" t="inlineStr">
        <is>
          <t>📉 Weak</t>
        </is>
      </c>
      <c r="O263" s="20" t="inlineStr">
        <is>
          <t>🔴 Not Qualified</t>
        </is>
      </c>
      <c r="P263" s="20" t="inlineStr">
        <is>
          <t>🔴 Avoid</t>
        </is>
      </c>
      <c r="Q263" s="83" t="inlineStr">
        <is>
          <t>FULL</t>
        </is>
      </c>
    </row>
    <row r="264" ht="16" customHeight="1">
      <c r="A264" s="92" t="n">
        <v>260</v>
      </c>
      <c r="B264" s="93" t="inlineStr">
        <is>
          <t>Bandhan Nifty IT Index Fund - Regular Plan - Growth</t>
        </is>
      </c>
      <c r="C264" s="93" t="inlineStr">
        <is>
          <t>Bandhan Mutual Fund</t>
        </is>
      </c>
      <c r="D264" s="93" t="inlineStr">
        <is>
          <t>Index Fund</t>
        </is>
      </c>
      <c r="E264" s="94" t="n">
        <v>3.35</v>
      </c>
      <c r="F264" s="94" t="n">
        <v>3.36</v>
      </c>
      <c r="G264" s="97" t="n">
        <v>-7.34</v>
      </c>
      <c r="H264" s="97" t="n">
        <v>-12.5</v>
      </c>
      <c r="I264" s="97" t="n">
        <v>-13.14955382958588</v>
      </c>
      <c r="J264" s="94" t="n">
        <v>0</v>
      </c>
      <c r="K264" s="37" t="n">
        <v>34.8</v>
      </c>
      <c r="L264" s="18" t="n">
        <v>0</v>
      </c>
      <c r="M264" s="19" t="n">
        <v>19.1</v>
      </c>
      <c r="N264" s="95" t="inlineStr">
        <is>
          <t>📉 Weak</t>
        </is>
      </c>
      <c r="O264" s="95" t="inlineStr">
        <is>
          <t>⏳ New Fund</t>
        </is>
      </c>
      <c r="P264" s="95" t="inlineStr">
        <is>
          <t>⏳ New Fund</t>
        </is>
      </c>
      <c r="Q264" s="96" t="inlineStr">
        <is>
          <t>MOMENTUM_ONLY</t>
        </is>
      </c>
    </row>
    <row r="265" ht="16" customHeight="1">
      <c r="A265" s="92" t="n">
        <v>261</v>
      </c>
      <c r="B265" s="93" t="inlineStr">
        <is>
          <t>Bandhan Nifty 500 Value 50 Index Fund Regular Plan - Growth</t>
        </is>
      </c>
      <c r="C265" s="93" t="inlineStr">
        <is>
          <t>Bandhan Mutual Fund</t>
        </is>
      </c>
      <c r="D265" s="93" t="inlineStr">
        <is>
          <t>Index Fund</t>
        </is>
      </c>
      <c r="E265" s="94" t="n">
        <v>0.39</v>
      </c>
      <c r="F265" s="97" t="n">
        <v>-2.03</v>
      </c>
      <c r="G265" s="97" t="n">
        <v>-3.66</v>
      </c>
      <c r="H265" s="94" t="n">
        <v>16.12</v>
      </c>
      <c r="I265" s="94" t="n">
        <v>0</v>
      </c>
      <c r="J265" s="94" t="n">
        <v>0</v>
      </c>
      <c r="K265" s="37" t="n">
        <v>34.4</v>
      </c>
      <c r="L265" s="18" t="n">
        <v>0</v>
      </c>
      <c r="M265" s="19" t="n">
        <v>18.9</v>
      </c>
      <c r="N265" s="95" t="inlineStr">
        <is>
          <t>📉 Weak</t>
        </is>
      </c>
      <c r="O265" s="95" t="inlineStr">
        <is>
          <t>⏳ New Fund</t>
        </is>
      </c>
      <c r="P265" s="95" t="inlineStr">
        <is>
          <t>⏳ New Fund</t>
        </is>
      </c>
      <c r="Q265" s="96" t="inlineStr">
        <is>
          <t>MOMENTUM_ONLY</t>
        </is>
      </c>
    </row>
    <row r="266" ht="16" customHeight="1">
      <c r="A266" s="92" t="n">
        <v>262</v>
      </c>
      <c r="B266" s="93" t="inlineStr">
        <is>
          <t>SBI Nifty Bank Index Fund-Regular Plan- Growth</t>
        </is>
      </c>
      <c r="C266" s="93" t="inlineStr">
        <is>
          <t>SBI Mutual Fund</t>
        </is>
      </c>
      <c r="D266" s="93" t="inlineStr">
        <is>
          <t>Banking/Financial</t>
        </is>
      </c>
      <c r="E266" s="97" t="n">
        <v>-2.05</v>
      </c>
      <c r="F266" s="94" t="n">
        <v>7.51</v>
      </c>
      <c r="G266" s="97" t="n">
        <v>-6.6</v>
      </c>
      <c r="H266" s="94" t="n">
        <v>3.53</v>
      </c>
      <c r="I266" s="94" t="n">
        <v>0</v>
      </c>
      <c r="J266" s="94" t="n">
        <v>0</v>
      </c>
      <c r="K266" s="37" t="n">
        <v>33.3</v>
      </c>
      <c r="L266" s="18" t="n">
        <v>0</v>
      </c>
      <c r="M266" s="19" t="n">
        <v>18.3</v>
      </c>
      <c r="N266" s="95" t="inlineStr">
        <is>
          <t>📉 Weak</t>
        </is>
      </c>
      <c r="O266" s="95" t="inlineStr">
        <is>
          <t>⏳ New Fund</t>
        </is>
      </c>
      <c r="P266" s="95" t="inlineStr">
        <is>
          <t>⏳ New Fund</t>
        </is>
      </c>
      <c r="Q266" s="96" t="inlineStr">
        <is>
          <t>MOMENTUM_ONLY</t>
        </is>
      </c>
    </row>
    <row r="267" ht="16" customHeight="1">
      <c r="A267" s="92" t="n">
        <v>262</v>
      </c>
      <c r="B267" s="93" t="inlineStr">
        <is>
          <t>SBI Nifty Bank Index Fund- Regular Plan- Income Distribution Cum Capital Withdrawal Option</t>
        </is>
      </c>
      <c r="C267" s="93" t="inlineStr">
        <is>
          <t>SBI Mutual Fund</t>
        </is>
      </c>
      <c r="D267" s="93" t="inlineStr">
        <is>
          <t>Banking/Financial</t>
        </is>
      </c>
      <c r="E267" s="97" t="n">
        <v>-2.05</v>
      </c>
      <c r="F267" s="94" t="n">
        <v>7.51</v>
      </c>
      <c r="G267" s="97" t="n">
        <v>-6.6</v>
      </c>
      <c r="H267" s="94" t="n">
        <v>3.53</v>
      </c>
      <c r="I267" s="94" t="n">
        <v>0</v>
      </c>
      <c r="J267" s="94" t="n">
        <v>0</v>
      </c>
      <c r="K267" s="37" t="n">
        <v>33.3</v>
      </c>
      <c r="L267" s="18" t="n">
        <v>0</v>
      </c>
      <c r="M267" s="19" t="n">
        <v>18.3</v>
      </c>
      <c r="N267" s="95" t="inlineStr">
        <is>
          <t>📉 Weak</t>
        </is>
      </c>
      <c r="O267" s="95" t="inlineStr">
        <is>
          <t>⏳ New Fund</t>
        </is>
      </c>
      <c r="P267" s="95" t="inlineStr">
        <is>
          <t>⏳ New Fund</t>
        </is>
      </c>
      <c r="Q267" s="96" t="inlineStr">
        <is>
          <t>MOMENTUM_ONLY</t>
        </is>
      </c>
    </row>
    <row r="268" ht="16" customHeight="1">
      <c r="A268" s="92" t="n">
        <v>264</v>
      </c>
      <c r="B268" s="93" t="inlineStr">
        <is>
          <t>Kotak BSE PSU Index Fund - Regular Plan - Growth</t>
        </is>
      </c>
      <c r="C268" s="93" t="inlineStr">
        <is>
          <t>Kotak Mahindra Mutual Fund</t>
        </is>
      </c>
      <c r="D268" s="93" t="inlineStr">
        <is>
          <t>Index Fund</t>
        </is>
      </c>
      <c r="E268" s="94" t="n">
        <v>0.57</v>
      </c>
      <c r="F268" s="97" t="n">
        <v>-0.54</v>
      </c>
      <c r="G268" s="97" t="n">
        <v>-6.58</v>
      </c>
      <c r="H268" s="94" t="n">
        <v>10.46</v>
      </c>
      <c r="I268" s="97" t="n">
        <v>-0.4660861816435991</v>
      </c>
      <c r="J268" s="94" t="n">
        <v>0</v>
      </c>
      <c r="K268" s="37" t="n">
        <v>33.1</v>
      </c>
      <c r="L268" s="18" t="n">
        <v>0</v>
      </c>
      <c r="M268" s="19" t="n">
        <v>18.2</v>
      </c>
      <c r="N268" s="95" t="inlineStr">
        <is>
          <t>📉 Weak</t>
        </is>
      </c>
      <c r="O268" s="95" t="inlineStr">
        <is>
          <t>⏳ New Fund</t>
        </is>
      </c>
      <c r="P268" s="95" t="inlineStr">
        <is>
          <t>⏳ New Fund</t>
        </is>
      </c>
      <c r="Q268" s="96" t="inlineStr">
        <is>
          <t>MOMENTUM_ONLY</t>
        </is>
      </c>
    </row>
    <row r="269" ht="16" customHeight="1">
      <c r="A269" s="92" t="n">
        <v>265</v>
      </c>
      <c r="B269" s="93" t="inlineStr">
        <is>
          <t>ICICI Prudential Nifty200 Value 30 Index Fund - Growth</t>
        </is>
      </c>
      <c r="C269" s="93" t="inlineStr">
        <is>
          <t>ICICI Prudential Mutual Fund</t>
        </is>
      </c>
      <c r="D269" s="93" t="inlineStr">
        <is>
          <t>Index Fund</t>
        </is>
      </c>
      <c r="E269" s="97" t="n">
        <v>-0.3</v>
      </c>
      <c r="F269" s="97" t="n">
        <v>-1.87</v>
      </c>
      <c r="G269" s="97" t="n">
        <v>-5.61</v>
      </c>
      <c r="H269" s="94" t="n">
        <v>17.55</v>
      </c>
      <c r="I269" s="94" t="n">
        <v>0</v>
      </c>
      <c r="J269" s="94" t="n">
        <v>0</v>
      </c>
      <c r="K269" s="37" t="n">
        <v>33</v>
      </c>
      <c r="L269" s="18" t="n">
        <v>0</v>
      </c>
      <c r="M269" s="19" t="n">
        <v>18.1</v>
      </c>
      <c r="N269" s="95" t="inlineStr">
        <is>
          <t>📉 Weak</t>
        </is>
      </c>
      <c r="O269" s="95" t="inlineStr">
        <is>
          <t>⏳ New Fund</t>
        </is>
      </c>
      <c r="P269" s="95" t="inlineStr">
        <is>
          <t>⏳ New Fund</t>
        </is>
      </c>
      <c r="Q269" s="96" t="inlineStr">
        <is>
          <t>MOMENTUM_ONLY</t>
        </is>
      </c>
    </row>
    <row r="270" ht="16" customHeight="1">
      <c r="A270" s="28" t="n">
        <v>266</v>
      </c>
      <c r="B270" s="29" t="inlineStr">
        <is>
          <t>ICICI Prudential Nifty Bank Index Fund - Growth</t>
        </is>
      </c>
      <c r="C270" s="29" t="inlineStr">
        <is>
          <t>ICICI Prudential Mutual Fund</t>
        </is>
      </c>
      <c r="D270" s="29" t="inlineStr">
        <is>
          <t>Banking/Financial</t>
        </is>
      </c>
      <c r="E270" s="91" t="n">
        <v>-2.05</v>
      </c>
      <c r="F270" s="30" t="n">
        <v>7.5</v>
      </c>
      <c r="G270" s="91" t="n">
        <v>-6.74</v>
      </c>
      <c r="H270" s="30" t="n">
        <v>3.29</v>
      </c>
      <c r="I270" s="30" t="n">
        <v>6.343782140753307</v>
      </c>
      <c r="J270" s="30" t="n">
        <v>30.32</v>
      </c>
      <c r="K270" s="37" t="n">
        <v>32.6</v>
      </c>
      <c r="L270" s="18" t="n">
        <v>0</v>
      </c>
      <c r="M270" s="19" t="n">
        <v>18</v>
      </c>
      <c r="N270" s="31" t="inlineStr">
        <is>
          <t>📉 Weak</t>
        </is>
      </c>
      <c r="O270" s="31" t="inlineStr">
        <is>
          <t>🔴 Not Qualified</t>
        </is>
      </c>
      <c r="P270" s="31" t="inlineStr">
        <is>
          <t>🔴 Avoid</t>
        </is>
      </c>
      <c r="Q270" s="83" t="inlineStr">
        <is>
          <t>FULL</t>
        </is>
      </c>
    </row>
    <row r="271" ht="16" customHeight="1">
      <c r="A271" s="13" t="n">
        <v>267</v>
      </c>
      <c r="B271" s="14" t="inlineStr">
        <is>
          <t>BANDHAN NIFTY 100 INDEX FUND - REGULAR PLAN - GROWTH</t>
        </is>
      </c>
      <c r="C271" s="14" t="inlineStr">
        <is>
          <t>Bandhan Mutual Fund</t>
        </is>
      </c>
      <c r="D271" s="14" t="inlineStr">
        <is>
          <t>Index Fund</t>
        </is>
      </c>
      <c r="E271" s="15" t="n">
        <v>0.17</v>
      </c>
      <c r="F271" s="15" t="n">
        <v>3.75</v>
      </c>
      <c r="G271" s="16" t="n">
        <v>-3.93</v>
      </c>
      <c r="H271" s="15" t="n">
        <v>0.8100000000000001</v>
      </c>
      <c r="I271" s="16" t="n">
        <v>-0.03500612714468776</v>
      </c>
      <c r="J271" s="15" t="n">
        <v>33.57</v>
      </c>
      <c r="K271" s="37" t="n">
        <v>32.6</v>
      </c>
      <c r="L271" s="18" t="n">
        <v>0</v>
      </c>
      <c r="M271" s="19" t="n">
        <v>17.9</v>
      </c>
      <c r="N271" s="20" t="inlineStr">
        <is>
          <t>📉 Weak</t>
        </is>
      </c>
      <c r="O271" s="20" t="inlineStr">
        <is>
          <t>🔴 Not Qualified</t>
        </is>
      </c>
      <c r="P271" s="20" t="inlineStr">
        <is>
          <t>🔴 Avoid</t>
        </is>
      </c>
      <c r="Q271" s="83" t="inlineStr">
        <is>
          <t>FULL</t>
        </is>
      </c>
    </row>
    <row r="272" ht="16" customHeight="1">
      <c r="A272" s="92" t="n">
        <v>268</v>
      </c>
      <c r="B272" s="93" t="inlineStr">
        <is>
          <t>Nippon India Nifty Bank Index Fund - Regular Plan - Growth Option</t>
        </is>
      </c>
      <c r="C272" s="93" t="inlineStr">
        <is>
          <t>Nippon India Mutual Fund</t>
        </is>
      </c>
      <c r="D272" s="93" t="inlineStr">
        <is>
          <t>Banking/Financial</t>
        </is>
      </c>
      <c r="E272" s="97" t="n">
        <v>-2.06</v>
      </c>
      <c r="F272" s="94" t="n">
        <v>7.47</v>
      </c>
      <c r="G272" s="97" t="n">
        <v>-6.8</v>
      </c>
      <c r="H272" s="94" t="n">
        <v>3.19</v>
      </c>
      <c r="I272" s="94" t="n">
        <v>6.240293674292907</v>
      </c>
      <c r="J272" s="94" t="n">
        <v>0</v>
      </c>
      <c r="K272" s="37" t="n">
        <v>32.2</v>
      </c>
      <c r="L272" s="18" t="n">
        <v>0</v>
      </c>
      <c r="M272" s="19" t="n">
        <v>17.7</v>
      </c>
      <c r="N272" s="95" t="inlineStr">
        <is>
          <t>📉 Weak</t>
        </is>
      </c>
      <c r="O272" s="95" t="inlineStr">
        <is>
          <t>⏳ New Fund</t>
        </is>
      </c>
      <c r="P272" s="95" t="inlineStr">
        <is>
          <t>⏳ New Fund</t>
        </is>
      </c>
      <c r="Q272" s="96" t="inlineStr">
        <is>
          <t>MOMENTUM_ONLY</t>
        </is>
      </c>
    </row>
    <row r="273" ht="16" customHeight="1">
      <c r="A273" s="13" t="n">
        <v>269</v>
      </c>
      <c r="B273" s="14" t="inlineStr">
        <is>
          <t>HDFC NIFTY 100 Index Fund - Growth Option</t>
        </is>
      </c>
      <c r="C273" s="14" t="inlineStr">
        <is>
          <t>HDFC Mutual Fund</t>
        </is>
      </c>
      <c r="D273" s="14" t="inlineStr">
        <is>
          <t>Index Fund</t>
        </is>
      </c>
      <c r="E273" s="15" t="n">
        <v>0.16</v>
      </c>
      <c r="F273" s="15" t="n">
        <v>3.73</v>
      </c>
      <c r="G273" s="16" t="n">
        <v>-3.97</v>
      </c>
      <c r="H273" s="15" t="n">
        <v>0.68</v>
      </c>
      <c r="I273" s="16" t="n">
        <v>-0.1551203115552902</v>
      </c>
      <c r="J273" s="15" t="n">
        <v>32.98</v>
      </c>
      <c r="K273" s="37" t="n">
        <v>32</v>
      </c>
      <c r="L273" s="18" t="n">
        <v>0</v>
      </c>
      <c r="M273" s="19" t="n">
        <v>17.6</v>
      </c>
      <c r="N273" s="20" t="inlineStr">
        <is>
          <t>📉 Weak</t>
        </is>
      </c>
      <c r="O273" s="20" t="inlineStr">
        <is>
          <t>🔴 Not Qualified</t>
        </is>
      </c>
      <c r="P273" s="20" t="inlineStr">
        <is>
          <t>🔴 Avoid</t>
        </is>
      </c>
      <c r="Q273" s="83" t="inlineStr">
        <is>
          <t>FULL</t>
        </is>
      </c>
    </row>
    <row r="274" ht="16" customHeight="1">
      <c r="A274" s="92" t="n">
        <v>270</v>
      </c>
      <c r="B274" s="93" t="inlineStr">
        <is>
          <t>DSP Nifty Bank Index Fund - Regular - Growth</t>
        </is>
      </c>
      <c r="C274" s="93" t="inlineStr">
        <is>
          <t>DSP Mutual Fund</t>
        </is>
      </c>
      <c r="D274" s="93" t="inlineStr">
        <is>
          <t>Banking/Financial</t>
        </is>
      </c>
      <c r="E274" s="97" t="n">
        <v>-2.06</v>
      </c>
      <c r="F274" s="94" t="n">
        <v>7.46</v>
      </c>
      <c r="G274" s="97" t="n">
        <v>-6.83</v>
      </c>
      <c r="H274" s="94" t="n">
        <v>3.16</v>
      </c>
      <c r="I274" s="94" t="n">
        <v>6.240293674292907</v>
      </c>
      <c r="J274" s="94" t="n">
        <v>0</v>
      </c>
      <c r="K274" s="37" t="n">
        <v>31.9</v>
      </c>
      <c r="L274" s="18" t="n">
        <v>0</v>
      </c>
      <c r="M274" s="19" t="n">
        <v>17.5</v>
      </c>
      <c r="N274" s="95" t="inlineStr">
        <is>
          <t>📉 Weak</t>
        </is>
      </c>
      <c r="O274" s="95" t="inlineStr">
        <is>
          <t>⏳ New Fund</t>
        </is>
      </c>
      <c r="P274" s="95" t="inlineStr">
        <is>
          <t>⏳ New Fund</t>
        </is>
      </c>
      <c r="Q274" s="96" t="inlineStr">
        <is>
          <t>MOMENTUM_ONLY</t>
        </is>
      </c>
    </row>
    <row r="275" ht="16" customHeight="1">
      <c r="A275" s="13" t="n">
        <v>271</v>
      </c>
      <c r="B275" s="14" t="inlineStr">
        <is>
          <t>Axis Nifty 100 Index Fund - Regular Plan - Growth Option</t>
        </is>
      </c>
      <c r="C275" s="14" t="inlineStr">
        <is>
          <t>Axis Mutual Fund</t>
        </is>
      </c>
      <c r="D275" s="14" t="inlineStr">
        <is>
          <t>Index Fund</t>
        </is>
      </c>
      <c r="E275" s="15" t="n">
        <v>0.14</v>
      </c>
      <c r="F275" s="15" t="n">
        <v>3.67</v>
      </c>
      <c r="G275" s="16" t="n">
        <v>-4.07</v>
      </c>
      <c r="H275" s="15" t="n">
        <v>0.51</v>
      </c>
      <c r="I275" s="16" t="n">
        <v>-0.2854072865962176</v>
      </c>
      <c r="J275" s="15" t="n">
        <v>32.52</v>
      </c>
      <c r="K275" s="37" t="n">
        <v>31.4</v>
      </c>
      <c r="L275" s="18" t="n">
        <v>0</v>
      </c>
      <c r="M275" s="19" t="n">
        <v>17.3</v>
      </c>
      <c r="N275" s="20" t="inlineStr">
        <is>
          <t>📉 Weak</t>
        </is>
      </c>
      <c r="O275" s="20" t="inlineStr">
        <is>
          <t>🔴 Not Qualified</t>
        </is>
      </c>
      <c r="P275" s="20" t="inlineStr">
        <is>
          <t>🔴 Avoid</t>
        </is>
      </c>
      <c r="Q275" s="83" t="inlineStr">
        <is>
          <t>FULL</t>
        </is>
      </c>
    </row>
    <row r="276" ht="16" customHeight="1">
      <c r="A276" s="92" t="n">
        <v>272</v>
      </c>
      <c r="B276" s="93" t="inlineStr">
        <is>
          <t>Axis Nifty Bank Index Fund - Regular Plan - Growth Option</t>
        </is>
      </c>
      <c r="C276" s="93" t="inlineStr">
        <is>
          <t>Axis Mutual Fund</t>
        </is>
      </c>
      <c r="D276" s="93" t="inlineStr">
        <is>
          <t>Banking/Financial</t>
        </is>
      </c>
      <c r="E276" s="97" t="n">
        <v>-2.08</v>
      </c>
      <c r="F276" s="94" t="n">
        <v>7.41</v>
      </c>
      <c r="G276" s="97" t="n">
        <v>-6.86</v>
      </c>
      <c r="H276" s="94" t="n">
        <v>3.03</v>
      </c>
      <c r="I276" s="94" t="n">
        <v>6.174384858119142</v>
      </c>
      <c r="J276" s="94" t="n">
        <v>0</v>
      </c>
      <c r="K276" s="37" t="n">
        <v>31.2</v>
      </c>
      <c r="L276" s="18" t="n">
        <v>0</v>
      </c>
      <c r="M276" s="19" t="n">
        <v>17.2</v>
      </c>
      <c r="N276" s="95" t="inlineStr">
        <is>
          <t>📉 Weak</t>
        </is>
      </c>
      <c r="O276" s="95" t="inlineStr">
        <is>
          <t>⏳ New Fund</t>
        </is>
      </c>
      <c r="P276" s="95" t="inlineStr">
        <is>
          <t>⏳ New Fund</t>
        </is>
      </c>
      <c r="Q276" s="96" t="inlineStr">
        <is>
          <t>MOMENTUM_ONLY</t>
        </is>
      </c>
    </row>
    <row r="277" ht="16" customHeight="1">
      <c r="A277" s="13" t="n">
        <v>273</v>
      </c>
      <c r="B277" s="14" t="inlineStr">
        <is>
          <t>Motilal Oswal Nifty Bank Index - Regular Plan</t>
        </is>
      </c>
      <c r="C277" s="14" t="inlineStr">
        <is>
          <t>Motilal Oswal Mutual Fund</t>
        </is>
      </c>
      <c r="D277" s="14" t="inlineStr">
        <is>
          <t>Banking/Financial</t>
        </is>
      </c>
      <c r="E277" s="16" t="n">
        <v>-2.08</v>
      </c>
      <c r="F277" s="15" t="n">
        <v>7.43</v>
      </c>
      <c r="G277" s="16" t="n">
        <v>-6.89</v>
      </c>
      <c r="H277" s="15" t="n">
        <v>3.03</v>
      </c>
      <c r="I277" s="15" t="n">
        <v>6.169675519895979</v>
      </c>
      <c r="J277" s="15" t="n">
        <v>29.65</v>
      </c>
      <c r="K277" s="37" t="n">
        <v>31.2</v>
      </c>
      <c r="L277" s="18" t="n">
        <v>0</v>
      </c>
      <c r="M277" s="19" t="n">
        <v>17.1</v>
      </c>
      <c r="N277" s="20" t="inlineStr">
        <is>
          <t>📉 Weak</t>
        </is>
      </c>
      <c r="O277" s="20" t="inlineStr">
        <is>
          <t>🔴 Not Qualified</t>
        </is>
      </c>
      <c r="P277" s="20" t="inlineStr">
        <is>
          <t>🔴 Avoid</t>
        </is>
      </c>
      <c r="Q277" s="83" t="inlineStr">
        <is>
          <t>FULL</t>
        </is>
      </c>
    </row>
    <row r="278" ht="16" customHeight="1">
      <c r="A278" s="28" t="n">
        <v>274</v>
      </c>
      <c r="B278" s="29" t="inlineStr">
        <is>
          <t>Navi Nifty Bank Index Fund- Regular Plan- Growth</t>
        </is>
      </c>
      <c r="C278" s="29" t="inlineStr">
        <is>
          <t>Navi Mutual Fund</t>
        </is>
      </c>
      <c r="D278" s="29" t="inlineStr">
        <is>
          <t>Banking/Financial</t>
        </is>
      </c>
      <c r="E278" s="91" t="n">
        <v>-2.08</v>
      </c>
      <c r="F278" s="30" t="n">
        <v>7.43</v>
      </c>
      <c r="G278" s="91" t="n">
        <v>-6.91</v>
      </c>
      <c r="H278" s="30" t="n">
        <v>2.99</v>
      </c>
      <c r="I278" s="30" t="n">
        <v>6.150836077724797</v>
      </c>
      <c r="J278" s="30" t="n">
        <v>29.7</v>
      </c>
      <c r="K278" s="37" t="n">
        <v>31</v>
      </c>
      <c r="L278" s="18" t="n">
        <v>0</v>
      </c>
      <c r="M278" s="19" t="n">
        <v>17.1</v>
      </c>
      <c r="N278" s="31" t="inlineStr">
        <is>
          <t>📉 Weak</t>
        </is>
      </c>
      <c r="O278" s="31" t="inlineStr">
        <is>
          <t>🔴 Not Qualified</t>
        </is>
      </c>
      <c r="P278" s="31" t="inlineStr">
        <is>
          <t>🔴 Avoid</t>
        </is>
      </c>
      <c r="Q278" s="83" t="inlineStr">
        <is>
          <t>FULL</t>
        </is>
      </c>
    </row>
    <row r="279" ht="16" customHeight="1">
      <c r="A279" s="92" t="n">
        <v>275</v>
      </c>
      <c r="B279" s="93" t="inlineStr">
        <is>
          <t>Bandhan Nifty Bank Index Fund - Regular Plan - Growth</t>
        </is>
      </c>
      <c r="C279" s="93" t="inlineStr">
        <is>
          <t>Bandhan Mutual Fund</t>
        </is>
      </c>
      <c r="D279" s="93" t="inlineStr">
        <is>
          <t>Banking/Financial</t>
        </is>
      </c>
      <c r="E279" s="97" t="n">
        <v>-2.09</v>
      </c>
      <c r="F279" s="94" t="n">
        <v>7.4</v>
      </c>
      <c r="G279" s="97" t="n">
        <v>-6.94</v>
      </c>
      <c r="H279" s="94" t="n">
        <v>2.94</v>
      </c>
      <c r="I279" s="94" t="n">
        <v>0</v>
      </c>
      <c r="J279" s="94" t="n">
        <v>0</v>
      </c>
      <c r="K279" s="37" t="n">
        <v>30.6</v>
      </c>
      <c r="L279" s="18" t="n">
        <v>0</v>
      </c>
      <c r="M279" s="19" t="n">
        <v>16.8</v>
      </c>
      <c r="N279" s="95" t="inlineStr">
        <is>
          <t>📉 Weak</t>
        </is>
      </c>
      <c r="O279" s="95" t="inlineStr">
        <is>
          <t>⏳ New Fund</t>
        </is>
      </c>
      <c r="P279" s="95" t="inlineStr">
        <is>
          <t>⏳ New Fund</t>
        </is>
      </c>
      <c r="Q279" s="96" t="inlineStr">
        <is>
          <t>MOMENTUM_ONLY</t>
        </is>
      </c>
    </row>
    <row r="280" ht="16" customHeight="1">
      <c r="A280" s="92" t="n">
        <v>276</v>
      </c>
      <c r="B280" s="93" t="inlineStr">
        <is>
          <t>Navi NiftyIT Index Fund - Regular Plan -Growth</t>
        </is>
      </c>
      <c r="C280" s="93" t="inlineStr">
        <is>
          <t>Navi Mutual Fund</t>
        </is>
      </c>
      <c r="D280" s="93" t="inlineStr">
        <is>
          <t>Index Fund</t>
        </is>
      </c>
      <c r="E280" s="94" t="n">
        <v>3.26</v>
      </c>
      <c r="F280" s="94" t="n">
        <v>3.25</v>
      </c>
      <c r="G280" s="97" t="n">
        <v>-7.34</v>
      </c>
      <c r="H280" s="97" t="n">
        <v>-12.44</v>
      </c>
      <c r="I280" s="97" t="n">
        <v>-13.07474475159708</v>
      </c>
      <c r="J280" s="94" t="n">
        <v>0</v>
      </c>
      <c r="K280" s="37" t="n">
        <v>28.8</v>
      </c>
      <c r="L280" s="18" t="n">
        <v>0</v>
      </c>
      <c r="M280" s="19" t="n">
        <v>15.9</v>
      </c>
      <c r="N280" s="95" t="inlineStr">
        <is>
          <t>📉 Weak</t>
        </is>
      </c>
      <c r="O280" s="95" t="inlineStr">
        <is>
          <t>⏳ New Fund</t>
        </is>
      </c>
      <c r="P280" s="95" t="inlineStr">
        <is>
          <t>⏳ New Fund</t>
        </is>
      </c>
      <c r="Q280" s="96" t="inlineStr">
        <is>
          <t>MOMENTUM_ONLY</t>
        </is>
      </c>
    </row>
    <row r="281" ht="16" customHeight="1">
      <c r="A281" s="92" t="n">
        <v>277</v>
      </c>
      <c r="B281" s="93" t="inlineStr">
        <is>
          <t>ICICI Prudential Nifty Private Bank Index Fund - Growth</t>
        </is>
      </c>
      <c r="C281" s="93" t="inlineStr">
        <is>
          <t>ICICI Prudential Mutual Fund</t>
        </is>
      </c>
      <c r="D281" s="93" t="inlineStr">
        <is>
          <t>Banking/Financial</t>
        </is>
      </c>
      <c r="E281" s="97" t="n">
        <v>-4.21</v>
      </c>
      <c r="F281" s="94" t="n">
        <v>5.32</v>
      </c>
      <c r="G281" s="97" t="n">
        <v>-6.47</v>
      </c>
      <c r="H281" s="94" t="n">
        <v>1.75</v>
      </c>
      <c r="I281" s="94" t="n">
        <v>0</v>
      </c>
      <c r="J281" s="94" t="n">
        <v>0</v>
      </c>
      <c r="K281" s="37" t="n">
        <v>28.5</v>
      </c>
      <c r="L281" s="18" t="n">
        <v>0</v>
      </c>
      <c r="M281" s="19" t="n">
        <v>15.7</v>
      </c>
      <c r="N281" s="95" t="inlineStr">
        <is>
          <t>📉 Weak</t>
        </is>
      </c>
      <c r="O281" s="95" t="inlineStr">
        <is>
          <t>⏳ New Fund</t>
        </is>
      </c>
      <c r="P281" s="95" t="inlineStr">
        <is>
          <t>⏳ New Fund</t>
        </is>
      </c>
      <c r="Q281" s="96" t="inlineStr">
        <is>
          <t>MOMENTUM_ONLY</t>
        </is>
      </c>
    </row>
    <row r="282" ht="16" customHeight="1">
      <c r="A282" s="92" t="n">
        <v>278</v>
      </c>
      <c r="B282" s="93" t="inlineStr">
        <is>
          <t>UTI Nifty Private Bank Index Fund - Regular Plan - Growth Option</t>
        </is>
      </c>
      <c r="C282" s="93" t="inlineStr">
        <is>
          <t>UTI Mutual Fund</t>
        </is>
      </c>
      <c r="D282" s="93" t="inlineStr">
        <is>
          <t>Banking/Financial</t>
        </is>
      </c>
      <c r="E282" s="97" t="n">
        <v>-4.28</v>
      </c>
      <c r="F282" s="94" t="n">
        <v>5.31</v>
      </c>
      <c r="G282" s="97" t="n">
        <v>-6.56</v>
      </c>
      <c r="H282" s="94" t="n">
        <v>1.79</v>
      </c>
      <c r="I282" s="94" t="n">
        <v>0</v>
      </c>
      <c r="J282" s="94" t="n">
        <v>0</v>
      </c>
      <c r="K282" s="37" t="n">
        <v>28.2</v>
      </c>
      <c r="L282" s="18" t="n">
        <v>0</v>
      </c>
      <c r="M282" s="19" t="n">
        <v>15.5</v>
      </c>
      <c r="N282" s="95" t="inlineStr">
        <is>
          <t>📉 Weak</t>
        </is>
      </c>
      <c r="O282" s="95" t="inlineStr">
        <is>
          <t>⏳ New Fund</t>
        </is>
      </c>
      <c r="P282" s="95" t="inlineStr">
        <is>
          <t>⏳ New Fund</t>
        </is>
      </c>
      <c r="Q282" s="96" t="inlineStr">
        <is>
          <t>MOMENTUM_ONLY</t>
        </is>
      </c>
    </row>
    <row r="283" ht="16" customHeight="1">
      <c r="A283" s="92" t="n">
        <v>279</v>
      </c>
      <c r="B283" s="93" t="inlineStr">
        <is>
          <t>DSP Nifty Private Bank Index Fund - Regular - Growth</t>
        </is>
      </c>
      <c r="C283" s="93" t="inlineStr">
        <is>
          <t>DSP Mutual Fund</t>
        </is>
      </c>
      <c r="D283" s="93" t="inlineStr">
        <is>
          <t>Banking/Financial</t>
        </is>
      </c>
      <c r="E283" s="97" t="n">
        <v>-4.26</v>
      </c>
      <c r="F283" s="94" t="n">
        <v>5.28</v>
      </c>
      <c r="G283" s="97" t="n">
        <v>-6.65</v>
      </c>
      <c r="H283" s="94" t="n">
        <v>1.57</v>
      </c>
      <c r="I283" s="94" t="n">
        <v>0</v>
      </c>
      <c r="J283" s="94" t="n">
        <v>0</v>
      </c>
      <c r="K283" s="37" t="n">
        <v>27.4</v>
      </c>
      <c r="L283" s="18" t="n">
        <v>0</v>
      </c>
      <c r="M283" s="19" t="n">
        <v>15.1</v>
      </c>
      <c r="N283" s="95" t="inlineStr">
        <is>
          <t>📉 Weak</t>
        </is>
      </c>
      <c r="O283" s="95" t="inlineStr">
        <is>
          <t>⏳ New Fund</t>
        </is>
      </c>
      <c r="P283" s="95" t="inlineStr">
        <is>
          <t>⏳ New Fund</t>
        </is>
      </c>
      <c r="Q283" s="96" t="inlineStr">
        <is>
          <t>MOMENTUM_ONLY</t>
        </is>
      </c>
    </row>
    <row r="284" ht="16" customHeight="1">
      <c r="A284" s="28" t="n">
        <v>280</v>
      </c>
      <c r="B284" s="29" t="inlineStr">
        <is>
          <t>UTI Nifty 50 Index Fund - Regular Plan - Growth Option</t>
        </is>
      </c>
      <c r="C284" s="29" t="inlineStr">
        <is>
          <t>UTI Mutual Fund</t>
        </is>
      </c>
      <c r="D284" s="29" t="inlineStr">
        <is>
          <t>Index Fund</t>
        </is>
      </c>
      <c r="E284" s="91" t="n">
        <v>-0.57</v>
      </c>
      <c r="F284" s="30" t="n">
        <v>2.92</v>
      </c>
      <c r="G284" s="91" t="n">
        <v>-5.83</v>
      </c>
      <c r="H284" s="91" t="n">
        <v>-1.16</v>
      </c>
      <c r="I284" s="30" t="n">
        <v>0.08496390567367396</v>
      </c>
      <c r="J284" s="30" t="n">
        <v>28.24</v>
      </c>
      <c r="K284" s="37" t="n">
        <v>25.1</v>
      </c>
      <c r="L284" s="18" t="n">
        <v>0</v>
      </c>
      <c r="M284" s="19" t="n">
        <v>13.8</v>
      </c>
      <c r="N284" s="31" t="inlineStr">
        <is>
          <t>📉 Weak</t>
        </is>
      </c>
      <c r="O284" s="31" t="inlineStr">
        <is>
          <t>🔴 Not Qualified</t>
        </is>
      </c>
      <c r="P284" s="31" t="inlineStr">
        <is>
          <t>🔴 Avoid</t>
        </is>
      </c>
      <c r="Q284" s="83" t="inlineStr">
        <is>
          <t>FULL</t>
        </is>
      </c>
    </row>
    <row r="285" ht="16" customHeight="1">
      <c r="A285" s="13" t="n">
        <v>281</v>
      </c>
      <c r="B285" s="14" t="inlineStr">
        <is>
          <t>Motilal Oswal BSE Enhanced Value Index Fund-Regular plan</t>
        </is>
      </c>
      <c r="C285" s="14" t="inlineStr">
        <is>
          <t>Motilal Oswal Mutual Fund</t>
        </is>
      </c>
      <c r="D285" s="14" t="inlineStr">
        <is>
          <t>Index Fund</t>
        </is>
      </c>
      <c r="E285" s="16" t="n">
        <v>-0.29</v>
      </c>
      <c r="F285" s="16" t="n">
        <v>-0.87</v>
      </c>
      <c r="G285" s="16" t="n">
        <v>-9.33</v>
      </c>
      <c r="H285" s="15" t="n">
        <v>11.38</v>
      </c>
      <c r="I285" s="15" t="n">
        <v>2.708324881676449</v>
      </c>
      <c r="J285" s="15" t="n">
        <v>89.70999999999999</v>
      </c>
      <c r="K285" s="37" t="n">
        <v>25</v>
      </c>
      <c r="L285" s="18" t="n">
        <v>0</v>
      </c>
      <c r="M285" s="19" t="n">
        <v>13.8</v>
      </c>
      <c r="N285" s="20" t="inlineStr">
        <is>
          <t>📉 Weak</t>
        </is>
      </c>
      <c r="O285" s="20" t="inlineStr">
        <is>
          <t>🔴 Not Qualified</t>
        </is>
      </c>
      <c r="P285" s="20" t="inlineStr">
        <is>
          <t>🔴 Avoid</t>
        </is>
      </c>
      <c r="Q285" s="83" t="inlineStr">
        <is>
          <t>FULL</t>
        </is>
      </c>
    </row>
    <row r="286" ht="16" customHeight="1">
      <c r="A286" s="28" t="n">
        <v>282</v>
      </c>
      <c r="B286" s="29" t="inlineStr">
        <is>
          <t>DSP Nifty 50 Index Fund - Regular Plan - Growth</t>
        </is>
      </c>
      <c r="C286" s="29" t="inlineStr">
        <is>
          <t>DSP Mutual Fund</t>
        </is>
      </c>
      <c r="D286" s="29" t="inlineStr">
        <is>
          <t>Index Fund</t>
        </is>
      </c>
      <c r="E286" s="91" t="n">
        <v>-0.57</v>
      </c>
      <c r="F286" s="30" t="n">
        <v>2.9</v>
      </c>
      <c r="G286" s="91" t="n">
        <v>-5.85</v>
      </c>
      <c r="H286" s="91" t="n">
        <v>-1.21</v>
      </c>
      <c r="I286" s="30" t="n">
        <v>0.009999500049984178</v>
      </c>
      <c r="J286" s="30" t="n">
        <v>27.98</v>
      </c>
      <c r="K286" s="37" t="n">
        <v>24.7</v>
      </c>
      <c r="L286" s="18" t="n">
        <v>0</v>
      </c>
      <c r="M286" s="19" t="n">
        <v>13.6</v>
      </c>
      <c r="N286" s="31" t="inlineStr">
        <is>
          <t>📉 Weak</t>
        </is>
      </c>
      <c r="O286" s="31" t="inlineStr">
        <is>
          <t>🔴 Not Qualified</t>
        </is>
      </c>
      <c r="P286" s="31" t="inlineStr">
        <is>
          <t>🔴 Avoid</t>
        </is>
      </c>
      <c r="Q286" s="83" t="inlineStr">
        <is>
          <t>FULL</t>
        </is>
      </c>
    </row>
    <row r="287" ht="16" customHeight="1">
      <c r="A287" s="13" t="n">
        <v>283</v>
      </c>
      <c r="B287" s="14" t="inlineStr">
        <is>
          <t>Kotak Nifty 50 Index Fund - Regular Plan-Growth</t>
        </is>
      </c>
      <c r="C287" s="14" t="inlineStr">
        <is>
          <t>Kotak Mahindra Mutual Fund</t>
        </is>
      </c>
      <c r="D287" s="14" t="inlineStr">
        <is>
          <t>Index Fund</t>
        </is>
      </c>
      <c r="E287" s="16" t="n">
        <v>-0.57</v>
      </c>
      <c r="F287" s="15" t="n">
        <v>2.93</v>
      </c>
      <c r="G287" s="16" t="n">
        <v>-5.86</v>
      </c>
      <c r="H287" s="16" t="n">
        <v>-1.22</v>
      </c>
      <c r="I287" s="16" t="n">
        <v>-0.120072086529821</v>
      </c>
      <c r="J287" s="15" t="n">
        <v>27.39</v>
      </c>
      <c r="K287" s="37" t="n">
        <v>24.6</v>
      </c>
      <c r="L287" s="18" t="n">
        <v>0</v>
      </c>
      <c r="M287" s="19" t="n">
        <v>13.5</v>
      </c>
      <c r="N287" s="20" t="inlineStr">
        <is>
          <t>📉 Weak</t>
        </is>
      </c>
      <c r="O287" s="20" t="inlineStr">
        <is>
          <t>🔴 Not Qualified</t>
        </is>
      </c>
      <c r="P287" s="20" t="inlineStr">
        <is>
          <t>🔴 Avoid</t>
        </is>
      </c>
      <c r="Q287" s="83" t="inlineStr">
        <is>
          <t>FULL</t>
        </is>
      </c>
    </row>
    <row r="288" ht="16" customHeight="1">
      <c r="A288" s="28" t="n">
        <v>284</v>
      </c>
      <c r="B288" s="29" t="inlineStr">
        <is>
          <t>Navi Nifty 50 Index Fund-Regular Plan-Growth</t>
        </is>
      </c>
      <c r="C288" s="29" t="inlineStr">
        <is>
          <t>Navi Mutual Fund</t>
        </is>
      </c>
      <c r="D288" s="29" t="inlineStr">
        <is>
          <t>Index Fund</t>
        </is>
      </c>
      <c r="E288" s="91" t="n">
        <v>-0.57</v>
      </c>
      <c r="F288" s="30" t="n">
        <v>2.9</v>
      </c>
      <c r="G288" s="91" t="n">
        <v>-5.86</v>
      </c>
      <c r="H288" s="91" t="n">
        <v>-1.2</v>
      </c>
      <c r="I288" s="30" t="n">
        <v>0.02499687578101373</v>
      </c>
      <c r="J288" s="30" t="n">
        <v>28.07</v>
      </c>
      <c r="K288" s="37" t="n">
        <v>24.6</v>
      </c>
      <c r="L288" s="18" t="n">
        <v>0</v>
      </c>
      <c r="M288" s="19" t="n">
        <v>13.5</v>
      </c>
      <c r="N288" s="31" t="inlineStr">
        <is>
          <t>📉 Weak</t>
        </is>
      </c>
      <c r="O288" s="31" t="inlineStr">
        <is>
          <t>🔴 Not Qualified</t>
        </is>
      </c>
      <c r="P288" s="31" t="inlineStr">
        <is>
          <t>🔴 Avoid</t>
        </is>
      </c>
      <c r="Q288" s="83" t="inlineStr">
        <is>
          <t>FULL</t>
        </is>
      </c>
    </row>
    <row r="289" ht="16" customHeight="1">
      <c r="A289" s="13" t="n">
        <v>285</v>
      </c>
      <c r="B289" s="14" t="inlineStr">
        <is>
          <t>Nippon India Index Fund - Nifty 50 Plan - Growth Plan - Bonus Option</t>
        </is>
      </c>
      <c r="C289" s="14" t="inlineStr">
        <is>
          <t>Nippon India Mutual Fund</t>
        </is>
      </c>
      <c r="D289" s="14" t="inlineStr">
        <is>
          <t>Index Fund</t>
        </is>
      </c>
      <c r="E289" s="16" t="n">
        <v>-0.57</v>
      </c>
      <c r="F289" s="15" t="n">
        <v>2.88</v>
      </c>
      <c r="G289" s="16" t="n">
        <v>-5.89</v>
      </c>
      <c r="H289" s="16" t="n">
        <v>-1.3</v>
      </c>
      <c r="I289" s="16" t="n">
        <v>-0.08503615573891565</v>
      </c>
      <c r="J289" s="15" t="n">
        <v>27.5</v>
      </c>
      <c r="K289" s="37" t="n">
        <v>23.2</v>
      </c>
      <c r="L289" s="18" t="n">
        <v>0</v>
      </c>
      <c r="M289" s="19" t="n">
        <v>12.8</v>
      </c>
      <c r="N289" s="20" t="inlineStr">
        <is>
          <t>📉 Weak</t>
        </is>
      </c>
      <c r="O289" s="20" t="inlineStr">
        <is>
          <t>🔴 Not Qualified</t>
        </is>
      </c>
      <c r="P289" s="20" t="inlineStr">
        <is>
          <t>🔴 Avoid</t>
        </is>
      </c>
      <c r="Q289" s="83" t="inlineStr">
        <is>
          <t>FULL</t>
        </is>
      </c>
    </row>
    <row r="290" ht="16" customHeight="1">
      <c r="A290" s="28" t="n">
        <v>285</v>
      </c>
      <c r="B290" s="29" t="inlineStr">
        <is>
          <t>Nippon India Index Fund - Nifty 50 Plan - Growth Plan - Growth Option</t>
        </is>
      </c>
      <c r="C290" s="29" t="inlineStr">
        <is>
          <t>Nippon India Mutual Fund</t>
        </is>
      </c>
      <c r="D290" s="29" t="inlineStr">
        <is>
          <t>Index Fund</t>
        </is>
      </c>
      <c r="E290" s="91" t="n">
        <v>-0.57</v>
      </c>
      <c r="F290" s="30" t="n">
        <v>2.88</v>
      </c>
      <c r="G290" s="91" t="n">
        <v>-5.89</v>
      </c>
      <c r="H290" s="91" t="n">
        <v>-1.3</v>
      </c>
      <c r="I290" s="91" t="n">
        <v>-0.08503615573891565</v>
      </c>
      <c r="J290" s="30" t="n">
        <v>27.5</v>
      </c>
      <c r="K290" s="37" t="n">
        <v>23.2</v>
      </c>
      <c r="L290" s="18" t="n">
        <v>0</v>
      </c>
      <c r="M290" s="19" t="n">
        <v>12.8</v>
      </c>
      <c r="N290" s="31" t="inlineStr">
        <is>
          <t>📉 Weak</t>
        </is>
      </c>
      <c r="O290" s="31" t="inlineStr">
        <is>
          <t>🔴 Not Qualified</t>
        </is>
      </c>
      <c r="P290" s="31" t="inlineStr">
        <is>
          <t>🔴 Avoid</t>
        </is>
      </c>
      <c r="Q290" s="83" t="inlineStr">
        <is>
          <t>FULL</t>
        </is>
      </c>
    </row>
    <row r="291" ht="16" customHeight="1">
      <c r="A291" s="13" t="n">
        <v>287</v>
      </c>
      <c r="B291" s="14" t="inlineStr">
        <is>
          <t>ICICI Prudential Nifty 50 Index Fund - Cumulative Option</t>
        </is>
      </c>
      <c r="C291" s="14" t="inlineStr">
        <is>
          <t>ICICI Prudential Mutual Fund</t>
        </is>
      </c>
      <c r="D291" s="14" t="inlineStr">
        <is>
          <t>Index Fund</t>
        </is>
      </c>
      <c r="E291" s="16" t="n">
        <v>-0.58</v>
      </c>
      <c r="F291" s="15" t="n">
        <v>2.88</v>
      </c>
      <c r="G291" s="16" t="n">
        <v>-5.89</v>
      </c>
      <c r="H291" s="16" t="n">
        <v>-1.27</v>
      </c>
      <c r="I291" s="16" t="n">
        <v>-0.04000800320159703</v>
      </c>
      <c r="J291" s="15" t="n">
        <v>27.9</v>
      </c>
      <c r="K291" s="37" t="n">
        <v>23.1</v>
      </c>
      <c r="L291" s="18" t="n">
        <v>0</v>
      </c>
      <c r="M291" s="19" t="n">
        <v>12.7</v>
      </c>
      <c r="N291" s="20" t="inlineStr">
        <is>
          <t>📉 Weak</t>
        </is>
      </c>
      <c r="O291" s="20" t="inlineStr">
        <is>
          <t>🔴 Not Qualified</t>
        </is>
      </c>
      <c r="P291" s="20" t="inlineStr">
        <is>
          <t>🔴 Avoid</t>
        </is>
      </c>
      <c r="Q291" s="83" t="inlineStr">
        <is>
          <t>FULL</t>
        </is>
      </c>
    </row>
    <row r="292" ht="16" customHeight="1">
      <c r="A292" s="28" t="n">
        <v>288</v>
      </c>
      <c r="B292" s="29" t="inlineStr">
        <is>
          <t>Edelweiss Nifty 50 Index Fund Regular Plan Growth</t>
        </is>
      </c>
      <c r="C292" s="29" t="inlineStr">
        <is>
          <t>Edelweiss Mutual Fund</t>
        </is>
      </c>
      <c r="D292" s="29" t="inlineStr">
        <is>
          <t>Index Fund</t>
        </is>
      </c>
      <c r="E292" s="91" t="n">
        <v>-0.58</v>
      </c>
      <c r="F292" s="30" t="n">
        <v>2.89</v>
      </c>
      <c r="G292" s="91" t="n">
        <v>-5.9</v>
      </c>
      <c r="H292" s="91" t="n">
        <v>-1.34</v>
      </c>
      <c r="I292" s="91" t="n">
        <v>-0.1551203115552902</v>
      </c>
      <c r="J292" s="30" t="n">
        <v>27.07</v>
      </c>
      <c r="K292" s="37" t="n">
        <v>22.7</v>
      </c>
      <c r="L292" s="18" t="n">
        <v>0</v>
      </c>
      <c r="M292" s="19" t="n">
        <v>12.5</v>
      </c>
      <c r="N292" s="31" t="inlineStr">
        <is>
          <t>📉 Weak</t>
        </is>
      </c>
      <c r="O292" s="31" t="inlineStr">
        <is>
          <t>🔴 Not Qualified</t>
        </is>
      </c>
      <c r="P292" s="31" t="inlineStr">
        <is>
          <t>🔴 Avoid</t>
        </is>
      </c>
      <c r="Q292" s="83" t="inlineStr">
        <is>
          <t>FULL</t>
        </is>
      </c>
    </row>
    <row r="293" ht="16" customHeight="1">
      <c r="A293" s="13" t="n">
        <v>289</v>
      </c>
      <c r="B293" s="14" t="inlineStr">
        <is>
          <t>HDFC Nifty 50 Index Fund - Growth Plan</t>
        </is>
      </c>
      <c r="C293" s="14" t="inlineStr">
        <is>
          <t>HDFC Mutual Fund</t>
        </is>
      </c>
      <c r="D293" s="14" t="inlineStr">
        <is>
          <t>Index Fund</t>
        </is>
      </c>
      <c r="E293" s="16" t="n">
        <v>-0.58</v>
      </c>
      <c r="F293" s="15" t="n">
        <v>2.87</v>
      </c>
      <c r="G293" s="16" t="n">
        <v>-5.91</v>
      </c>
      <c r="H293" s="16" t="n">
        <v>-1.28</v>
      </c>
      <c r="I293" s="16" t="n">
        <v>-0.03000450135051125</v>
      </c>
      <c r="J293" s="15" t="n">
        <v>27.94</v>
      </c>
      <c r="K293" s="37" t="n">
        <v>22.6</v>
      </c>
      <c r="L293" s="18" t="n">
        <v>0</v>
      </c>
      <c r="M293" s="19" t="n">
        <v>12.5</v>
      </c>
      <c r="N293" s="20" t="inlineStr">
        <is>
          <t>📉 Weak</t>
        </is>
      </c>
      <c r="O293" s="20" t="inlineStr">
        <is>
          <t>🔴 Not Qualified</t>
        </is>
      </c>
      <c r="P293" s="20" t="inlineStr">
        <is>
          <t>🔴 Avoid</t>
        </is>
      </c>
      <c r="Q293" s="83" t="inlineStr">
        <is>
          <t>FULL</t>
        </is>
      </c>
    </row>
    <row r="294" ht="16" customHeight="1">
      <c r="A294" s="28" t="n">
        <v>290</v>
      </c>
      <c r="B294" s="29" t="inlineStr">
        <is>
          <t>Axis Nifty 50 Index Fund - Regular Plan - Growth Option</t>
        </is>
      </c>
      <c r="C294" s="29" t="inlineStr">
        <is>
          <t>Axis Mutual Fund</t>
        </is>
      </c>
      <c r="D294" s="29" t="inlineStr">
        <is>
          <t>Index Fund</t>
        </is>
      </c>
      <c r="E294" s="91" t="n">
        <v>-0.58</v>
      </c>
      <c r="F294" s="30" t="n">
        <v>2.87</v>
      </c>
      <c r="G294" s="91" t="n">
        <v>-5.89</v>
      </c>
      <c r="H294" s="91" t="n">
        <v>-1.31</v>
      </c>
      <c r="I294" s="91" t="n">
        <v>-0.05501513332447638</v>
      </c>
      <c r="J294" s="30" t="n">
        <v>27.71</v>
      </c>
      <c r="K294" s="37" t="n">
        <v>22.6</v>
      </c>
      <c r="L294" s="18" t="n">
        <v>0</v>
      </c>
      <c r="M294" s="19" t="n">
        <v>12.4</v>
      </c>
      <c r="N294" s="31" t="inlineStr">
        <is>
          <t>📉 Weak</t>
        </is>
      </c>
      <c r="O294" s="31" t="inlineStr">
        <is>
          <t>🔴 Not Qualified</t>
        </is>
      </c>
      <c r="P294" s="31" t="inlineStr">
        <is>
          <t>🔴 Avoid</t>
        </is>
      </c>
      <c r="Q294" s="83" t="inlineStr">
        <is>
          <t>FULL</t>
        </is>
      </c>
    </row>
    <row r="295" ht="16" customHeight="1">
      <c r="A295" s="13" t="n">
        <v>291</v>
      </c>
      <c r="B295" s="14" t="inlineStr">
        <is>
          <t>SBI NIFTY INDEX FUND - REGULAR PLAN - GROWTH</t>
        </is>
      </c>
      <c r="C295" s="14" t="inlineStr">
        <is>
          <t>SBI Mutual Fund</t>
        </is>
      </c>
      <c r="D295" s="14" t="inlineStr">
        <is>
          <t>Index Fund</t>
        </is>
      </c>
      <c r="E295" s="16" t="n">
        <v>-0.58</v>
      </c>
      <c r="F295" s="15" t="n">
        <v>2.88</v>
      </c>
      <c r="G295" s="16" t="n">
        <v>-5.92</v>
      </c>
      <c r="H295" s="16" t="n">
        <v>-1.33</v>
      </c>
      <c r="I295" s="16" t="n">
        <v>-0.1100605666416454</v>
      </c>
      <c r="J295" s="15" t="n">
        <v>27.59</v>
      </c>
      <c r="K295" s="37" t="n">
        <v>22.3</v>
      </c>
      <c r="L295" s="18" t="n">
        <v>0</v>
      </c>
      <c r="M295" s="19" t="n">
        <v>12.3</v>
      </c>
      <c r="N295" s="20" t="inlineStr">
        <is>
          <t>📉 Weak</t>
        </is>
      </c>
      <c r="O295" s="20" t="inlineStr">
        <is>
          <t>🔴 Not Qualified</t>
        </is>
      </c>
      <c r="P295" s="20" t="inlineStr">
        <is>
          <t>🔴 Avoid</t>
        </is>
      </c>
      <c r="Q295" s="83" t="inlineStr">
        <is>
          <t>FULL</t>
        </is>
      </c>
    </row>
    <row r="296" ht="16" customHeight="1">
      <c r="A296" s="28" t="n">
        <v>292</v>
      </c>
      <c r="B296" s="29" t="inlineStr">
        <is>
          <t>Aditya Birla Sun Life Nifty 50 Index Fund - Growth - Regular Plan</t>
        </is>
      </c>
      <c r="C296" s="29" t="inlineStr">
        <is>
          <t>Aditya Birla Sun Life Mutual Fund</t>
        </is>
      </c>
      <c r="D296" s="29" t="inlineStr">
        <is>
          <t>Index Fund</t>
        </is>
      </c>
      <c r="E296" s="91" t="n">
        <v>-0.59</v>
      </c>
      <c r="F296" s="30" t="n">
        <v>2.85</v>
      </c>
      <c r="G296" s="91" t="n">
        <v>-5.95</v>
      </c>
      <c r="H296" s="91" t="n">
        <v>-1.36</v>
      </c>
      <c r="I296" s="91" t="n">
        <v>-0.120072086529821</v>
      </c>
      <c r="J296" s="30" t="n">
        <v>27.58</v>
      </c>
      <c r="K296" s="37" t="n">
        <v>21.3</v>
      </c>
      <c r="L296" s="18" t="n">
        <v>0</v>
      </c>
      <c r="M296" s="19" t="n">
        <v>11.7</v>
      </c>
      <c r="N296" s="31" t="inlineStr">
        <is>
          <t>📉 Weak</t>
        </is>
      </c>
      <c r="O296" s="31" t="inlineStr">
        <is>
          <t>🔴 Not Qualified</t>
        </is>
      </c>
      <c r="P296" s="31" t="inlineStr">
        <is>
          <t>🔴 Avoid</t>
        </is>
      </c>
      <c r="Q296" s="83" t="inlineStr">
        <is>
          <t>FULL</t>
        </is>
      </c>
    </row>
    <row r="297" ht="16" customHeight="1">
      <c r="A297" s="13" t="n">
        <v>293</v>
      </c>
      <c r="B297" s="14" t="inlineStr">
        <is>
          <t>Motilal Oswal Nifty 50 Index Fund - Regular plan - Growth</t>
        </is>
      </c>
      <c r="C297" s="14" t="inlineStr">
        <is>
          <t>Motilal Oswal Mutual Fund</t>
        </is>
      </c>
      <c r="D297" s="14" t="inlineStr">
        <is>
          <t>Index Fund</t>
        </is>
      </c>
      <c r="E297" s="16" t="n">
        <v>-0.59</v>
      </c>
      <c r="F297" s="15" t="n">
        <v>2.85</v>
      </c>
      <c r="G297" s="16" t="n">
        <v>-5.96</v>
      </c>
      <c r="H297" s="16" t="n">
        <v>-1.4</v>
      </c>
      <c r="I297" s="16" t="n">
        <v>-0.1801622922577573</v>
      </c>
      <c r="J297" s="15" t="n">
        <v>27.36</v>
      </c>
      <c r="K297" s="37" t="n">
        <v>21.1</v>
      </c>
      <c r="L297" s="18" t="n">
        <v>0</v>
      </c>
      <c r="M297" s="19" t="n">
        <v>11.6</v>
      </c>
      <c r="N297" s="20" t="inlineStr">
        <is>
          <t>📉 Weak</t>
        </is>
      </c>
      <c r="O297" s="20" t="inlineStr">
        <is>
          <t>🔴 Not Qualified</t>
        </is>
      </c>
      <c r="P297" s="20" t="inlineStr">
        <is>
          <t>🔴 Avoid</t>
        </is>
      </c>
      <c r="Q297" s="83" t="inlineStr">
        <is>
          <t>FULL</t>
        </is>
      </c>
    </row>
    <row r="298" ht="16" customHeight="1">
      <c r="A298" s="28" t="n">
        <v>294</v>
      </c>
      <c r="B298" s="29" t="inlineStr">
        <is>
          <t>Tata Nifty 50 Index Fund -Regular Plan</t>
        </is>
      </c>
      <c r="C298" s="29" t="inlineStr">
        <is>
          <t>Tata Mutual Fund</t>
        </is>
      </c>
      <c r="D298" s="29" t="inlineStr">
        <is>
          <t>Index Fund</t>
        </is>
      </c>
      <c r="E298" s="91" t="n">
        <v>-0.59</v>
      </c>
      <c r="F298" s="30" t="n">
        <v>2.84</v>
      </c>
      <c r="G298" s="91" t="n">
        <v>-5.99</v>
      </c>
      <c r="H298" s="91" t="n">
        <v>-1.48</v>
      </c>
      <c r="I298" s="91" t="n">
        <v>-0.2553259567208754</v>
      </c>
      <c r="J298" s="30" t="n">
        <v>27.08</v>
      </c>
      <c r="K298" s="37" t="n">
        <v>20.8</v>
      </c>
      <c r="L298" s="18" t="n">
        <v>0</v>
      </c>
      <c r="M298" s="19" t="n">
        <v>11.4</v>
      </c>
      <c r="N298" s="31" t="inlineStr">
        <is>
          <t>📉 Weak</t>
        </is>
      </c>
      <c r="O298" s="31" t="inlineStr">
        <is>
          <t>🔴 Not Qualified</t>
        </is>
      </c>
      <c r="P298" s="31" t="inlineStr">
        <is>
          <t>🔴 Avoid</t>
        </is>
      </c>
      <c r="Q298" s="83" t="inlineStr">
        <is>
          <t>FULL</t>
        </is>
      </c>
    </row>
    <row r="299" ht="16" customHeight="1">
      <c r="A299" s="13" t="n">
        <v>294</v>
      </c>
      <c r="B299" s="14" t="inlineStr">
        <is>
          <t>Franklin India Index Fund- NSE Nifty 50 Index Fund - Growth</t>
        </is>
      </c>
      <c r="C299" s="14" t="inlineStr">
        <is>
          <t>Franklin Templeton Mutual Fund</t>
        </is>
      </c>
      <c r="D299" s="14" t="inlineStr">
        <is>
          <t>Index Fund</t>
        </is>
      </c>
      <c r="E299" s="16" t="n">
        <v>-0.61</v>
      </c>
      <c r="F299" s="15" t="n">
        <v>2.82</v>
      </c>
      <c r="G299" s="16" t="n">
        <v>-5.94</v>
      </c>
      <c r="H299" s="16" t="n">
        <v>-1.42</v>
      </c>
      <c r="I299" s="16" t="n">
        <v>-0.1501126690670707</v>
      </c>
      <c r="J299" s="15" t="n">
        <v>27.34</v>
      </c>
      <c r="K299" s="37" t="n">
        <v>20.8</v>
      </c>
      <c r="L299" s="18" t="n">
        <v>0</v>
      </c>
      <c r="M299" s="19" t="n">
        <v>11.4</v>
      </c>
      <c r="N299" s="20" t="inlineStr">
        <is>
          <t>📉 Weak</t>
        </is>
      </c>
      <c r="O299" s="20" t="inlineStr">
        <is>
          <t>🔴 Not Qualified</t>
        </is>
      </c>
      <c r="P299" s="20" t="inlineStr">
        <is>
          <t>🔴 Avoid</t>
        </is>
      </c>
      <c r="Q299" s="83" t="inlineStr">
        <is>
          <t>FULL</t>
        </is>
      </c>
    </row>
    <row r="300" ht="16" customHeight="1">
      <c r="A300" s="92" t="n">
        <v>296</v>
      </c>
      <c r="B300" s="93" t="inlineStr">
        <is>
          <t>Zerodha BSE SENSEX Index Fund</t>
        </is>
      </c>
      <c r="C300" s="93" t="inlineStr">
        <is>
          <t>Zerodha Mutual Fund</t>
        </is>
      </c>
      <c r="D300" s="93" t="inlineStr">
        <is>
          <t>Index Fund</t>
        </is>
      </c>
      <c r="E300" s="97" t="n">
        <v>-1</v>
      </c>
      <c r="F300" s="94" t="n">
        <v>3.32</v>
      </c>
      <c r="G300" s="97" t="n">
        <v>-7.17</v>
      </c>
      <c r="H300" s="94" t="n">
        <v>0</v>
      </c>
      <c r="I300" s="94" t="n">
        <v>0</v>
      </c>
      <c r="J300" s="94" t="n">
        <v>0</v>
      </c>
      <c r="K300" s="37" t="n">
        <v>20.7</v>
      </c>
      <c r="L300" s="18" t="n">
        <v>0</v>
      </c>
      <c r="M300" s="19" t="n">
        <v>11.4</v>
      </c>
      <c r="N300" s="95" t="inlineStr">
        <is>
          <t>📉 Weak</t>
        </is>
      </c>
      <c r="O300" s="95" t="inlineStr">
        <is>
          <t>⏳ New Fund</t>
        </is>
      </c>
      <c r="P300" s="95" t="inlineStr">
        <is>
          <t>⏳ New Fund</t>
        </is>
      </c>
      <c r="Q300" s="96" t="inlineStr">
        <is>
          <t>MOMENTUM_ONLY</t>
        </is>
      </c>
    </row>
    <row r="301" ht="16" customHeight="1">
      <c r="A301" s="92" t="n">
        <v>297</v>
      </c>
      <c r="B301" s="93" t="inlineStr">
        <is>
          <t>Baroda BNP Paribas Nifty 50 Index Fund - Regular Plan - Growth option</t>
        </is>
      </c>
      <c r="C301" s="93" t="inlineStr">
        <is>
          <t>Baroda BNP Paribas Mutual Fund</t>
        </is>
      </c>
      <c r="D301" s="93" t="inlineStr">
        <is>
          <t>Index Fund</t>
        </is>
      </c>
      <c r="E301" s="97" t="n">
        <v>-0.59</v>
      </c>
      <c r="F301" s="94" t="n">
        <v>2.84</v>
      </c>
      <c r="G301" s="97" t="n">
        <v>-6</v>
      </c>
      <c r="H301" s="97" t="n">
        <v>-1.51</v>
      </c>
      <c r="I301" s="97" t="n">
        <v>-0.3154976939745202</v>
      </c>
      <c r="J301" s="94" t="n">
        <v>0</v>
      </c>
      <c r="K301" s="37" t="n">
        <v>20.5</v>
      </c>
      <c r="L301" s="18" t="n">
        <v>0</v>
      </c>
      <c r="M301" s="19" t="n">
        <v>11.3</v>
      </c>
      <c r="N301" s="95" t="inlineStr">
        <is>
          <t>📉 Weak</t>
        </is>
      </c>
      <c r="O301" s="95" t="inlineStr">
        <is>
          <t>⏳ New Fund</t>
        </is>
      </c>
      <c r="P301" s="95" t="inlineStr">
        <is>
          <t>⏳ New Fund</t>
        </is>
      </c>
      <c r="Q301" s="96" t="inlineStr">
        <is>
          <t>MOMENTUM_ONLY</t>
        </is>
      </c>
    </row>
    <row r="302" ht="16" customHeight="1">
      <c r="A302" s="28" t="n">
        <v>298</v>
      </c>
      <c r="B302" s="29" t="inlineStr">
        <is>
          <t>BANDHAN Nifty 50 Index Fund - Regular Plan - Growth</t>
        </is>
      </c>
      <c r="C302" s="29" t="inlineStr">
        <is>
          <t>Bandhan Mutual Fund</t>
        </is>
      </c>
      <c r="D302" s="29" t="inlineStr">
        <is>
          <t>Index Fund</t>
        </is>
      </c>
      <c r="E302" s="91" t="n">
        <v>-0.59</v>
      </c>
      <c r="F302" s="30" t="n">
        <v>2.83</v>
      </c>
      <c r="G302" s="91" t="n">
        <v>-6.01</v>
      </c>
      <c r="H302" s="91" t="n">
        <v>-1.52</v>
      </c>
      <c r="I302" s="91" t="n">
        <v>-0.3004513550838639</v>
      </c>
      <c r="J302" s="30" t="n">
        <v>26.91</v>
      </c>
      <c r="K302" s="37" t="n">
        <v>20.2</v>
      </c>
      <c r="L302" s="18" t="n">
        <v>0</v>
      </c>
      <c r="M302" s="19" t="n">
        <v>11.1</v>
      </c>
      <c r="N302" s="31" t="inlineStr">
        <is>
          <t>📉 Weak</t>
        </is>
      </c>
      <c r="O302" s="31" t="inlineStr">
        <is>
          <t>🔴 Not Qualified</t>
        </is>
      </c>
      <c r="P302" s="31" t="inlineStr">
        <is>
          <t>🔴 Avoid</t>
        </is>
      </c>
      <c r="Q302" s="83" t="inlineStr">
        <is>
          <t>FULL</t>
        </is>
      </c>
    </row>
    <row r="303" ht="16" customHeight="1">
      <c r="A303" s="92" t="n">
        <v>299</v>
      </c>
      <c r="B303" s="93" t="inlineStr">
        <is>
          <t>Bajaj Finserv Nifty 50 Index Fund - Regular - Growth</t>
        </is>
      </c>
      <c r="C303" s="93" t="inlineStr">
        <is>
          <t>Bajaj Finserv Mutual Fund</t>
        </is>
      </c>
      <c r="D303" s="93" t="inlineStr">
        <is>
          <t>Index Fund</t>
        </is>
      </c>
      <c r="E303" s="97" t="n">
        <v>-0.64</v>
      </c>
      <c r="F303" s="94" t="n">
        <v>2.7</v>
      </c>
      <c r="G303" s="97" t="n">
        <v>-5.85</v>
      </c>
      <c r="H303" s="97" t="n">
        <v>-2.07</v>
      </c>
      <c r="I303" s="94" t="n">
        <v>0</v>
      </c>
      <c r="J303" s="94" t="n">
        <v>0</v>
      </c>
      <c r="K303" s="37" t="n">
        <v>20</v>
      </c>
      <c r="L303" s="18" t="n">
        <v>0</v>
      </c>
      <c r="M303" s="19" t="n">
        <v>11</v>
      </c>
      <c r="N303" s="95" t="inlineStr">
        <is>
          <t>📉 Weak</t>
        </is>
      </c>
      <c r="O303" s="95" t="inlineStr">
        <is>
          <t>⏳ New Fund</t>
        </is>
      </c>
      <c r="P303" s="95" t="inlineStr">
        <is>
          <t>⏳ New Fund</t>
        </is>
      </c>
      <c r="Q303" s="96" t="inlineStr">
        <is>
          <t>MOMENTUM_ONLY</t>
        </is>
      </c>
    </row>
    <row r="304" ht="16" customHeight="1">
      <c r="A304" s="92" t="n">
        <v>300</v>
      </c>
      <c r="B304" s="93" t="inlineStr">
        <is>
          <t>ANGEL ONE NIFTY 50 INDEX FUND-REGULAR-GROWTH</t>
        </is>
      </c>
      <c r="C304" s="93" t="inlineStr">
        <is>
          <t>Angel One Mutual Fund</t>
        </is>
      </c>
      <c r="D304" s="93" t="inlineStr">
        <is>
          <t>Index Fund</t>
        </is>
      </c>
      <c r="E304" s="97" t="n">
        <v>-0.61</v>
      </c>
      <c r="F304" s="94" t="n">
        <v>2.79</v>
      </c>
      <c r="G304" s="97" t="n">
        <v>-6.05</v>
      </c>
      <c r="H304" s="97" t="n">
        <v>-1.63</v>
      </c>
      <c r="I304" s="94" t="n">
        <v>0</v>
      </c>
      <c r="J304" s="94" t="n">
        <v>0</v>
      </c>
      <c r="K304" s="37" t="n">
        <v>19.6</v>
      </c>
      <c r="L304" s="18" t="n">
        <v>0</v>
      </c>
      <c r="M304" s="19" t="n">
        <v>10.8</v>
      </c>
      <c r="N304" s="95" t="inlineStr">
        <is>
          <t>📉 Weak</t>
        </is>
      </c>
      <c r="O304" s="95" t="inlineStr">
        <is>
          <t>⏳ New Fund</t>
        </is>
      </c>
      <c r="P304" s="95" t="inlineStr">
        <is>
          <t>⏳ New Fund</t>
        </is>
      </c>
      <c r="Q304" s="96" t="inlineStr">
        <is>
          <t>MOMENTUM_ONLY</t>
        </is>
      </c>
    </row>
    <row r="305" ht="16" customHeight="1">
      <c r="A305" s="92" t="n">
        <v>301</v>
      </c>
      <c r="B305" s="93" t="inlineStr">
        <is>
          <t>Mirae Asset Nifty 50 Index Fund - Regular Plan - Growth</t>
        </is>
      </c>
      <c r="C305" s="93" t="inlineStr">
        <is>
          <t>Mirae Asset Mutual Fund</t>
        </is>
      </c>
      <c r="D305" s="93" t="inlineStr">
        <is>
          <t>Index Fund</t>
        </is>
      </c>
      <c r="E305" s="97" t="n">
        <v>-0.61</v>
      </c>
      <c r="F305" s="94" t="n">
        <v>2.76</v>
      </c>
      <c r="G305" s="97" t="n">
        <v>-6.15</v>
      </c>
      <c r="H305" s="97" t="n">
        <v>-1.71</v>
      </c>
      <c r="I305" s="94" t="n">
        <v>0</v>
      </c>
      <c r="J305" s="94" t="n">
        <v>0</v>
      </c>
      <c r="K305" s="37" t="n">
        <v>19.4</v>
      </c>
      <c r="L305" s="18" t="n">
        <v>0</v>
      </c>
      <c r="M305" s="19" t="n">
        <v>10.7</v>
      </c>
      <c r="N305" s="95" t="inlineStr">
        <is>
          <t>📉 Weak</t>
        </is>
      </c>
      <c r="O305" s="95" t="inlineStr">
        <is>
          <t>⏳ New Fund</t>
        </is>
      </c>
      <c r="P305" s="95" t="inlineStr">
        <is>
          <t>⏳ New Fund</t>
        </is>
      </c>
      <c r="Q305" s="96" t="inlineStr">
        <is>
          <t>MOMENTUM_ONLY</t>
        </is>
      </c>
    </row>
    <row r="306" ht="16" customHeight="1">
      <c r="A306" s="28" t="n">
        <v>302</v>
      </c>
      <c r="B306" s="29" t="inlineStr">
        <is>
          <t>LIC MF Nifty 50 Index Fund-Regular Plan-Growth</t>
        </is>
      </c>
      <c r="C306" s="29" t="inlineStr">
        <is>
          <t>LIC Mutual Fund</t>
        </is>
      </c>
      <c r="D306" s="29" t="inlineStr">
        <is>
          <t>Index Fund</t>
        </is>
      </c>
      <c r="E306" s="91" t="n">
        <v>-0.64</v>
      </c>
      <c r="F306" s="30" t="n">
        <v>2.7</v>
      </c>
      <c r="G306" s="91" t="n">
        <v>-6.18</v>
      </c>
      <c r="H306" s="91" t="n">
        <v>-1.96</v>
      </c>
      <c r="I306" s="91" t="n">
        <v>-0.7024673015487259</v>
      </c>
      <c r="J306" s="30" t="n">
        <v>25.27</v>
      </c>
      <c r="K306" s="37" t="n">
        <v>18.5</v>
      </c>
      <c r="L306" s="18" t="n">
        <v>0</v>
      </c>
      <c r="M306" s="19" t="n">
        <v>10.2</v>
      </c>
      <c r="N306" s="31" t="inlineStr">
        <is>
          <t>📉 Weak</t>
        </is>
      </c>
      <c r="O306" s="31" t="inlineStr">
        <is>
          <t>🔴 Not Qualified</t>
        </is>
      </c>
      <c r="P306" s="31" t="inlineStr">
        <is>
          <t>🔴 Avoid</t>
        </is>
      </c>
      <c r="Q306" s="83" t="inlineStr">
        <is>
          <t>FULL</t>
        </is>
      </c>
    </row>
    <row r="307" ht="16" customHeight="1">
      <c r="A307" s="13" t="n">
        <v>303</v>
      </c>
      <c r="B307" s="14" t="inlineStr">
        <is>
          <t>Taurus Nifty 50 Index Fund - Regular Plan - Growth</t>
        </is>
      </c>
      <c r="C307" s="14" t="inlineStr">
        <is>
          <t>Taurus Mutual Fund</t>
        </is>
      </c>
      <c r="D307" s="14" t="inlineStr">
        <is>
          <t>Index Fund</t>
        </is>
      </c>
      <c r="E307" s="16" t="n">
        <v>-0.63</v>
      </c>
      <c r="F307" s="15" t="n">
        <v>2.69</v>
      </c>
      <c r="G307" s="16" t="n">
        <v>-6.29</v>
      </c>
      <c r="H307" s="16" t="n">
        <v>-2.05</v>
      </c>
      <c r="I307" s="16" t="n">
        <v>-0.7024673015487259</v>
      </c>
      <c r="J307" s="15" t="n">
        <v>24.7</v>
      </c>
      <c r="K307" s="37" t="n">
        <v>18.2</v>
      </c>
      <c r="L307" s="18" t="n">
        <v>0</v>
      </c>
      <c r="M307" s="19" t="n">
        <v>10</v>
      </c>
      <c r="N307" s="20" t="inlineStr">
        <is>
          <t>📉 Weak</t>
        </is>
      </c>
      <c r="O307" s="20" t="inlineStr">
        <is>
          <t>🔴 Not Qualified</t>
        </is>
      </c>
      <c r="P307" s="20" t="inlineStr">
        <is>
          <t>🔴 Avoid</t>
        </is>
      </c>
      <c r="Q307" s="83" t="inlineStr">
        <is>
          <t>FULL</t>
        </is>
      </c>
    </row>
    <row r="308" ht="16" customHeight="1">
      <c r="A308" s="28" t="n">
        <v>303</v>
      </c>
      <c r="B308" s="29" t="inlineStr">
        <is>
          <t>Taurus Nifty 50 Index Fund - Regular Plan - Payout of Income Distribution cum Capital Withdrawal option</t>
        </is>
      </c>
      <c r="C308" s="29" t="inlineStr">
        <is>
          <t>Taurus Mutual Fund</t>
        </is>
      </c>
      <c r="D308" s="29" t="inlineStr">
        <is>
          <t>Index Fund</t>
        </is>
      </c>
      <c r="E308" s="91" t="n">
        <v>-0.63</v>
      </c>
      <c r="F308" s="30" t="n">
        <v>2.69</v>
      </c>
      <c r="G308" s="91" t="n">
        <v>-6.29</v>
      </c>
      <c r="H308" s="91" t="n">
        <v>-2.05</v>
      </c>
      <c r="I308" s="91" t="n">
        <v>-0.6873623348971791</v>
      </c>
      <c r="J308" s="30" t="n">
        <v>24.74</v>
      </c>
      <c r="K308" s="37" t="n">
        <v>18.2</v>
      </c>
      <c r="L308" s="18" t="n">
        <v>0</v>
      </c>
      <c r="M308" s="19" t="n">
        <v>10</v>
      </c>
      <c r="N308" s="31" t="inlineStr">
        <is>
          <t>📉 Weak</t>
        </is>
      </c>
      <c r="O308" s="31" t="inlineStr">
        <is>
          <t>🔴 Not Qualified</t>
        </is>
      </c>
      <c r="P308" s="31" t="inlineStr">
        <is>
          <t>🔴 Avoid</t>
        </is>
      </c>
      <c r="Q308" s="83" t="inlineStr">
        <is>
          <t>FULL</t>
        </is>
      </c>
    </row>
    <row r="309" ht="16" customHeight="1">
      <c r="A309" s="92" t="n">
        <v>305</v>
      </c>
      <c r="B309" s="93" t="inlineStr">
        <is>
          <t>ICICI Prudential Nifty Top 15 Equal Weight Index Fund - Growth</t>
        </is>
      </c>
      <c r="C309" s="93" t="inlineStr">
        <is>
          <t>ICICI Prudential Mutual Fund</t>
        </is>
      </c>
      <c r="D309" s="93" t="inlineStr">
        <is>
          <t>Index Fund</t>
        </is>
      </c>
      <c r="E309" s="97" t="n">
        <v>-0.47</v>
      </c>
      <c r="F309" s="94" t="n">
        <v>3.04</v>
      </c>
      <c r="G309" s="97" t="n">
        <v>-8.539999999999999</v>
      </c>
      <c r="H309" s="97" t="n">
        <v>-2.12</v>
      </c>
      <c r="I309" s="94" t="n">
        <v>0</v>
      </c>
      <c r="J309" s="94" t="n">
        <v>0</v>
      </c>
      <c r="K309" s="37" t="n">
        <v>18.2</v>
      </c>
      <c r="L309" s="18" t="n">
        <v>0</v>
      </c>
      <c r="M309" s="19" t="n">
        <v>10</v>
      </c>
      <c r="N309" s="95" t="inlineStr">
        <is>
          <t>📉 Weak</t>
        </is>
      </c>
      <c r="O309" s="95" t="inlineStr">
        <is>
          <t>⏳ New Fund</t>
        </is>
      </c>
      <c r="P309" s="95" t="inlineStr">
        <is>
          <t>⏳ New Fund</t>
        </is>
      </c>
      <c r="Q309" s="96" t="inlineStr">
        <is>
          <t>MOMENTUM_ONLY</t>
        </is>
      </c>
    </row>
    <row r="310" ht="16" customHeight="1">
      <c r="A310" s="28" t="n">
        <v>306</v>
      </c>
      <c r="B310" s="29" t="inlineStr">
        <is>
          <t>UTI BSE Sensex Index Fund - Regular Plan  -Growth Option</t>
        </is>
      </c>
      <c r="C310" s="29" t="inlineStr">
        <is>
          <t>UTI Mutual Fund</t>
        </is>
      </c>
      <c r="D310" s="29" t="inlineStr">
        <is>
          <t>Index Fund</t>
        </is>
      </c>
      <c r="E310" s="91" t="n">
        <v>-1</v>
      </c>
      <c r="F310" s="30" t="n">
        <v>3.33</v>
      </c>
      <c r="G310" s="91" t="n">
        <v>-7.17</v>
      </c>
      <c r="H310" s="91" t="n">
        <v>-3.45</v>
      </c>
      <c r="I310" s="91" t="n">
        <v>-1.207287718172245</v>
      </c>
      <c r="J310" s="30" t="n">
        <v>21.92</v>
      </c>
      <c r="K310" s="37" t="n">
        <v>18.1</v>
      </c>
      <c r="L310" s="18" t="n">
        <v>0</v>
      </c>
      <c r="M310" s="19" t="n">
        <v>10</v>
      </c>
      <c r="N310" s="31" t="inlineStr">
        <is>
          <t>📉 Weak</t>
        </is>
      </c>
      <c r="O310" s="31" t="inlineStr">
        <is>
          <t>🔴 Not Qualified</t>
        </is>
      </c>
      <c r="P310" s="31" t="inlineStr">
        <is>
          <t>🔴 Avoid</t>
        </is>
      </c>
      <c r="Q310" s="83" t="inlineStr">
        <is>
          <t>FULL</t>
        </is>
      </c>
    </row>
    <row r="311" ht="16" customHeight="1">
      <c r="A311" s="13" t="n">
        <v>307</v>
      </c>
      <c r="B311" s="14" t="inlineStr">
        <is>
          <t>ICICI Prudential BSE Sensex Index Fund - Cumulative Option</t>
        </is>
      </c>
      <c r="C311" s="14" t="inlineStr">
        <is>
          <t>ICICI Prudential Mutual Fund</t>
        </is>
      </c>
      <c r="D311" s="14" t="inlineStr">
        <is>
          <t>Index Fund</t>
        </is>
      </c>
      <c r="E311" s="16" t="n">
        <v>-1</v>
      </c>
      <c r="F311" s="15" t="n">
        <v>3.32</v>
      </c>
      <c r="G311" s="16" t="n">
        <v>-7.17</v>
      </c>
      <c r="H311" s="16" t="n">
        <v>-3.48</v>
      </c>
      <c r="I311" s="16" t="n">
        <v>-1.207287718172245</v>
      </c>
      <c r="J311" s="15" t="n">
        <v>21.99</v>
      </c>
      <c r="K311" s="37" t="n">
        <v>17.9</v>
      </c>
      <c r="L311" s="18" t="n">
        <v>0</v>
      </c>
      <c r="M311" s="19" t="n">
        <v>9.9</v>
      </c>
      <c r="N311" s="20" t="inlineStr">
        <is>
          <t>📉 Weak</t>
        </is>
      </c>
      <c r="O311" s="20" t="inlineStr">
        <is>
          <t>🔴 Not Qualified</t>
        </is>
      </c>
      <c r="P311" s="20" t="inlineStr">
        <is>
          <t>🔴 Avoid</t>
        </is>
      </c>
      <c r="Q311" s="83" t="inlineStr">
        <is>
          <t>FULL</t>
        </is>
      </c>
    </row>
    <row r="312" ht="16" customHeight="1">
      <c r="A312" s="92" t="n">
        <v>308</v>
      </c>
      <c r="B312" s="93" t="inlineStr">
        <is>
          <t>Tata Nifty Financial Services Index Fund - Regular Plan - Growth</t>
        </is>
      </c>
      <c r="C312" s="93" t="inlineStr">
        <is>
          <t>Tata Mutual Fund</t>
        </is>
      </c>
      <c r="D312" s="93" t="inlineStr">
        <is>
          <t>Banking/Financial</t>
        </is>
      </c>
      <c r="E312" s="97" t="n">
        <v>-2.88</v>
      </c>
      <c r="F312" s="94" t="n">
        <v>3.57</v>
      </c>
      <c r="G312" s="97" t="n">
        <v>-8.06</v>
      </c>
      <c r="H312" s="97" t="n">
        <v>-1.23</v>
      </c>
      <c r="I312" s="94" t="n">
        <v>6.099010362962387</v>
      </c>
      <c r="J312" s="94" t="n">
        <v>0</v>
      </c>
      <c r="K312" s="37" t="n">
        <v>17.8</v>
      </c>
      <c r="L312" s="18" t="n">
        <v>0</v>
      </c>
      <c r="M312" s="19" t="n">
        <v>9.800000000000001</v>
      </c>
      <c r="N312" s="95" t="inlineStr">
        <is>
          <t>📉 Weak</t>
        </is>
      </c>
      <c r="O312" s="95" t="inlineStr">
        <is>
          <t>⏳ New Fund</t>
        </is>
      </c>
      <c r="P312" s="95" t="inlineStr">
        <is>
          <t>⏳ New Fund</t>
        </is>
      </c>
      <c r="Q312" s="96" t="inlineStr">
        <is>
          <t>MOMENTUM_ONLY</t>
        </is>
      </c>
    </row>
    <row r="313" ht="16" customHeight="1">
      <c r="A313" s="92" t="n">
        <v>309</v>
      </c>
      <c r="B313" s="93" t="inlineStr">
        <is>
          <t>Kotak BSE Sensex Index Fund - Regular - Growth</t>
        </is>
      </c>
      <c r="C313" s="93" t="inlineStr">
        <is>
          <t>Kotak Mahindra Mutual Fund</t>
        </is>
      </c>
      <c r="D313" s="93" t="inlineStr">
        <is>
          <t>Index Fund</t>
        </is>
      </c>
      <c r="E313" s="97" t="n">
        <v>-1</v>
      </c>
      <c r="F313" s="94" t="n">
        <v>3.3</v>
      </c>
      <c r="G313" s="97" t="n">
        <v>-7.21</v>
      </c>
      <c r="H313" s="97" t="n">
        <v>-3.63</v>
      </c>
      <c r="I313" s="94" t="n">
        <v>0</v>
      </c>
      <c r="J313" s="94" t="n">
        <v>0</v>
      </c>
      <c r="K313" s="37" t="n">
        <v>17.5</v>
      </c>
      <c r="L313" s="18" t="n">
        <v>0</v>
      </c>
      <c r="M313" s="19" t="n">
        <v>9.6</v>
      </c>
      <c r="N313" s="95" t="inlineStr">
        <is>
          <t>📉 Weak</t>
        </is>
      </c>
      <c r="O313" s="95" t="inlineStr">
        <is>
          <t>⏳ New Fund</t>
        </is>
      </c>
      <c r="P313" s="95" t="inlineStr">
        <is>
          <t>⏳ New Fund</t>
        </is>
      </c>
      <c r="Q313" s="96" t="inlineStr">
        <is>
          <t>MOMENTUM_ONLY</t>
        </is>
      </c>
    </row>
    <row r="314" ht="16" customHeight="1">
      <c r="A314" s="28" t="n">
        <v>310</v>
      </c>
      <c r="B314" s="29" t="inlineStr">
        <is>
          <t>HDFC BSE Sensex Index Fund - Growth Plan</t>
        </is>
      </c>
      <c r="C314" s="29" t="inlineStr">
        <is>
          <t>HDFC Mutual Fund</t>
        </is>
      </c>
      <c r="D314" s="29" t="inlineStr">
        <is>
          <t>Index Fund</t>
        </is>
      </c>
      <c r="E314" s="91" t="n">
        <v>-1.01</v>
      </c>
      <c r="F314" s="30" t="n">
        <v>3.3</v>
      </c>
      <c r="G314" s="91" t="n">
        <v>-7.22</v>
      </c>
      <c r="H314" s="91" t="n">
        <v>-3.56</v>
      </c>
      <c r="I314" s="91" t="n">
        <v>-1.298429597093043</v>
      </c>
      <c r="J314" s="30" t="n">
        <v>21.64</v>
      </c>
      <c r="K314" s="37" t="n">
        <v>17.3</v>
      </c>
      <c r="L314" s="18" t="n">
        <v>0</v>
      </c>
      <c r="M314" s="19" t="n">
        <v>9.5</v>
      </c>
      <c r="N314" s="31" t="inlineStr">
        <is>
          <t>📉 Weak</t>
        </is>
      </c>
      <c r="O314" s="31" t="inlineStr">
        <is>
          <t>🔴 Not Qualified</t>
        </is>
      </c>
      <c r="P314" s="31" t="inlineStr">
        <is>
          <t>🔴 Avoid</t>
        </is>
      </c>
      <c r="Q314" s="83" t="inlineStr">
        <is>
          <t>FULL</t>
        </is>
      </c>
    </row>
    <row r="315" ht="16" customHeight="1">
      <c r="A315" s="13" t="n">
        <v>311</v>
      </c>
      <c r="B315" s="14" t="inlineStr">
        <is>
          <t>SBI BSE Sensex Index Fund - Regular Plan - Growth</t>
        </is>
      </c>
      <c r="C315" s="14" t="inlineStr">
        <is>
          <t>SBI Mutual Fund</t>
        </is>
      </c>
      <c r="D315" s="14" t="inlineStr">
        <is>
          <t>Index Fund</t>
        </is>
      </c>
      <c r="E315" s="16" t="n">
        <v>-1.01</v>
      </c>
      <c r="F315" s="15" t="n">
        <v>3.28</v>
      </c>
      <c r="G315" s="16" t="n">
        <v>-7.24</v>
      </c>
      <c r="H315" s="16" t="n">
        <v>-3.69</v>
      </c>
      <c r="I315" s="16" t="n">
        <v>-1.425155338697082</v>
      </c>
      <c r="J315" s="15" t="n">
        <v>21.24</v>
      </c>
      <c r="K315" s="37" t="n">
        <v>16.6</v>
      </c>
      <c r="L315" s="18" t="n">
        <v>0</v>
      </c>
      <c r="M315" s="19" t="n">
        <v>9.1</v>
      </c>
      <c r="N315" s="20" t="inlineStr">
        <is>
          <t>📉 Weak</t>
        </is>
      </c>
      <c r="O315" s="20" t="inlineStr">
        <is>
          <t>🔴 Not Qualified</t>
        </is>
      </c>
      <c r="P315" s="20" t="inlineStr">
        <is>
          <t>🔴 Avoid</t>
        </is>
      </c>
      <c r="Q315" s="83" t="inlineStr">
        <is>
          <t>FULL</t>
        </is>
      </c>
    </row>
    <row r="316" ht="16" customHeight="1">
      <c r="A316" s="28" t="n">
        <v>312</v>
      </c>
      <c r="B316" s="29" t="inlineStr">
        <is>
          <t>UTI BSE Low Volatility Index Fund - Regular Plan - Growth Option</t>
        </is>
      </c>
      <c r="C316" s="29" t="inlineStr">
        <is>
          <t>UTI Mutual Fund</t>
        </is>
      </c>
      <c r="D316" s="29" t="inlineStr">
        <is>
          <t>Index Fund</t>
        </is>
      </c>
      <c r="E316" s="91" t="n">
        <v>-0.62</v>
      </c>
      <c r="F316" s="30" t="n">
        <v>1.01</v>
      </c>
      <c r="G316" s="91" t="n">
        <v>-5.68</v>
      </c>
      <c r="H316" s="91" t="n">
        <v>-1.3</v>
      </c>
      <c r="I316" s="91" t="n">
        <v>-2.650115562472288</v>
      </c>
      <c r="J316" s="30" t="n">
        <v>27.75</v>
      </c>
      <c r="K316" s="37" t="n">
        <v>16.4</v>
      </c>
      <c r="L316" s="18" t="n">
        <v>0</v>
      </c>
      <c r="M316" s="19" t="n">
        <v>9</v>
      </c>
      <c r="N316" s="31" t="inlineStr">
        <is>
          <t>📉 Weak</t>
        </is>
      </c>
      <c r="O316" s="31" t="inlineStr">
        <is>
          <t>🔴 Not Qualified</t>
        </is>
      </c>
      <c r="P316" s="31" t="inlineStr">
        <is>
          <t>🔴 Avoid</t>
        </is>
      </c>
      <c r="Q316" s="83" t="inlineStr">
        <is>
          <t>FULL</t>
        </is>
      </c>
    </row>
    <row r="317" ht="16" customHeight="1">
      <c r="A317" s="13" t="n">
        <v>313</v>
      </c>
      <c r="B317" s="14" t="inlineStr">
        <is>
          <t>Nippon India Index Fund - BSE Sensex Plan - Growth Plan - Bonus Option</t>
        </is>
      </c>
      <c r="C317" s="14" t="inlineStr">
        <is>
          <t>Nippon India Mutual Fund</t>
        </is>
      </c>
      <c r="D317" s="14" t="inlineStr">
        <is>
          <t>Index Fund</t>
        </is>
      </c>
      <c r="E317" s="16" t="n">
        <v>-1.02</v>
      </c>
      <c r="F317" s="15" t="n">
        <v>3.26</v>
      </c>
      <c r="G317" s="16" t="n">
        <v>-7.25</v>
      </c>
      <c r="H317" s="16" t="n">
        <v>-3.67</v>
      </c>
      <c r="I317" s="16" t="n">
        <v>-1.399797160452054</v>
      </c>
      <c r="J317" s="15" t="n">
        <v>21.2</v>
      </c>
      <c r="K317" s="37" t="n">
        <v>16.3</v>
      </c>
      <c r="L317" s="18" t="n">
        <v>0</v>
      </c>
      <c r="M317" s="19" t="n">
        <v>8.9</v>
      </c>
      <c r="N317" s="20" t="inlineStr">
        <is>
          <t>📉 Weak</t>
        </is>
      </c>
      <c r="O317" s="20" t="inlineStr">
        <is>
          <t>🔴 Not Qualified</t>
        </is>
      </c>
      <c r="P317" s="20" t="inlineStr">
        <is>
          <t>🔴 Avoid</t>
        </is>
      </c>
      <c r="Q317" s="83" t="inlineStr">
        <is>
          <t>FULL</t>
        </is>
      </c>
    </row>
    <row r="318" ht="16" customHeight="1">
      <c r="A318" s="28" t="n">
        <v>313</v>
      </c>
      <c r="B318" s="29" t="inlineStr">
        <is>
          <t>Nippon India Index Fund - BSE Sensex Plan - Growth Plan - Growth Option</t>
        </is>
      </c>
      <c r="C318" s="29" t="inlineStr">
        <is>
          <t>Nippon India Mutual Fund</t>
        </is>
      </c>
      <c r="D318" s="29" t="inlineStr">
        <is>
          <t>Index Fund</t>
        </is>
      </c>
      <c r="E318" s="91" t="n">
        <v>-1.02</v>
      </c>
      <c r="F318" s="30" t="n">
        <v>3.26</v>
      </c>
      <c r="G318" s="91" t="n">
        <v>-7.25</v>
      </c>
      <c r="H318" s="91" t="n">
        <v>-3.67</v>
      </c>
      <c r="I318" s="91" t="n">
        <v>-1.399797160452054</v>
      </c>
      <c r="J318" s="30" t="n">
        <v>21.2</v>
      </c>
      <c r="K318" s="37" t="n">
        <v>16.3</v>
      </c>
      <c r="L318" s="18" t="n">
        <v>0</v>
      </c>
      <c r="M318" s="19" t="n">
        <v>8.9</v>
      </c>
      <c r="N318" s="31" t="inlineStr">
        <is>
          <t>📉 Weak</t>
        </is>
      </c>
      <c r="O318" s="31" t="inlineStr">
        <is>
          <t>🔴 Not Qualified</t>
        </is>
      </c>
      <c r="P318" s="31" t="inlineStr">
        <is>
          <t>🔴 Avoid</t>
        </is>
      </c>
      <c r="Q318" s="83" t="inlineStr">
        <is>
          <t>FULL</t>
        </is>
      </c>
    </row>
    <row r="319" ht="16" customHeight="1">
      <c r="A319" s="92" t="n">
        <v>315</v>
      </c>
      <c r="B319" s="93" t="inlineStr">
        <is>
          <t>Axis BSE Sensex Index Fund - Regular Plan - Growth</t>
        </is>
      </c>
      <c r="C319" s="93" t="inlineStr">
        <is>
          <t>Axis Mutual Fund</t>
        </is>
      </c>
      <c r="D319" s="93" t="inlineStr">
        <is>
          <t>Index Fund</t>
        </is>
      </c>
      <c r="E319" s="97" t="n">
        <v>-1.04</v>
      </c>
      <c r="F319" s="94" t="n">
        <v>3.22</v>
      </c>
      <c r="G319" s="97" t="n">
        <v>-7.21</v>
      </c>
      <c r="H319" s="97" t="n">
        <v>-3.69</v>
      </c>
      <c r="I319" s="97" t="n">
        <v>-1.52157596711856</v>
      </c>
      <c r="J319" s="94" t="n">
        <v>0</v>
      </c>
      <c r="K319" s="37" t="n">
        <v>16.2</v>
      </c>
      <c r="L319" s="18" t="n">
        <v>0</v>
      </c>
      <c r="M319" s="19" t="n">
        <v>8.9</v>
      </c>
      <c r="N319" s="95" t="inlineStr">
        <is>
          <t>📉 Weak</t>
        </is>
      </c>
      <c r="O319" s="95" t="inlineStr">
        <is>
          <t>⏳ New Fund</t>
        </is>
      </c>
      <c r="P319" s="95" t="inlineStr">
        <is>
          <t>⏳ New Fund</t>
        </is>
      </c>
      <c r="Q319" s="96" t="inlineStr">
        <is>
          <t>MOMENTUM_ONLY</t>
        </is>
      </c>
    </row>
    <row r="320" ht="16" customHeight="1">
      <c r="A320" s="28" t="n">
        <v>316</v>
      </c>
      <c r="B320" s="29" t="inlineStr">
        <is>
          <t>Tata S&amp;P BSE Sensex Index Fund -Regular Plan</t>
        </is>
      </c>
      <c r="C320" s="29" t="inlineStr">
        <is>
          <t>Tata Mutual Fund</t>
        </is>
      </c>
      <c r="D320" s="29" t="inlineStr">
        <is>
          <t>Index Fund</t>
        </is>
      </c>
      <c r="E320" s="91" t="n">
        <v>-1.03</v>
      </c>
      <c r="F320" s="30" t="n">
        <v>3.24</v>
      </c>
      <c r="G320" s="91" t="n">
        <v>-7.32</v>
      </c>
      <c r="H320" s="91" t="n">
        <v>-3.77</v>
      </c>
      <c r="I320" s="91" t="n">
        <v>-1.531730999270631</v>
      </c>
      <c r="J320" s="30" t="n">
        <v>20.71</v>
      </c>
      <c r="K320" s="37" t="n">
        <v>15.7</v>
      </c>
      <c r="L320" s="18" t="n">
        <v>0</v>
      </c>
      <c r="M320" s="19" t="n">
        <v>8.6</v>
      </c>
      <c r="N320" s="31" t="inlineStr">
        <is>
          <t>📉 Weak</t>
        </is>
      </c>
      <c r="O320" s="31" t="inlineStr">
        <is>
          <t>🔴 Not Qualified</t>
        </is>
      </c>
      <c r="P320" s="31" t="inlineStr">
        <is>
          <t>🔴 Avoid</t>
        </is>
      </c>
      <c r="Q320" s="83" t="inlineStr">
        <is>
          <t>FULL</t>
        </is>
      </c>
    </row>
    <row r="321" ht="16" customHeight="1">
      <c r="A321" s="13" t="n">
        <v>317</v>
      </c>
      <c r="B321" s="14" t="inlineStr">
        <is>
          <t>LIC MF BSE Sensex Index Fund-Regular Plan-Growth</t>
        </is>
      </c>
      <c r="C321" s="14" t="inlineStr">
        <is>
          <t>LIC Mutual Fund</t>
        </is>
      </c>
      <c r="D321" s="14" t="inlineStr">
        <is>
          <t>Index Fund</t>
        </is>
      </c>
      <c r="E321" s="16" t="n">
        <v>-1.06</v>
      </c>
      <c r="F321" s="15" t="n">
        <v>3.12</v>
      </c>
      <c r="G321" s="16" t="n">
        <v>-7.4</v>
      </c>
      <c r="H321" s="16" t="n">
        <v>-4.15</v>
      </c>
      <c r="I321" s="16" t="n">
        <v>-1.948992865957766</v>
      </c>
      <c r="J321" s="15" t="n">
        <v>19.17</v>
      </c>
      <c r="K321" s="37" t="n">
        <v>14.8</v>
      </c>
      <c r="L321" s="18" t="n">
        <v>0</v>
      </c>
      <c r="M321" s="19" t="n">
        <v>8.199999999999999</v>
      </c>
      <c r="N321" s="20" t="inlineStr">
        <is>
          <t>📉 Weak</t>
        </is>
      </c>
      <c r="O321" s="20" t="inlineStr">
        <is>
          <t>🔴 Not Qualified</t>
        </is>
      </c>
      <c r="P321" s="20" t="inlineStr">
        <is>
          <t>🔴 Avoid</t>
        </is>
      </c>
      <c r="Q321" s="83" t="inlineStr">
        <is>
          <t>FULL</t>
        </is>
      </c>
    </row>
    <row r="322" ht="16" customHeight="1">
      <c r="A322" s="92" t="n">
        <v>318</v>
      </c>
      <c r="B322" s="93" t="inlineStr">
        <is>
          <t>NAVI BSE SENSEX INDEX FUND - REGULAR PLAN - GROWTH</t>
        </is>
      </c>
      <c r="C322" s="93" t="inlineStr">
        <is>
          <t>Navi Mutual Fund</t>
        </is>
      </c>
      <c r="D322" s="93" t="inlineStr">
        <is>
          <t>Index Fund</t>
        </is>
      </c>
      <c r="E322" s="97" t="n">
        <v>-1.07</v>
      </c>
      <c r="F322" s="94" t="n">
        <v>3.11</v>
      </c>
      <c r="G322" s="97" t="n">
        <v>-7.51</v>
      </c>
      <c r="H322" s="97" t="n">
        <v>-3.92</v>
      </c>
      <c r="I322" s="97" t="n">
        <v>-1.765586478057501</v>
      </c>
      <c r="J322" s="94" t="n">
        <v>0</v>
      </c>
      <c r="K322" s="37" t="n">
        <v>14.7</v>
      </c>
      <c r="L322" s="18" t="n">
        <v>0</v>
      </c>
      <c r="M322" s="19" t="n">
        <v>8.1</v>
      </c>
      <c r="N322" s="95" t="inlineStr">
        <is>
          <t>📉 Weak</t>
        </is>
      </c>
      <c r="O322" s="95" t="inlineStr">
        <is>
          <t>⏳ New Fund</t>
        </is>
      </c>
      <c r="P322" s="95" t="inlineStr">
        <is>
          <t>⏳ New Fund</t>
        </is>
      </c>
      <c r="Q322" s="96" t="inlineStr">
        <is>
          <t>MOMENTUM_ONLY</t>
        </is>
      </c>
    </row>
    <row r="323" ht="16" customHeight="1">
      <c r="A323" s="13" t="n">
        <v>319</v>
      </c>
      <c r="B323" s="14" t="inlineStr">
        <is>
          <t>Motilal Oswal BSE Low Volatility Index Fund-Regular plan</t>
        </is>
      </c>
      <c r="C323" s="14" t="inlineStr">
        <is>
          <t>Motilal Oswal Mutual Fund</t>
        </is>
      </c>
      <c r="D323" s="14" t="inlineStr">
        <is>
          <t>Index Fund</t>
        </is>
      </c>
      <c r="E323" s="16" t="n">
        <v>-0.64</v>
      </c>
      <c r="F323" s="15" t="n">
        <v>0.9399999999999999</v>
      </c>
      <c r="G323" s="16" t="n">
        <v>-5.91</v>
      </c>
      <c r="H323" s="16" t="n">
        <v>-1.59</v>
      </c>
      <c r="I323" s="16" t="n">
        <v>-2.886664149561824</v>
      </c>
      <c r="J323" s="15" t="n">
        <v>26.6</v>
      </c>
      <c r="K323" s="37" t="n">
        <v>13.8</v>
      </c>
      <c r="L323" s="18" t="n">
        <v>0</v>
      </c>
      <c r="M323" s="19" t="n">
        <v>7.6</v>
      </c>
      <c r="N323" s="20" t="inlineStr">
        <is>
          <t>📉 Weak</t>
        </is>
      </c>
      <c r="O323" s="20" t="inlineStr">
        <is>
          <t>🔴 Not Qualified</t>
        </is>
      </c>
      <c r="P323" s="20" t="inlineStr">
        <is>
          <t>🔴 Avoid</t>
        </is>
      </c>
      <c r="Q323" s="83" t="inlineStr">
        <is>
          <t>FULL</t>
        </is>
      </c>
    </row>
    <row r="324" ht="16" customHeight="1">
      <c r="A324" s="28" t="n">
        <v>320</v>
      </c>
      <c r="B324" s="29" t="inlineStr">
        <is>
          <t>Edelweiss NIFTY Large Midcap 250 Index Fund - Regular Plan Payout</t>
        </is>
      </c>
      <c r="C324" s="29" t="inlineStr">
        <is>
          <t>Edelweiss Mutual Fund</t>
        </is>
      </c>
      <c r="D324" s="29" t="inlineStr">
        <is>
          <t>Index Fund</t>
        </is>
      </c>
      <c r="E324" s="91" t="n">
        <v>-5.06</v>
      </c>
      <c r="F324" s="91" t="n">
        <v>-2.13</v>
      </c>
      <c r="G324" s="91" t="n">
        <v>-5.46</v>
      </c>
      <c r="H324" s="91" t="n">
        <v>-0.74</v>
      </c>
      <c r="I324" s="91" t="n">
        <v>-0.9898995051515036</v>
      </c>
      <c r="J324" s="30" t="n">
        <v>38.48</v>
      </c>
      <c r="K324" s="37" t="n">
        <v>13.5</v>
      </c>
      <c r="L324" s="18" t="n">
        <v>0</v>
      </c>
      <c r="M324" s="19" t="n">
        <v>7.4</v>
      </c>
      <c r="N324" s="31" t="inlineStr">
        <is>
          <t>📉 Weak</t>
        </is>
      </c>
      <c r="O324" s="31" t="inlineStr">
        <is>
          <t>🔴 Not Qualified</t>
        </is>
      </c>
      <c r="P324" s="31" t="inlineStr">
        <is>
          <t>🔴 Avoid</t>
        </is>
      </c>
      <c r="Q324" s="83" t="inlineStr">
        <is>
          <t>FULL</t>
        </is>
      </c>
    </row>
    <row r="325" ht="16" customHeight="1">
      <c r="A325" s="92" t="n">
        <v>321</v>
      </c>
      <c r="B325" s="93" t="inlineStr">
        <is>
          <t>Kotak Nifty200 Value 30 Index Fund - Regular - Growth</t>
        </is>
      </c>
      <c r="C325" s="93" t="inlineStr">
        <is>
          <t>Kotak Mahindra Mutual Fund</t>
        </is>
      </c>
      <c r="D325" s="93" t="inlineStr">
        <is>
          <t>Index Fund</t>
        </is>
      </c>
      <c r="E325" s="97" t="n">
        <v>-0.31</v>
      </c>
      <c r="F325" s="97" t="n">
        <v>-1.73</v>
      </c>
      <c r="G325" s="97" t="n">
        <v>-5.83</v>
      </c>
      <c r="H325" s="94" t="n">
        <v>0</v>
      </c>
      <c r="I325" s="94" t="n">
        <v>0</v>
      </c>
      <c r="J325" s="94" t="n">
        <v>0</v>
      </c>
      <c r="K325" s="37" t="n">
        <v>13.2</v>
      </c>
      <c r="L325" s="18" t="n">
        <v>0</v>
      </c>
      <c r="M325" s="19" t="n">
        <v>7.2</v>
      </c>
      <c r="N325" s="95" t="inlineStr">
        <is>
          <t>📉 Weak</t>
        </is>
      </c>
      <c r="O325" s="95" t="inlineStr">
        <is>
          <t>⏳ New Fund</t>
        </is>
      </c>
      <c r="P325" s="95" t="inlineStr">
        <is>
          <t>⏳ New Fund</t>
        </is>
      </c>
      <c r="Q325" s="96" t="inlineStr">
        <is>
          <t>MOMENTUM_ONLY</t>
        </is>
      </c>
    </row>
    <row r="326" ht="16" customHeight="1">
      <c r="A326" s="92" t="n">
        <v>322</v>
      </c>
      <c r="B326" s="93" t="inlineStr">
        <is>
          <t>Kotak Nifty Top 10 Equal Weight Index Fund-Regular Plan-Growth</t>
        </is>
      </c>
      <c r="C326" s="93" t="inlineStr">
        <is>
          <t>Kotak Mahindra Mutual Fund</t>
        </is>
      </c>
      <c r="D326" s="93" t="inlineStr">
        <is>
          <t>Index Fund</t>
        </is>
      </c>
      <c r="E326" s="97" t="n">
        <v>-1.43</v>
      </c>
      <c r="F326" s="94" t="n">
        <v>0.7</v>
      </c>
      <c r="G326" s="97" t="n">
        <v>-10.21</v>
      </c>
      <c r="H326" s="97" t="n">
        <v>-8.31</v>
      </c>
      <c r="I326" s="94" t="n">
        <v>0</v>
      </c>
      <c r="J326" s="94" t="n">
        <v>0</v>
      </c>
      <c r="K326" s="37" t="n">
        <v>5.7</v>
      </c>
      <c r="L326" s="18" t="n">
        <v>0</v>
      </c>
      <c r="M326" s="19" t="n">
        <v>3.1</v>
      </c>
      <c r="N326" s="95" t="inlineStr">
        <is>
          <t>📉 Weak</t>
        </is>
      </c>
      <c r="O326" s="95" t="inlineStr">
        <is>
          <t>⏳ New Fund</t>
        </is>
      </c>
      <c r="P326" s="95" t="inlineStr">
        <is>
          <t>⏳ New Fund</t>
        </is>
      </c>
      <c r="Q326" s="96" t="inlineStr">
        <is>
          <t>MOMENTUM_ONLY</t>
        </is>
      </c>
    </row>
    <row r="327" ht="16" customHeight="1">
      <c r="A327" s="92" t="n">
        <v>323</v>
      </c>
      <c r="B327" s="93" t="inlineStr">
        <is>
          <t>DSP Nifty Top 10 Equal Weight Index Fund - Regular - Growth</t>
        </is>
      </c>
      <c r="C327" s="93" t="inlineStr">
        <is>
          <t>DSP Mutual Fund</t>
        </is>
      </c>
      <c r="D327" s="93" t="inlineStr">
        <is>
          <t>Index Fund</t>
        </is>
      </c>
      <c r="E327" s="97" t="n">
        <v>-1.45</v>
      </c>
      <c r="F327" s="94" t="n">
        <v>0.71</v>
      </c>
      <c r="G327" s="97" t="n">
        <v>-10.23</v>
      </c>
      <c r="H327" s="97" t="n">
        <v>-8.279999999999999</v>
      </c>
      <c r="I327" s="94" t="n">
        <v>0</v>
      </c>
      <c r="J327" s="94" t="n">
        <v>0</v>
      </c>
      <c r="K327" s="37" t="n">
        <v>5.7</v>
      </c>
      <c r="L327" s="18" t="n">
        <v>0</v>
      </c>
      <c r="M327" s="19" t="n">
        <v>3.1</v>
      </c>
      <c r="N327" s="95" t="inlineStr">
        <is>
          <t>📉 Weak</t>
        </is>
      </c>
      <c r="O327" s="95" t="inlineStr">
        <is>
          <t>⏳ New Fund</t>
        </is>
      </c>
      <c r="P327" s="95" t="inlineStr">
        <is>
          <t>⏳ New Fund</t>
        </is>
      </c>
      <c r="Q327" s="96" t="inlineStr">
        <is>
          <t>MOMENTUM_ONLY</t>
        </is>
      </c>
    </row>
    <row r="328" ht="16" customHeight="1">
      <c r="A328" s="92" t="n">
        <v>324</v>
      </c>
      <c r="B328" s="93" t="inlineStr">
        <is>
          <t>ICICI Prudential Nifty50 Value 20 Index Fund - Growth</t>
        </is>
      </c>
      <c r="C328" s="93" t="inlineStr">
        <is>
          <t>ICICI Prudential Mutual Fund</t>
        </is>
      </c>
      <c r="D328" s="93" t="inlineStr">
        <is>
          <t>Index Fund</t>
        </is>
      </c>
      <c r="E328" s="97" t="n">
        <v>-2.28</v>
      </c>
      <c r="F328" s="97" t="n">
        <v>-0.87</v>
      </c>
      <c r="G328" s="97" t="n">
        <v>-9.619999999999999</v>
      </c>
      <c r="H328" s="97" t="n">
        <v>-4.45</v>
      </c>
      <c r="I328" s="97" t="n">
        <v>-6.871057130449509</v>
      </c>
      <c r="J328" s="94" t="n">
        <v>0</v>
      </c>
      <c r="K328" s="37" t="n">
        <v>5</v>
      </c>
      <c r="L328" s="18" t="n">
        <v>0</v>
      </c>
      <c r="M328" s="19" t="n">
        <v>2.7</v>
      </c>
      <c r="N328" s="95" t="inlineStr">
        <is>
          <t>📉 Weak</t>
        </is>
      </c>
      <c r="O328" s="95" t="inlineStr">
        <is>
          <t>⏳ New Fund</t>
        </is>
      </c>
      <c r="P328" s="95" t="inlineStr">
        <is>
          <t>⏳ New Fund</t>
        </is>
      </c>
      <c r="Q328" s="96" t="inlineStr">
        <is>
          <t>MOMENTUM_ONLY</t>
        </is>
      </c>
    </row>
    <row r="329" ht="16" customHeight="1">
      <c r="A329" s="13" t="n">
        <v>325</v>
      </c>
      <c r="B329" s="14" t="inlineStr">
        <is>
          <t>Nippon India Nifty 50 Value 20 Index Fund - Regular Plan - Growth Option</t>
        </is>
      </c>
      <c r="C329" s="14" t="inlineStr">
        <is>
          <t>Nippon India Mutual Fund</t>
        </is>
      </c>
      <c r="D329" s="14" t="inlineStr">
        <is>
          <t>Index Fund</t>
        </is>
      </c>
      <c r="E329" s="16" t="n">
        <v>-2.29</v>
      </c>
      <c r="F329" s="16" t="n">
        <v>-0.96</v>
      </c>
      <c r="G329" s="16" t="n">
        <v>-9.73</v>
      </c>
      <c r="H329" s="16" t="n">
        <v>-4.67</v>
      </c>
      <c r="I329" s="16" t="n">
        <v>-7.005376499498639</v>
      </c>
      <c r="J329" s="15" t="n">
        <v>22.19</v>
      </c>
      <c r="K329" s="37" t="n">
        <v>4.6</v>
      </c>
      <c r="L329" s="18" t="n">
        <v>0</v>
      </c>
      <c r="M329" s="19" t="n">
        <v>2.6</v>
      </c>
      <c r="N329" s="20" t="inlineStr">
        <is>
          <t>📉 Weak</t>
        </is>
      </c>
      <c r="O329" s="20" t="inlineStr">
        <is>
          <t>🔴 Not Qualified</t>
        </is>
      </c>
      <c r="P329" s="20" t="inlineStr">
        <is>
          <t>🔴 Avoid</t>
        </is>
      </c>
      <c r="Q329" s="83" t="inlineStr">
        <is>
          <t>FULL</t>
        </is>
      </c>
    </row>
    <row r="330" ht="16" customHeight="1">
      <c r="A330" s="98" t="n">
        <v>0</v>
      </c>
      <c r="B330" s="99" t="inlineStr">
        <is>
          <t>Axis Nifty50 Equal Weight Index Fund-Regular Plan- Growth Option</t>
        </is>
      </c>
      <c r="C330" s="99" t="inlineStr">
        <is>
          <t>Axis Mutual Fund</t>
        </is>
      </c>
      <c r="D330" s="99" t="inlineStr">
        <is>
          <t>Index Fund</t>
        </is>
      </c>
      <c r="E330" s="100" t="n">
        <v>0</v>
      </c>
      <c r="F330" s="100" t="n">
        <v>0</v>
      </c>
      <c r="G330" s="100" t="n">
        <v>0</v>
      </c>
      <c r="H330" s="100" t="n">
        <v>0</v>
      </c>
      <c r="I330" s="100" t="n">
        <v>0</v>
      </c>
      <c r="J330" s="100" t="n">
        <v>0</v>
      </c>
      <c r="K330" s="37" t="n">
        <v>0</v>
      </c>
      <c r="L330" s="18" t="n">
        <v>0</v>
      </c>
      <c r="M330" s="19" t="n">
        <v>0</v>
      </c>
      <c r="N330" s="101" t="inlineStr">
        <is>
          <t>❌ N/A</t>
        </is>
      </c>
      <c r="O330" s="101" t="inlineStr">
        <is>
          <t>❌ N/A</t>
        </is>
      </c>
      <c r="P330" s="101" t="inlineStr">
        <is>
          <t>❌ Missing Data</t>
        </is>
      </c>
      <c r="Q330" s="102" t="inlineStr">
        <is>
          <t>MISSING</t>
        </is>
      </c>
    </row>
    <row r="331" ht="16" customHeight="1">
      <c r="A331" s="98" t="n">
        <v>0</v>
      </c>
      <c r="B331" s="99" t="inlineStr">
        <is>
          <t>Choice Nifty 50 Index Fund - Regular Plan Growth</t>
        </is>
      </c>
      <c r="C331" s="99" t="inlineStr">
        <is>
          <t>Choice Mutual Fund</t>
        </is>
      </c>
      <c r="D331" s="99" t="inlineStr">
        <is>
          <t>Index Fund</t>
        </is>
      </c>
      <c r="E331" s="103" t="n">
        <v>-0.72</v>
      </c>
      <c r="F331" s="100" t="n">
        <v>2.7</v>
      </c>
      <c r="G331" s="100" t="n">
        <v>0</v>
      </c>
      <c r="H331" s="100" t="n">
        <v>0</v>
      </c>
      <c r="I331" s="100" t="n">
        <v>0</v>
      </c>
      <c r="J331" s="100" t="n">
        <v>0</v>
      </c>
      <c r="K331" s="37" t="n">
        <v>0</v>
      </c>
      <c r="L331" s="18" t="n">
        <v>0</v>
      </c>
      <c r="M331" s="19" t="n">
        <v>0</v>
      </c>
      <c r="N331" s="101" t="inlineStr">
        <is>
          <t>❌ N/A</t>
        </is>
      </c>
      <c r="O331" s="101" t="inlineStr">
        <is>
          <t>❌ N/A</t>
        </is>
      </c>
      <c r="P331" s="101" t="inlineStr">
        <is>
          <t>❌ Missing Data</t>
        </is>
      </c>
      <c r="Q331" s="102" t="inlineStr">
        <is>
          <t>MISSING</t>
        </is>
      </c>
    </row>
    <row r="332" ht="16" customHeight="1">
      <c r="A332" s="98" t="n">
        <v>0</v>
      </c>
      <c r="B332" s="99" t="inlineStr">
        <is>
          <t>Edelweiss Nifty LargeMidcap 250 Plus 8-13 yr G-Sec 70-30 Index Fund Regular Plan Growth</t>
        </is>
      </c>
      <c r="C332" s="99" t="inlineStr">
        <is>
          <t>Edelweiss Mutual Fund</t>
        </is>
      </c>
      <c r="D332" s="99" t="inlineStr">
        <is>
          <t>G-SEC</t>
        </is>
      </c>
      <c r="E332" s="100" t="n">
        <v>0.71</v>
      </c>
      <c r="F332" s="100" t="n">
        <v>3.83</v>
      </c>
      <c r="G332" s="100" t="n">
        <v>0</v>
      </c>
      <c r="H332" s="100" t="n">
        <v>0</v>
      </c>
      <c r="I332" s="100" t="n">
        <v>0</v>
      </c>
      <c r="J332" s="100" t="n">
        <v>0</v>
      </c>
      <c r="K332" s="37" t="n">
        <v>0</v>
      </c>
      <c r="L332" s="18" t="n">
        <v>0</v>
      </c>
      <c r="M332" s="19" t="n">
        <v>0</v>
      </c>
      <c r="N332" s="101" t="inlineStr">
        <is>
          <t>❌ N/A</t>
        </is>
      </c>
      <c r="O332" s="101" t="inlineStr">
        <is>
          <t>❌ N/A</t>
        </is>
      </c>
      <c r="P332" s="101" t="inlineStr">
        <is>
          <t>❌ Missing Data</t>
        </is>
      </c>
      <c r="Q332" s="102" t="inlineStr">
        <is>
          <t>MISSING</t>
        </is>
      </c>
    </row>
    <row r="333" ht="16" customHeight="1">
      <c r="A333" s="98" t="n">
        <v>0</v>
      </c>
      <c r="B333" s="99" t="inlineStr">
        <is>
          <t>Kotak Nifty Alpha Low Volatility 30 Index Fund - Regular - Growth</t>
        </is>
      </c>
      <c r="C333" s="99" t="inlineStr">
        <is>
          <t>Kotak Mahindra Mutual Fund</t>
        </is>
      </c>
      <c r="D333" s="99" t="inlineStr">
        <is>
          <t>Index Fund</t>
        </is>
      </c>
      <c r="E333" s="100" t="n">
        <v>1.92</v>
      </c>
      <c r="F333" s="100" t="n">
        <v>0</v>
      </c>
      <c r="G333" s="100" t="n">
        <v>0</v>
      </c>
      <c r="H333" s="100" t="n">
        <v>0</v>
      </c>
      <c r="I333" s="100" t="n">
        <v>0</v>
      </c>
      <c r="J333" s="100" t="n">
        <v>0</v>
      </c>
      <c r="K333" s="37" t="n">
        <v>0</v>
      </c>
      <c r="L333" s="18" t="n">
        <v>0</v>
      </c>
      <c r="M333" s="19" t="n">
        <v>0</v>
      </c>
      <c r="N333" s="101" t="inlineStr">
        <is>
          <t>❌ N/A</t>
        </is>
      </c>
      <c r="O333" s="101" t="inlineStr">
        <is>
          <t>❌ N/A</t>
        </is>
      </c>
      <c r="P333" s="101" t="inlineStr">
        <is>
          <t>❌ Missing Data</t>
        </is>
      </c>
      <c r="Q333" s="102" t="inlineStr">
        <is>
          <t>MISSING</t>
        </is>
      </c>
    </row>
    <row r="334" ht="16" customHeight="1">
      <c r="A334" s="98" t="n">
        <v>0</v>
      </c>
      <c r="B334" s="99" t="inlineStr">
        <is>
          <t>Motilal Oswal BSE Midcap 150 Momentum 30 Index Fund-Regular</t>
        </is>
      </c>
      <c r="C334" s="99" t="inlineStr">
        <is>
          <t>Motilal Oswal Mutual Fund</t>
        </is>
      </c>
      <c r="D334" s="99" t="inlineStr">
        <is>
          <t>Index Fund</t>
        </is>
      </c>
      <c r="E334" s="100" t="n">
        <v>0</v>
      </c>
      <c r="F334" s="100" t="n">
        <v>0</v>
      </c>
      <c r="G334" s="100" t="n">
        <v>0</v>
      </c>
      <c r="H334" s="100" t="n">
        <v>0</v>
      </c>
      <c r="I334" s="100" t="n">
        <v>0</v>
      </c>
      <c r="J334" s="100" t="n">
        <v>0</v>
      </c>
      <c r="K334" s="37" t="n">
        <v>0</v>
      </c>
      <c r="L334" s="18" t="n">
        <v>0</v>
      </c>
      <c r="M334" s="19" t="n">
        <v>0</v>
      </c>
      <c r="N334" s="101" t="inlineStr">
        <is>
          <t>❌ N/A</t>
        </is>
      </c>
      <c r="O334" s="101" t="inlineStr">
        <is>
          <t>❌ N/A</t>
        </is>
      </c>
      <c r="P334" s="101" t="inlineStr">
        <is>
          <t>❌ Missing Data</t>
        </is>
      </c>
      <c r="Q334" s="102" t="inlineStr">
        <is>
          <t>MISSING</t>
        </is>
      </c>
    </row>
    <row r="335" ht="16" customHeight="1">
      <c r="A335" s="98" t="n">
        <v>0</v>
      </c>
      <c r="B335" s="99" t="inlineStr">
        <is>
          <t>SBI CRISIL-IBX 10:90 Gilt + SDL Index - Dec 2029 Index Fund - Regular - Growth</t>
        </is>
      </c>
      <c r="C335" s="99" t="inlineStr">
        <is>
          <t>SBI Mutual Fund</t>
        </is>
      </c>
      <c r="D335" s="99" t="inlineStr">
        <is>
          <t>GILT</t>
        </is>
      </c>
      <c r="E335" s="100" t="n">
        <v>0.52</v>
      </c>
      <c r="F335" s="100" t="n">
        <v>0</v>
      </c>
      <c r="G335" s="100" t="n">
        <v>0</v>
      </c>
      <c r="H335" s="100" t="n">
        <v>0</v>
      </c>
      <c r="I335" s="100" t="n">
        <v>0</v>
      </c>
      <c r="J335" s="100" t="n">
        <v>0</v>
      </c>
      <c r="K335" s="37" t="n">
        <v>0</v>
      </c>
      <c r="L335" s="18" t="n">
        <v>0</v>
      </c>
      <c r="M335" s="19" t="n">
        <v>0</v>
      </c>
      <c r="N335" s="101" t="inlineStr">
        <is>
          <t>❌ N/A</t>
        </is>
      </c>
      <c r="O335" s="101" t="inlineStr">
        <is>
          <t>❌ N/A</t>
        </is>
      </c>
      <c r="P335" s="101" t="inlineStr">
        <is>
          <t>❌ Missing Data</t>
        </is>
      </c>
      <c r="Q335" s="102" t="inlineStr">
        <is>
          <t>MISSING</t>
        </is>
      </c>
    </row>
    <row r="336" ht="16" customHeight="1">
      <c r="A336" s="98" t="n">
        <v>0</v>
      </c>
      <c r="B336" s="99" t="inlineStr">
        <is>
          <t>Motilal Oswal BSE Clean Environment Index Fund - Growth</t>
        </is>
      </c>
      <c r="C336" s="99" t="inlineStr">
        <is>
          <t>Motilal Oswal Mutual Fund</t>
        </is>
      </c>
      <c r="D336" s="99" t="inlineStr">
        <is>
          <t>Index Fund</t>
        </is>
      </c>
      <c r="E336" s="103" t="n">
        <v>-3.19</v>
      </c>
      <c r="F336" s="100" t="n">
        <v>0</v>
      </c>
      <c r="G336" s="100" t="n">
        <v>0</v>
      </c>
      <c r="H336" s="100" t="n">
        <v>0</v>
      </c>
      <c r="I336" s="100" t="n">
        <v>0</v>
      </c>
      <c r="J336" s="100" t="n">
        <v>0</v>
      </c>
      <c r="K336" s="37" t="n">
        <v>0</v>
      </c>
      <c r="L336" s="18" t="n">
        <v>0</v>
      </c>
      <c r="M336" s="19" t="n">
        <v>0</v>
      </c>
      <c r="N336" s="101" t="inlineStr">
        <is>
          <t>❌ N/A</t>
        </is>
      </c>
      <c r="O336" s="101" t="inlineStr">
        <is>
          <t>❌ N/A</t>
        </is>
      </c>
      <c r="P336" s="101" t="inlineStr">
        <is>
          <t>❌ Missing Data</t>
        </is>
      </c>
      <c r="Q336" s="102" t="inlineStr">
        <is>
          <t>MISSING</t>
        </is>
      </c>
    </row>
    <row r="337" ht="16" customHeight="1">
      <c r="A337" s="98" t="n">
        <v>0</v>
      </c>
      <c r="B337" s="99" t="inlineStr">
        <is>
          <t>Axis Nifty India Defence Index Fund - Regular Plan - Growth</t>
        </is>
      </c>
      <c r="C337" s="99" t="inlineStr">
        <is>
          <t>Axis Mutual Fund</t>
        </is>
      </c>
      <c r="D337" s="99" t="inlineStr">
        <is>
          <t>Index Fund</t>
        </is>
      </c>
      <c r="E337" s="100" t="n">
        <v>6.65</v>
      </c>
      <c r="F337" s="100" t="n">
        <v>11.56</v>
      </c>
      <c r="G337" s="100" t="n">
        <v>0</v>
      </c>
      <c r="H337" s="100" t="n">
        <v>0</v>
      </c>
      <c r="I337" s="100" t="n">
        <v>0</v>
      </c>
      <c r="J337" s="100" t="n">
        <v>0</v>
      </c>
      <c r="K337" s="37" t="n">
        <v>0</v>
      </c>
      <c r="L337" s="18" t="n">
        <v>0</v>
      </c>
      <c r="M337" s="19" t="n">
        <v>0</v>
      </c>
      <c r="N337" s="101" t="inlineStr">
        <is>
          <t>❌ N/A</t>
        </is>
      </c>
      <c r="O337" s="101" t="inlineStr">
        <is>
          <t>❌ N/A</t>
        </is>
      </c>
      <c r="P337" s="101" t="inlineStr">
        <is>
          <t>❌ Missing Data</t>
        </is>
      </c>
      <c r="Q337" s="102" t="inlineStr">
        <is>
          <t>MISSING</t>
        </is>
      </c>
    </row>
    <row r="338" ht="16" customHeight="1">
      <c r="A338" s="98" t="n">
        <v>0</v>
      </c>
      <c r="B338" s="99" t="inlineStr">
        <is>
          <t>SBI Nifty G-sec Jul 2031 Index Fund - REGULAR - GROWTH</t>
        </is>
      </c>
      <c r="C338" s="99" t="inlineStr">
        <is>
          <t>SBI Mutual Fund</t>
        </is>
      </c>
      <c r="D338" s="99" t="inlineStr">
        <is>
          <t>G-SEC</t>
        </is>
      </c>
      <c r="E338" s="100" t="n">
        <v>0.43</v>
      </c>
      <c r="F338" s="100" t="n">
        <v>0</v>
      </c>
      <c r="G338" s="100" t="n">
        <v>0</v>
      </c>
      <c r="H338" s="100" t="n">
        <v>0</v>
      </c>
      <c r="I338" s="100" t="n">
        <v>0</v>
      </c>
      <c r="J338" s="100" t="n">
        <v>0</v>
      </c>
      <c r="K338" s="37" t="n">
        <v>0</v>
      </c>
      <c r="L338" s="18" t="n">
        <v>0</v>
      </c>
      <c r="M338" s="19" t="n">
        <v>0</v>
      </c>
      <c r="N338" s="101" t="inlineStr">
        <is>
          <t>❌ N/A</t>
        </is>
      </c>
      <c r="O338" s="101" t="inlineStr">
        <is>
          <t>❌ N/A</t>
        </is>
      </c>
      <c r="P338" s="101" t="inlineStr">
        <is>
          <t>❌ Missing Data</t>
        </is>
      </c>
      <c r="Q338" s="102" t="inlineStr">
        <is>
          <t>MISSING</t>
        </is>
      </c>
    </row>
    <row r="339" ht="16" customHeight="1">
      <c r="A339" s="98" t="n">
        <v>0</v>
      </c>
      <c r="B339" s="99" t="inlineStr">
        <is>
          <t>Nippon India CRISIL-IBX Financial Services 9-12 Months Debt Index Fund -Regular Plan - Growth Option</t>
        </is>
      </c>
      <c r="C339" s="99" t="inlineStr">
        <is>
          <t>Nippon India Mutual Fund</t>
        </is>
      </c>
      <c r="D339" s="99" t="inlineStr">
        <is>
          <t>Banking/Financial</t>
        </is>
      </c>
      <c r="E339" s="100" t="n">
        <v>0.72</v>
      </c>
      <c r="F339" s="100" t="n">
        <v>2.14</v>
      </c>
      <c r="G339" s="100" t="n">
        <v>0</v>
      </c>
      <c r="H339" s="100" t="n">
        <v>0</v>
      </c>
      <c r="I339" s="100" t="n">
        <v>0</v>
      </c>
      <c r="J339" s="100" t="n">
        <v>0</v>
      </c>
      <c r="K339" s="37" t="n">
        <v>0</v>
      </c>
      <c r="L339" s="18" t="n">
        <v>0</v>
      </c>
      <c r="M339" s="19" t="n">
        <v>0</v>
      </c>
      <c r="N339" s="101" t="inlineStr">
        <is>
          <t>❌ N/A</t>
        </is>
      </c>
      <c r="O339" s="101" t="inlineStr">
        <is>
          <t>❌ N/A</t>
        </is>
      </c>
      <c r="P339" s="101" t="inlineStr">
        <is>
          <t>❌ Missing Data</t>
        </is>
      </c>
      <c r="Q339" s="102" t="inlineStr">
        <is>
          <t>MISSING</t>
        </is>
      </c>
    </row>
    <row r="340" ht="16" customHeight="1">
      <c r="A340" s="98" t="n">
        <v>0</v>
      </c>
      <c r="B340" s="99" t="inlineStr">
        <is>
          <t>HDFC CRISIL-IBX Financial Services 9-12 Months Debt Index Fund - Regular Growth Plan</t>
        </is>
      </c>
      <c r="C340" s="99" t="inlineStr">
        <is>
          <t>HDFC Mutual Fund</t>
        </is>
      </c>
      <c r="D340" s="99" t="inlineStr">
        <is>
          <t>Banking/Financial</t>
        </is>
      </c>
      <c r="E340" s="100" t="n">
        <v>0.6899999999999999</v>
      </c>
      <c r="F340" s="100" t="n">
        <v>2.14</v>
      </c>
      <c r="G340" s="100" t="n">
        <v>0</v>
      </c>
      <c r="H340" s="100" t="n">
        <v>0</v>
      </c>
      <c r="I340" s="100" t="n">
        <v>0</v>
      </c>
      <c r="J340" s="100" t="n">
        <v>0</v>
      </c>
      <c r="K340" s="37" t="n">
        <v>0</v>
      </c>
      <c r="L340" s="18" t="n">
        <v>0</v>
      </c>
      <c r="M340" s="19" t="n">
        <v>0</v>
      </c>
      <c r="N340" s="101" t="inlineStr">
        <is>
          <t>❌ N/A</t>
        </is>
      </c>
      <c r="O340" s="101" t="inlineStr">
        <is>
          <t>❌ N/A</t>
        </is>
      </c>
      <c r="P340" s="101" t="inlineStr">
        <is>
          <t>❌ Missing Data</t>
        </is>
      </c>
      <c r="Q340" s="102" t="inlineStr">
        <is>
          <t>MISSING</t>
        </is>
      </c>
    </row>
    <row r="341" ht="16" customHeight="1">
      <c r="A341" s="98" t="n">
        <v>0</v>
      </c>
      <c r="B341" s="99" t="inlineStr">
        <is>
          <t>Axis Nifty Capital Markets Index Fund- Regular Plan</t>
        </is>
      </c>
      <c r="C341" s="99" t="inlineStr">
        <is>
          <t>Axis Mutual Fund</t>
        </is>
      </c>
      <c r="D341" s="99" t="inlineStr">
        <is>
          <t>Index Fund</t>
        </is>
      </c>
      <c r="E341" s="103" t="n">
        <v>-1.34</v>
      </c>
      <c r="F341" s="100" t="n">
        <v>0</v>
      </c>
      <c r="G341" s="100" t="n">
        <v>0</v>
      </c>
      <c r="H341" s="100" t="n">
        <v>0</v>
      </c>
      <c r="I341" s="100" t="n">
        <v>0</v>
      </c>
      <c r="J341" s="100" t="n">
        <v>0</v>
      </c>
      <c r="K341" s="37" t="n">
        <v>0</v>
      </c>
      <c r="L341" s="18" t="n">
        <v>0</v>
      </c>
      <c r="M341" s="19" t="n">
        <v>0</v>
      </c>
      <c r="N341" s="101" t="inlineStr">
        <is>
          <t>❌ N/A</t>
        </is>
      </c>
      <c r="O341" s="101" t="inlineStr">
        <is>
          <t>❌ N/A</t>
        </is>
      </c>
      <c r="P341" s="101" t="inlineStr">
        <is>
          <t>❌ Missing Data</t>
        </is>
      </c>
      <c r="Q341" s="102" t="inlineStr">
        <is>
          <t>MISSING</t>
        </is>
      </c>
    </row>
    <row r="342" ht="16" customHeight="1">
      <c r="A342" s="98" t="n">
        <v>0</v>
      </c>
      <c r="B342" s="99" t="inlineStr">
        <is>
          <t>Choice Nifty Next 50 Index Fund - Regular Plan Growth</t>
        </is>
      </c>
      <c r="C342" s="99" t="inlineStr">
        <is>
          <t>Choice Mutual Fund</t>
        </is>
      </c>
      <c r="D342" s="99" t="inlineStr">
        <is>
          <t>Index Fund</t>
        </is>
      </c>
      <c r="E342" s="100" t="n">
        <v>3.63</v>
      </c>
      <c r="F342" s="100" t="n">
        <v>7.6</v>
      </c>
      <c r="G342" s="100" t="n">
        <v>0</v>
      </c>
      <c r="H342" s="100" t="n">
        <v>0</v>
      </c>
      <c r="I342" s="100" t="n">
        <v>0</v>
      </c>
      <c r="J342" s="100" t="n">
        <v>0</v>
      </c>
      <c r="K342" s="37" t="n">
        <v>0</v>
      </c>
      <c r="L342" s="18" t="n">
        <v>0</v>
      </c>
      <c r="M342" s="19" t="n">
        <v>0</v>
      </c>
      <c r="N342" s="101" t="inlineStr">
        <is>
          <t>❌ N/A</t>
        </is>
      </c>
      <c r="O342" s="101" t="inlineStr">
        <is>
          <t>❌ N/A</t>
        </is>
      </c>
      <c r="P342" s="101" t="inlineStr">
        <is>
          <t>❌ Missing Data</t>
        </is>
      </c>
      <c r="Q342" s="102" t="inlineStr">
        <is>
          <t>MISSING</t>
        </is>
      </c>
    </row>
    <row r="343" ht="16" customHeight="1">
      <c r="A343" s="98" t="n">
        <v>0</v>
      </c>
      <c r="B343" s="99" t="inlineStr">
        <is>
          <t>SBI CRISIL - IBX Financial Services 9-12 Months Debt Index Fund - Regular Plan - Growth</t>
        </is>
      </c>
      <c r="C343" s="99" t="inlineStr">
        <is>
          <t>SBI Mutual Fund</t>
        </is>
      </c>
      <c r="D343" s="99" t="inlineStr">
        <is>
          <t>Banking/Financial</t>
        </is>
      </c>
      <c r="E343" s="100" t="n">
        <v>0.71</v>
      </c>
      <c r="F343" s="100" t="n">
        <v>2.14</v>
      </c>
      <c r="G343" s="100" t="n">
        <v>0</v>
      </c>
      <c r="H343" s="100" t="n">
        <v>0</v>
      </c>
      <c r="I343" s="100" t="n">
        <v>0</v>
      </c>
      <c r="J343" s="100" t="n">
        <v>0</v>
      </c>
      <c r="K343" s="37" t="n">
        <v>0</v>
      </c>
      <c r="L343" s="18" t="n">
        <v>0</v>
      </c>
      <c r="M343" s="19" t="n">
        <v>0</v>
      </c>
      <c r="N343" s="101" t="inlineStr">
        <is>
          <t>❌ N/A</t>
        </is>
      </c>
      <c r="O343" s="101" t="inlineStr">
        <is>
          <t>❌ N/A</t>
        </is>
      </c>
      <c r="P343" s="101" t="inlineStr">
        <is>
          <t>❌ Missing Data</t>
        </is>
      </c>
      <c r="Q343" s="102" t="inlineStr">
        <is>
          <t>MISSING</t>
        </is>
      </c>
    </row>
    <row r="344" ht="16" customHeight="1">
      <c r="A344" s="98" t="n">
        <v>0</v>
      </c>
      <c r="B344" s="99" t="inlineStr">
        <is>
          <t>SBI CRISIL - IBX Financial Services 3-6 Months Debt Index Fund - Regular Plan - Growth</t>
        </is>
      </c>
      <c r="C344" s="99" t="inlineStr">
        <is>
          <t>SBI Mutual Fund</t>
        </is>
      </c>
      <c r="D344" s="99" t="inlineStr">
        <is>
          <t>Banking/Financial</t>
        </is>
      </c>
      <c r="E344" s="100" t="n">
        <v>0.68</v>
      </c>
      <c r="F344" s="100" t="n">
        <v>1.98</v>
      </c>
      <c r="G344" s="100" t="n">
        <v>0</v>
      </c>
      <c r="H344" s="100" t="n">
        <v>0</v>
      </c>
      <c r="I344" s="100" t="n">
        <v>0</v>
      </c>
      <c r="J344" s="100" t="n">
        <v>0</v>
      </c>
      <c r="K344" s="37" t="n">
        <v>0</v>
      </c>
      <c r="L344" s="18" t="n">
        <v>0</v>
      </c>
      <c r="M344" s="19" t="n">
        <v>0</v>
      </c>
      <c r="N344" s="101" t="inlineStr">
        <is>
          <t>❌ N/A</t>
        </is>
      </c>
      <c r="O344" s="101" t="inlineStr">
        <is>
          <t>❌ N/A</t>
        </is>
      </c>
      <c r="P344" s="101" t="inlineStr">
        <is>
          <t>❌ Missing Data</t>
        </is>
      </c>
      <c r="Q344" s="102" t="inlineStr">
        <is>
          <t>MISSING</t>
        </is>
      </c>
    </row>
    <row r="345" ht="16" customHeight="1">
      <c r="A345" s="98" t="n">
        <v>0</v>
      </c>
      <c r="B345" s="99" t="inlineStr">
        <is>
          <t>Nippon India CRISIL-IBX Financial Services 3-6 Months Debt Index Fund- Regular Plan- Growth Option</t>
        </is>
      </c>
      <c r="C345" s="99" t="inlineStr">
        <is>
          <t>Nippon India Mutual Fund</t>
        </is>
      </c>
      <c r="D345" s="99" t="inlineStr">
        <is>
          <t>Banking/Financial</t>
        </is>
      </c>
      <c r="E345" s="100" t="n">
        <v>0.68</v>
      </c>
      <c r="F345" s="100" t="n">
        <v>1.99</v>
      </c>
      <c r="G345" s="100" t="n">
        <v>0</v>
      </c>
      <c r="H345" s="100" t="n">
        <v>0</v>
      </c>
      <c r="I345" s="100" t="n">
        <v>0</v>
      </c>
      <c r="J345" s="100" t="n">
        <v>0</v>
      </c>
      <c r="K345" s="37" t="n">
        <v>0</v>
      </c>
      <c r="L345" s="18" t="n">
        <v>0</v>
      </c>
      <c r="M345" s="19" t="n">
        <v>0</v>
      </c>
      <c r="N345" s="101" t="inlineStr">
        <is>
          <t>❌ N/A</t>
        </is>
      </c>
      <c r="O345" s="101" t="inlineStr">
        <is>
          <t>❌ N/A</t>
        </is>
      </c>
      <c r="P345" s="101" t="inlineStr">
        <is>
          <t>❌ Missing Data</t>
        </is>
      </c>
      <c r="Q345" s="102" t="inlineStr">
        <is>
          <t>MISSING</t>
        </is>
      </c>
    </row>
    <row r="346" ht="16" customHeight="1">
      <c r="A346" s="98" t="n">
        <v>0</v>
      </c>
      <c r="B346" s="99" t="inlineStr">
        <is>
          <t>UTI Nifty500 Shariah Index Fund - Regular Plan Growth Option</t>
        </is>
      </c>
      <c r="C346" s="99" t="inlineStr">
        <is>
          <t>UTI Mutual Fund</t>
        </is>
      </c>
      <c r="D346" s="99" t="inlineStr">
        <is>
          <t>Index Fund</t>
        </is>
      </c>
      <c r="E346" s="100" t="n">
        <v>1.76</v>
      </c>
      <c r="F346" s="100" t="n">
        <v>2.77</v>
      </c>
      <c r="G346" s="100" t="n">
        <v>0</v>
      </c>
      <c r="H346" s="100" t="n">
        <v>0</v>
      </c>
      <c r="I346" s="100" t="n">
        <v>0</v>
      </c>
      <c r="J346" s="100" t="n">
        <v>0</v>
      </c>
      <c r="K346" s="37" t="n">
        <v>0</v>
      </c>
      <c r="L346" s="18" t="n">
        <v>0</v>
      </c>
      <c r="M346" s="19" t="n">
        <v>0</v>
      </c>
      <c r="N346" s="101" t="inlineStr">
        <is>
          <t>❌ N/A</t>
        </is>
      </c>
      <c r="O346" s="101" t="inlineStr">
        <is>
          <t>❌ N/A</t>
        </is>
      </c>
      <c r="P346" s="101" t="inlineStr">
        <is>
          <t>❌ Missing Data</t>
        </is>
      </c>
      <c r="Q346" s="102" t="inlineStr">
        <is>
          <t>MISSING</t>
        </is>
      </c>
    </row>
  </sheetData>
  <autoFilter ref="A4:Q346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4" t="inlineStr">
        <is>
          <t>✦  OTHER  ETFS  ✦</t>
        </is>
      </c>
    </row>
    <row r="2" ht="16" customHeight="1">
      <c r="A2" s="2">
        <f>"Dual Engine: 55% Momentum + 45% Quality | ✅ Full: "&amp;COUNTIF(Q5:Q267,"FULL")&amp;" | ⚠️ Momentum: "&amp;COUNTIF(Q5:Q267,"MOMENTUM_ONLY")&amp;" | ❌ Missing: "&amp;COUNTIF(Q5:Q267,"MISSING")&amp;" | Total: "&amp;COUNTA(B5:B267)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9" t="n">
        <v>1</v>
      </c>
      <c r="B5" s="80" t="inlineStr">
        <is>
          <t>Motilal Oswal Nasdaq Q50 ETF</t>
        </is>
      </c>
      <c r="C5" s="80" t="inlineStr">
        <is>
          <t>Motilal Oswal Mutual Fund</t>
        </is>
      </c>
      <c r="D5" s="80" t="inlineStr">
        <is>
          <t>NASDAQ</t>
        </is>
      </c>
      <c r="E5" s="81" t="n">
        <v>7.99</v>
      </c>
      <c r="F5" s="81" t="n">
        <v>15.68</v>
      </c>
      <c r="G5" s="81" t="n">
        <v>36.94</v>
      </c>
      <c r="H5" s="81" t="n">
        <v>59.1</v>
      </c>
      <c r="I5" s="81" t="n">
        <v>41.57330256796299</v>
      </c>
      <c r="J5" s="81" t="n">
        <v>136.75</v>
      </c>
      <c r="K5" s="24" t="n">
        <v>100</v>
      </c>
      <c r="L5" s="42" t="n">
        <v>56.2</v>
      </c>
      <c r="M5" s="26" t="n">
        <v>80.3</v>
      </c>
      <c r="N5" s="41" t="inlineStr">
        <is>
          <t>🔥 Hot</t>
        </is>
      </c>
      <c r="O5" s="41" t="inlineStr">
        <is>
          <t>➡️ Average</t>
        </is>
      </c>
      <c r="P5" s="41" t="inlineStr">
        <is>
          <t>⭐ Strong Buy</t>
        </is>
      </c>
      <c r="Q5" s="83" t="inlineStr">
        <is>
          <t>FULL</t>
        </is>
      </c>
    </row>
    <row r="6" ht="16" customHeight="1">
      <c r="A6" s="84" t="n">
        <v>2</v>
      </c>
      <c r="B6" s="85" t="inlineStr">
        <is>
          <t>ICICI PRUDENTIAL SILVER ETF</t>
        </is>
      </c>
      <c r="C6" s="85" t="inlineStr">
        <is>
          <t>ICICI Prudential Mutual Fund</t>
        </is>
      </c>
      <c r="D6" s="85" t="inlineStr">
        <is>
          <t>Silver</t>
        </is>
      </c>
      <c r="E6" s="86" t="n">
        <v>8.18</v>
      </c>
      <c r="F6" s="104" t="n">
        <v>-12.91</v>
      </c>
      <c r="G6" s="104" t="n">
        <v>-1.6</v>
      </c>
      <c r="H6" s="86" t="n">
        <v>100.58</v>
      </c>
      <c r="I6" s="86" t="n">
        <v>67.11971756797578</v>
      </c>
      <c r="J6" s="86" t="n">
        <v>220.82</v>
      </c>
      <c r="K6" s="17" t="n">
        <v>66.40000000000001</v>
      </c>
      <c r="L6" s="25" t="n">
        <v>97.2</v>
      </c>
      <c r="M6" s="26" t="n">
        <v>80.3</v>
      </c>
      <c r="N6" s="27" t="inlineStr">
        <is>
          <t>📈 Good</t>
        </is>
      </c>
      <c r="O6" s="27" t="inlineStr">
        <is>
          <t>🏆 Elite</t>
        </is>
      </c>
      <c r="P6" s="27" t="inlineStr">
        <is>
          <t>⭐ Strong Buy</t>
        </is>
      </c>
      <c r="Q6" s="83" t="inlineStr">
        <is>
          <t>FULL</t>
        </is>
      </c>
    </row>
    <row r="7" ht="16" customHeight="1">
      <c r="A7" s="87" t="n">
        <v>3</v>
      </c>
      <c r="B7" s="88" t="inlineStr">
        <is>
          <t>DSP Silver ETF</t>
        </is>
      </c>
      <c r="C7" s="88" t="inlineStr">
        <is>
          <t>DSP Mutual Fund</t>
        </is>
      </c>
      <c r="D7" s="88" t="inlineStr">
        <is>
          <t>Silver</t>
        </is>
      </c>
      <c r="E7" s="89" t="n">
        <v>8.24</v>
      </c>
      <c r="F7" s="90" t="n">
        <v>-12.93</v>
      </c>
      <c r="G7" s="90" t="n">
        <v>-1.68</v>
      </c>
      <c r="H7" s="89" t="n">
        <v>100.46</v>
      </c>
      <c r="I7" s="89" t="n">
        <v>66.96706262014673</v>
      </c>
      <c r="J7" s="89" t="n">
        <v>219.8</v>
      </c>
      <c r="K7" s="17" t="n">
        <v>65.7</v>
      </c>
      <c r="L7" s="25" t="n">
        <v>88.09999999999999</v>
      </c>
      <c r="M7" s="26" t="n">
        <v>75.8</v>
      </c>
      <c r="N7" s="36" t="inlineStr">
        <is>
          <t>📈 Good</t>
        </is>
      </c>
      <c r="O7" s="36" t="inlineStr">
        <is>
          <t>⭐ Strong</t>
        </is>
      </c>
      <c r="P7" s="36" t="inlineStr">
        <is>
          <t>⭐ Strong Buy</t>
        </is>
      </c>
      <c r="Q7" s="83" t="inlineStr">
        <is>
          <t>FULL</t>
        </is>
      </c>
    </row>
    <row r="8" ht="16" customHeight="1">
      <c r="A8" s="28" t="n">
        <v>4</v>
      </c>
      <c r="B8" s="29" t="inlineStr">
        <is>
          <t>Axis Silver ETF</t>
        </is>
      </c>
      <c r="C8" s="29" t="inlineStr">
        <is>
          <t>Axis Mutual Fund</t>
        </is>
      </c>
      <c r="D8" s="29" t="inlineStr">
        <is>
          <t>Silver</t>
        </is>
      </c>
      <c r="E8" s="30" t="n">
        <v>8.09</v>
      </c>
      <c r="F8" s="91" t="n">
        <v>-12.78</v>
      </c>
      <c r="G8" s="91" t="n">
        <v>-1.6</v>
      </c>
      <c r="H8" s="30" t="n">
        <v>99.95</v>
      </c>
      <c r="I8" s="30" t="n">
        <v>66.86821147240718</v>
      </c>
      <c r="J8" s="30" t="n">
        <v>220.72</v>
      </c>
      <c r="K8" s="17" t="n">
        <v>66</v>
      </c>
      <c r="L8" s="25" t="n">
        <v>85.90000000000001</v>
      </c>
      <c r="M8" s="26" t="n">
        <v>75</v>
      </c>
      <c r="N8" s="31" t="inlineStr">
        <is>
          <t>📈 Good</t>
        </is>
      </c>
      <c r="O8" s="31" t="inlineStr">
        <is>
          <t>⭐ Strong</t>
        </is>
      </c>
      <c r="P8" s="31" t="inlineStr">
        <is>
          <t>🏛️ Quality Hold</t>
        </is>
      </c>
      <c r="Q8" s="83" t="inlineStr">
        <is>
          <t>FULL</t>
        </is>
      </c>
    </row>
    <row r="9" ht="16" customHeight="1">
      <c r="A9" s="13" t="n">
        <v>5</v>
      </c>
      <c r="B9" s="14" t="inlineStr">
        <is>
          <t>HDFC Silver ETF - Growth Option</t>
        </is>
      </c>
      <c r="C9" s="14" t="inlineStr">
        <is>
          <t>HDFC Mutual Fund</t>
        </is>
      </c>
      <c r="D9" s="14" t="inlineStr">
        <is>
          <t>Silver</t>
        </is>
      </c>
      <c r="E9" s="15" t="n">
        <v>8.06</v>
      </c>
      <c r="F9" s="16" t="n">
        <v>-12.88</v>
      </c>
      <c r="G9" s="16" t="n">
        <v>-1.76</v>
      </c>
      <c r="H9" s="15" t="n">
        <v>99.5</v>
      </c>
      <c r="I9" s="15" t="n">
        <v>66.62832892398578</v>
      </c>
      <c r="J9" s="15" t="n">
        <v>222.79</v>
      </c>
      <c r="K9" s="17" t="n">
        <v>64</v>
      </c>
      <c r="L9" s="25" t="n">
        <v>84.7</v>
      </c>
      <c r="M9" s="35" t="n">
        <v>73.3</v>
      </c>
      <c r="N9" s="20" t="inlineStr">
        <is>
          <t>📈 Good</t>
        </is>
      </c>
      <c r="O9" s="20" t="inlineStr">
        <is>
          <t>⭐ Strong</t>
        </is>
      </c>
      <c r="P9" s="20" t="inlineStr">
        <is>
          <t>🏛️ Quality Hold</t>
        </is>
      </c>
      <c r="Q9" s="83" t="inlineStr">
        <is>
          <t>FULL</t>
        </is>
      </c>
    </row>
    <row r="10" ht="16" customHeight="1">
      <c r="A10" s="28" t="n">
        <v>6</v>
      </c>
      <c r="B10" s="29" t="inlineStr">
        <is>
          <t>Mirae Asset Silver ETF</t>
        </is>
      </c>
      <c r="C10" s="29" t="inlineStr">
        <is>
          <t>Mirae Asset Mutual Fund</t>
        </is>
      </c>
      <c r="D10" s="29" t="inlineStr">
        <is>
          <t>Silver</t>
        </is>
      </c>
      <c r="E10" s="30" t="n">
        <v>8.09</v>
      </c>
      <c r="F10" s="91" t="n">
        <v>-12.83</v>
      </c>
      <c r="G10" s="91" t="n">
        <v>-1.63</v>
      </c>
      <c r="H10" s="30" t="n">
        <v>99.95</v>
      </c>
      <c r="I10" s="30" t="n">
        <v>66.79028748701168</v>
      </c>
      <c r="J10" s="30" t="n">
        <v>219.24</v>
      </c>
      <c r="K10" s="17" t="n">
        <v>65.40000000000001</v>
      </c>
      <c r="L10" s="25" t="n">
        <v>78.40000000000001</v>
      </c>
      <c r="M10" s="35" t="n">
        <v>71.2</v>
      </c>
      <c r="N10" s="31" t="inlineStr">
        <is>
          <t>📈 Good</t>
        </is>
      </c>
      <c r="O10" s="31" t="inlineStr">
        <is>
          <t>⭐ Strong</t>
        </is>
      </c>
      <c r="P10" s="31" t="inlineStr">
        <is>
          <t>🏛️ Quality Hold</t>
        </is>
      </c>
      <c r="Q10" s="83" t="inlineStr">
        <is>
          <t>FULL</t>
        </is>
      </c>
    </row>
    <row r="11" ht="16" customHeight="1">
      <c r="A11" s="13" t="n">
        <v>7</v>
      </c>
      <c r="B11" s="14" t="inlineStr">
        <is>
          <t>Motilal Oswal Nasdaq 100 ETF (MOFN100)</t>
        </is>
      </c>
      <c r="C11" s="14" t="inlineStr">
        <is>
          <t>Motilal Oswal Mutual Fund</t>
        </is>
      </c>
      <c r="D11" s="14" t="inlineStr">
        <is>
          <t>NASDAQ</t>
        </is>
      </c>
      <c r="E11" s="15" t="n">
        <v>4.21</v>
      </c>
      <c r="F11" s="15" t="n">
        <v>3.27</v>
      </c>
      <c r="G11" s="15" t="n">
        <v>27.19</v>
      </c>
      <c r="H11" s="15" t="n">
        <v>37.59</v>
      </c>
      <c r="I11" s="15" t="n">
        <v>32.39712987825681</v>
      </c>
      <c r="J11" s="15" t="n">
        <v>135.06</v>
      </c>
      <c r="K11" s="24" t="n">
        <v>85.09999999999999</v>
      </c>
      <c r="L11" s="42" t="n">
        <v>50</v>
      </c>
      <c r="M11" s="35" t="n">
        <v>69.3</v>
      </c>
      <c r="N11" s="20" t="inlineStr">
        <is>
          <t>⭐ Strong</t>
        </is>
      </c>
      <c r="O11" s="20" t="inlineStr">
        <is>
          <t>➡️ Average</t>
        </is>
      </c>
      <c r="P11" s="20" t="inlineStr">
        <is>
          <t>📈 Momentum Play</t>
        </is>
      </c>
      <c r="Q11" s="83" t="inlineStr">
        <is>
          <t>FULL</t>
        </is>
      </c>
    </row>
    <row r="12" ht="16" customHeight="1">
      <c r="A12" s="28" t="n">
        <v>8</v>
      </c>
      <c r="B12" s="29" t="inlineStr">
        <is>
          <t>Nippon India Silver ETF</t>
        </is>
      </c>
      <c r="C12" s="29" t="inlineStr">
        <is>
          <t>Nippon India Mutual Fund</t>
        </is>
      </c>
      <c r="D12" s="29" t="inlineStr">
        <is>
          <t>Silver</t>
        </is>
      </c>
      <c r="E12" s="30" t="n">
        <v>8.119999999999999</v>
      </c>
      <c r="F12" s="91" t="n">
        <v>-12.91</v>
      </c>
      <c r="G12" s="91" t="n">
        <v>-1.72</v>
      </c>
      <c r="H12" s="30" t="n">
        <v>99.81999999999999</v>
      </c>
      <c r="I12" s="30" t="n">
        <v>66.55329477377505</v>
      </c>
      <c r="J12" s="30" t="n">
        <v>218.12</v>
      </c>
      <c r="K12" s="17" t="n">
        <v>64.90000000000001</v>
      </c>
      <c r="L12" s="42" t="n">
        <v>68.40000000000001</v>
      </c>
      <c r="M12" s="35" t="n">
        <v>66.5</v>
      </c>
      <c r="N12" s="31" t="inlineStr">
        <is>
          <t>📈 Good</t>
        </is>
      </c>
      <c r="O12" s="31" t="inlineStr">
        <is>
          <t>🏛️ Solid</t>
        </is>
      </c>
      <c r="P12" s="31" t="inlineStr">
        <is>
          <t>🏛️ Quality Hold</t>
        </is>
      </c>
      <c r="Q12" s="83" t="inlineStr">
        <is>
          <t>FULL</t>
        </is>
      </c>
    </row>
    <row r="13" ht="16" customHeight="1">
      <c r="A13" s="13" t="n">
        <v>9</v>
      </c>
      <c r="B13" s="14" t="inlineStr">
        <is>
          <t>UTI Silver Exchange Traded Fund</t>
        </is>
      </c>
      <c r="C13" s="14" t="inlineStr">
        <is>
          <t>UTI Mutual Fund</t>
        </is>
      </c>
      <c r="D13" s="14" t="inlineStr">
        <is>
          <t>Silver</t>
        </is>
      </c>
      <c r="E13" s="15" t="n">
        <v>8.1</v>
      </c>
      <c r="F13" s="16" t="n">
        <v>-12.9</v>
      </c>
      <c r="G13" s="16" t="n">
        <v>-1.08</v>
      </c>
      <c r="H13" s="15" t="n">
        <v>99.14</v>
      </c>
      <c r="I13" s="15" t="n">
        <v>66.61332479726822</v>
      </c>
      <c r="J13" s="15" t="n">
        <v>214.96</v>
      </c>
      <c r="K13" s="17" t="n">
        <v>66</v>
      </c>
      <c r="L13" s="42" t="n">
        <v>64.40000000000001</v>
      </c>
      <c r="M13" s="35" t="n">
        <v>65.3</v>
      </c>
      <c r="N13" s="20" t="inlineStr">
        <is>
          <t>📈 Good</t>
        </is>
      </c>
      <c r="O13" s="20" t="inlineStr">
        <is>
          <t>🏛️ Solid</t>
        </is>
      </c>
      <c r="P13" s="20" t="inlineStr">
        <is>
          <t>📈 Momentum Play</t>
        </is>
      </c>
      <c r="Q13" s="83" t="inlineStr">
        <is>
          <t>FULL</t>
        </is>
      </c>
    </row>
    <row r="14" ht="16" customHeight="1">
      <c r="A14" s="28" t="n">
        <v>10</v>
      </c>
      <c r="B14" s="29" t="inlineStr">
        <is>
          <t>Mirae Asset S&amp;P 500 Top 50 ETF</t>
        </is>
      </c>
      <c r="C14" s="29" t="inlineStr">
        <is>
          <t>Mirae Asset Mutual Fund</t>
        </is>
      </c>
      <c r="D14" s="29" t="inlineStr">
        <is>
          <t>S&amp;P 500</t>
        </is>
      </c>
      <c r="E14" s="30" t="n">
        <v>2.65</v>
      </c>
      <c r="F14" s="91" t="n">
        <v>-0.99</v>
      </c>
      <c r="G14" s="30" t="n">
        <v>15.64</v>
      </c>
      <c r="H14" s="30" t="n">
        <v>24.44</v>
      </c>
      <c r="I14" s="30" t="n">
        <v>24.66354719804824</v>
      </c>
      <c r="J14" s="30" t="n">
        <v>110.79</v>
      </c>
      <c r="K14" s="17" t="n">
        <v>73.40000000000001</v>
      </c>
      <c r="L14" s="18" t="n">
        <v>40</v>
      </c>
      <c r="M14" s="35" t="n">
        <v>58.4</v>
      </c>
      <c r="N14" s="31" t="inlineStr">
        <is>
          <t>📈 Good</t>
        </is>
      </c>
      <c r="O14" s="31" t="inlineStr">
        <is>
          <t>➡️ Average</t>
        </is>
      </c>
      <c r="P14" s="31" t="inlineStr">
        <is>
          <t>✅ Buy</t>
        </is>
      </c>
      <c r="Q14" s="83" t="inlineStr">
        <is>
          <t>FULL</t>
        </is>
      </c>
    </row>
    <row r="15" ht="16" customHeight="1">
      <c r="A15" s="92" t="n">
        <v>11</v>
      </c>
      <c r="B15" s="93" t="inlineStr">
        <is>
          <t>Motilal Oswal Nifty India Defence ETF</t>
        </is>
      </c>
      <c r="C15" s="93" t="inlineStr">
        <is>
          <t>Motilal Oswal Mutual Fund</t>
        </is>
      </c>
      <c r="D15" s="93" t="inlineStr">
        <is>
          <t>Index Fund</t>
        </is>
      </c>
      <c r="E15" s="94" t="n">
        <v>6.74</v>
      </c>
      <c r="F15" s="94" t="n">
        <v>11.79</v>
      </c>
      <c r="G15" s="94" t="n">
        <v>21.92</v>
      </c>
      <c r="H15" s="94" t="n">
        <v>27.89</v>
      </c>
      <c r="I15" s="94" t="n">
        <v>0</v>
      </c>
      <c r="J15" s="94" t="n">
        <v>0</v>
      </c>
      <c r="K15" s="24" t="n">
        <v>100</v>
      </c>
      <c r="L15" s="18" t="n">
        <v>0</v>
      </c>
      <c r="M15" s="35" t="n">
        <v>55</v>
      </c>
      <c r="N15" s="95" t="inlineStr">
        <is>
          <t>🔥 Hot</t>
        </is>
      </c>
      <c r="O15" s="95" t="inlineStr">
        <is>
          <t>⏳ New Fund</t>
        </is>
      </c>
      <c r="P15" s="95" t="inlineStr">
        <is>
          <t>🔥 Hot Momentum</t>
        </is>
      </c>
      <c r="Q15" s="96" t="inlineStr">
        <is>
          <t>MOMENTUM_ONLY</t>
        </is>
      </c>
    </row>
    <row r="16" ht="16" customHeight="1">
      <c r="A16" s="28" t="n">
        <v>12</v>
      </c>
      <c r="B16" s="29" t="inlineStr">
        <is>
          <t>Motilal Oswal BSE Healthcare ETF</t>
        </is>
      </c>
      <c r="C16" s="29" t="inlineStr">
        <is>
          <t>Motilal Oswal Mutual Fund</t>
        </is>
      </c>
      <c r="D16" s="29" t="inlineStr">
        <is>
          <t>Pharma/Healthcare</t>
        </is>
      </c>
      <c r="E16" s="30" t="n">
        <v>2.14</v>
      </c>
      <c r="F16" s="30" t="n">
        <v>7.15</v>
      </c>
      <c r="G16" s="30" t="n">
        <v>17.57</v>
      </c>
      <c r="H16" s="30" t="n">
        <v>14.67</v>
      </c>
      <c r="I16" s="30" t="n">
        <v>11.43608033307704</v>
      </c>
      <c r="J16" s="30" t="n">
        <v>84.33</v>
      </c>
      <c r="K16" s="24" t="n">
        <v>87.09999999999999</v>
      </c>
      <c r="L16" s="18" t="n">
        <v>13.1</v>
      </c>
      <c r="M16" s="35" t="n">
        <v>53.8</v>
      </c>
      <c r="N16" s="31" t="inlineStr">
        <is>
          <t>⭐ Strong</t>
        </is>
      </c>
      <c r="O16" s="31" t="inlineStr">
        <is>
          <t>⚠️ Below Avg</t>
        </is>
      </c>
      <c r="P16" s="31" t="inlineStr">
        <is>
          <t>⚠️ Watch</t>
        </is>
      </c>
      <c r="Q16" s="83" t="inlineStr">
        <is>
          <t>FULL</t>
        </is>
      </c>
    </row>
    <row r="17" ht="16" customHeight="1">
      <c r="A17" s="92" t="n">
        <v>13</v>
      </c>
      <c r="B17" s="93" t="inlineStr">
        <is>
          <t>Mirae Asset Nifty EV and New Age Automotive ETF</t>
        </is>
      </c>
      <c r="C17" s="93" t="inlineStr">
        <is>
          <t>Mirae Asset Mutual Fund</t>
        </is>
      </c>
      <c r="D17" s="93" t="inlineStr">
        <is>
          <t>Index Fund</t>
        </is>
      </c>
      <c r="E17" s="94" t="n">
        <v>7.77</v>
      </c>
      <c r="F17" s="94" t="n">
        <v>15.2</v>
      </c>
      <c r="G17" s="94" t="n">
        <v>10.43</v>
      </c>
      <c r="H17" s="94" t="n">
        <v>17.36</v>
      </c>
      <c r="I17" s="94" t="n">
        <v>1.725119808236153</v>
      </c>
      <c r="J17" s="94" t="n">
        <v>0</v>
      </c>
      <c r="K17" s="24" t="n">
        <v>95.2</v>
      </c>
      <c r="L17" s="18" t="n">
        <v>0</v>
      </c>
      <c r="M17" s="35" t="n">
        <v>52.4</v>
      </c>
      <c r="N17" s="95" t="inlineStr">
        <is>
          <t>🔥 Hot</t>
        </is>
      </c>
      <c r="O17" s="95" t="inlineStr">
        <is>
          <t>⏳ New Fund</t>
        </is>
      </c>
      <c r="P17" s="95" t="inlineStr">
        <is>
          <t>🔥 Hot Momentum</t>
        </is>
      </c>
      <c r="Q17" s="96" t="inlineStr">
        <is>
          <t>MOMENTUM_ONLY</t>
        </is>
      </c>
    </row>
    <row r="18" ht="16" customHeight="1">
      <c r="A18" s="92" t="n">
        <v>14</v>
      </c>
      <c r="B18" s="93" t="inlineStr">
        <is>
          <t>ICICI Prudential Nifty EV &amp; New Age Automotive ETF</t>
        </is>
      </c>
      <c r="C18" s="93" t="inlineStr">
        <is>
          <t>ICICI Prudential Mutual Fund</t>
        </is>
      </c>
      <c r="D18" s="93" t="inlineStr">
        <is>
          <t>Index Fund</t>
        </is>
      </c>
      <c r="E18" s="94" t="n">
        <v>7.76</v>
      </c>
      <c r="F18" s="94" t="n">
        <v>15.18</v>
      </c>
      <c r="G18" s="94" t="n">
        <v>10.41</v>
      </c>
      <c r="H18" s="94" t="n">
        <v>17.22</v>
      </c>
      <c r="I18" s="94" t="n">
        <v>0</v>
      </c>
      <c r="J18" s="94" t="n">
        <v>0</v>
      </c>
      <c r="K18" s="24" t="n">
        <v>94.59999999999999</v>
      </c>
      <c r="L18" s="18" t="n">
        <v>0</v>
      </c>
      <c r="M18" s="35" t="n">
        <v>52</v>
      </c>
      <c r="N18" s="95" t="inlineStr">
        <is>
          <t>🔥 Hot</t>
        </is>
      </c>
      <c r="O18" s="95" t="inlineStr">
        <is>
          <t>⏳ New Fund</t>
        </is>
      </c>
      <c r="P18" s="95" t="inlineStr">
        <is>
          <t>🔥 Hot Momentum</t>
        </is>
      </c>
      <c r="Q18" s="96" t="inlineStr">
        <is>
          <t>MOMENTUM_ONLY</t>
        </is>
      </c>
    </row>
    <row r="19" ht="16" customHeight="1">
      <c r="A19" s="13" t="n">
        <v>15</v>
      </c>
      <c r="B19" s="14" t="inlineStr">
        <is>
          <t>Kotak Nifty Alpha 50 ETF</t>
        </is>
      </c>
      <c r="C19" s="14" t="inlineStr">
        <is>
          <t>Kotak Mahindra Mutual Fund</t>
        </is>
      </c>
      <c r="D19" s="14" t="inlineStr">
        <is>
          <t>Index Fund</t>
        </is>
      </c>
      <c r="E19" s="15" t="n">
        <v>5.25</v>
      </c>
      <c r="F19" s="15" t="n">
        <v>9.4</v>
      </c>
      <c r="G19" s="15" t="n">
        <v>9.83</v>
      </c>
      <c r="H19" s="15" t="n">
        <v>12.24</v>
      </c>
      <c r="I19" s="16" t="n">
        <v>-2.000000000000002</v>
      </c>
      <c r="J19" s="15" t="n">
        <v>66.3</v>
      </c>
      <c r="K19" s="24" t="n">
        <v>93.2</v>
      </c>
      <c r="L19" s="18" t="n">
        <v>0</v>
      </c>
      <c r="M19" s="35" t="n">
        <v>51.2</v>
      </c>
      <c r="N19" s="20" t="inlineStr">
        <is>
          <t>🔥 Hot</t>
        </is>
      </c>
      <c r="O19" s="20" t="inlineStr">
        <is>
          <t>🔴 Not Qualified</t>
        </is>
      </c>
      <c r="P19" s="20" t="inlineStr">
        <is>
          <t>⚠️ Watch</t>
        </is>
      </c>
      <c r="Q19" s="83" t="inlineStr">
        <is>
          <t>FULL</t>
        </is>
      </c>
    </row>
    <row r="20" ht="16" customHeight="1">
      <c r="A20" s="92" t="n">
        <v>16</v>
      </c>
      <c r="B20" s="93" t="inlineStr">
        <is>
          <t>Motilal Oswal Nifty Alpha 50 ETF</t>
        </is>
      </c>
      <c r="C20" s="93" t="inlineStr">
        <is>
          <t>Motilal Oswal Mutual Fund</t>
        </is>
      </c>
      <c r="D20" s="93" t="inlineStr">
        <is>
          <t>Index Fund</t>
        </is>
      </c>
      <c r="E20" s="94" t="n">
        <v>5.22</v>
      </c>
      <c r="F20" s="94" t="n">
        <v>9.359999999999999</v>
      </c>
      <c r="G20" s="94" t="n">
        <v>9.619999999999999</v>
      </c>
      <c r="H20" s="94" t="n">
        <v>11.71</v>
      </c>
      <c r="I20" s="94" t="n">
        <v>0</v>
      </c>
      <c r="J20" s="94" t="n">
        <v>0</v>
      </c>
      <c r="K20" s="24" t="n">
        <v>92.5</v>
      </c>
      <c r="L20" s="18" t="n">
        <v>0</v>
      </c>
      <c r="M20" s="35" t="n">
        <v>50.9</v>
      </c>
      <c r="N20" s="95" t="inlineStr">
        <is>
          <t>🔥 Hot</t>
        </is>
      </c>
      <c r="O20" s="95" t="inlineStr">
        <is>
          <t>⏳ New Fund</t>
        </is>
      </c>
      <c r="P20" s="95" t="inlineStr">
        <is>
          <t>🔥 Hot Momentum</t>
        </is>
      </c>
      <c r="Q20" s="96" t="inlineStr">
        <is>
          <t>MOMENTUM_ONLY</t>
        </is>
      </c>
    </row>
    <row r="21" ht="16" customHeight="1">
      <c r="A21" s="13" t="n">
        <v>17</v>
      </c>
      <c r="B21" s="14" t="inlineStr">
        <is>
          <t>ICICI Prudential Nifty Auto ETF</t>
        </is>
      </c>
      <c r="C21" s="14" t="inlineStr">
        <is>
          <t>ICICI Prudential Mutual Fund</t>
        </is>
      </c>
      <c r="D21" s="14" t="inlineStr">
        <is>
          <t>Index Fund</t>
        </is>
      </c>
      <c r="E21" s="15" t="n">
        <v>8.289999999999999</v>
      </c>
      <c r="F21" s="15" t="n">
        <v>14.77</v>
      </c>
      <c r="G21" s="15" t="n">
        <v>4.12</v>
      </c>
      <c r="H21" s="15" t="n">
        <v>22.4</v>
      </c>
      <c r="I21" s="15" t="n">
        <v>7.763630228384577</v>
      </c>
      <c r="J21" s="16" t="n">
        <v>-80.59</v>
      </c>
      <c r="K21" s="24" t="n">
        <v>92.09999999999999</v>
      </c>
      <c r="L21" s="18" t="n">
        <v>0</v>
      </c>
      <c r="M21" s="35" t="n">
        <v>50.6</v>
      </c>
      <c r="N21" s="20" t="inlineStr">
        <is>
          <t>🔥 Hot</t>
        </is>
      </c>
      <c r="O21" s="20" t="inlineStr">
        <is>
          <t>🔴 Not Qualified</t>
        </is>
      </c>
      <c r="P21" s="20" t="inlineStr">
        <is>
          <t>⚠️ Watch</t>
        </is>
      </c>
      <c r="Q21" s="83" t="inlineStr">
        <is>
          <t>FULL</t>
        </is>
      </c>
    </row>
    <row r="22" ht="16" customHeight="1">
      <c r="A22" s="28" t="n">
        <v>18</v>
      </c>
      <c r="B22" s="29" t="inlineStr">
        <is>
          <t>Nippon India Nifty Auto ETF</t>
        </is>
      </c>
      <c r="C22" s="29" t="inlineStr">
        <is>
          <t>Nippon India Mutual Fund</t>
        </is>
      </c>
      <c r="D22" s="29" t="inlineStr">
        <is>
          <t>Index Fund</t>
        </is>
      </c>
      <c r="E22" s="30" t="n">
        <v>8.289999999999999</v>
      </c>
      <c r="F22" s="30" t="n">
        <v>14.76</v>
      </c>
      <c r="G22" s="30" t="n">
        <v>4.1</v>
      </c>
      <c r="H22" s="30" t="n">
        <v>22.31</v>
      </c>
      <c r="I22" s="30" t="n">
        <v>7.675438239182486</v>
      </c>
      <c r="J22" s="30" t="n">
        <v>93.7</v>
      </c>
      <c r="K22" s="24" t="n">
        <v>91.8</v>
      </c>
      <c r="L22" s="18" t="n">
        <v>0</v>
      </c>
      <c r="M22" s="35" t="n">
        <v>50.5</v>
      </c>
      <c r="N22" s="31" t="inlineStr">
        <is>
          <t>🔥 Hot</t>
        </is>
      </c>
      <c r="O22" s="31" t="inlineStr">
        <is>
          <t>🔴 Not Qualified</t>
        </is>
      </c>
      <c r="P22" s="31" t="inlineStr">
        <is>
          <t>⚠️ Watch</t>
        </is>
      </c>
      <c r="Q22" s="83" t="inlineStr">
        <is>
          <t>FULL</t>
        </is>
      </c>
    </row>
    <row r="23" ht="16" customHeight="1">
      <c r="A23" s="92" t="n">
        <v>19</v>
      </c>
      <c r="B23" s="93" t="inlineStr">
        <is>
          <t>Mirae Asset Nifty Smallcap 250 Momentum Quality 100 ETF</t>
        </is>
      </c>
      <c r="C23" s="93" t="inlineStr">
        <is>
          <t>Mirae Asset Mutual Fund</t>
        </is>
      </c>
      <c r="D23" s="93" t="inlineStr">
        <is>
          <t>Index Fund</t>
        </is>
      </c>
      <c r="E23" s="94" t="n">
        <v>3.52</v>
      </c>
      <c r="F23" s="94" t="n">
        <v>8.949999999999999</v>
      </c>
      <c r="G23" s="94" t="n">
        <v>14.53</v>
      </c>
      <c r="H23" s="94" t="n">
        <v>9.9</v>
      </c>
      <c r="I23" s="97" t="n">
        <v>-2.665525120849399</v>
      </c>
      <c r="J23" s="94" t="n">
        <v>0</v>
      </c>
      <c r="K23" s="24" t="n">
        <v>91.09999999999999</v>
      </c>
      <c r="L23" s="18" t="n">
        <v>0</v>
      </c>
      <c r="M23" s="35" t="n">
        <v>50.1</v>
      </c>
      <c r="N23" s="95" t="inlineStr">
        <is>
          <t>🔥 Hot</t>
        </is>
      </c>
      <c r="O23" s="95" t="inlineStr">
        <is>
          <t>⏳ New Fund</t>
        </is>
      </c>
      <c r="P23" s="95" t="inlineStr">
        <is>
          <t>🔥 Hot Momentum</t>
        </is>
      </c>
      <c r="Q23" s="96" t="inlineStr">
        <is>
          <t>MOMENTUM_ONLY</t>
        </is>
      </c>
    </row>
    <row r="24" ht="16" customHeight="1">
      <c r="A24" s="28" t="n">
        <v>20</v>
      </c>
      <c r="B24" s="29" t="inlineStr">
        <is>
          <t>Nippon India Nifty Pharma ETF</t>
        </is>
      </c>
      <c r="C24" s="29" t="inlineStr">
        <is>
          <t>Nippon India Mutual Fund</t>
        </is>
      </c>
      <c r="D24" s="29" t="inlineStr">
        <is>
          <t>Pharma/Healthcare</t>
        </is>
      </c>
      <c r="E24" s="30" t="n">
        <v>2.86</v>
      </c>
      <c r="F24" s="30" t="n">
        <v>6.3</v>
      </c>
      <c r="G24" s="30" t="n">
        <v>17.24</v>
      </c>
      <c r="H24" s="30" t="n">
        <v>19.43</v>
      </c>
      <c r="I24" s="30" t="n">
        <v>9.654001294982395</v>
      </c>
      <c r="J24" s="30" t="n">
        <v>74.77</v>
      </c>
      <c r="K24" s="24" t="n">
        <v>88.90000000000001</v>
      </c>
      <c r="L24" s="18" t="n">
        <v>0</v>
      </c>
      <c r="M24" s="19" t="n">
        <v>48.9</v>
      </c>
      <c r="N24" s="31" t="inlineStr">
        <is>
          <t>⭐ Strong</t>
        </is>
      </c>
      <c r="O24" s="31" t="inlineStr">
        <is>
          <t>🔴 Not Qualified</t>
        </is>
      </c>
      <c r="P24" s="31" t="inlineStr">
        <is>
          <t>⚠️ Watch</t>
        </is>
      </c>
      <c r="Q24" s="83" t="inlineStr">
        <is>
          <t>FULL</t>
        </is>
      </c>
    </row>
    <row r="25" ht="16" customHeight="1">
      <c r="A25" s="13" t="n">
        <v>21</v>
      </c>
      <c r="B25" s="14" t="inlineStr">
        <is>
          <t>SBI Nifty Next 50 ETF</t>
        </is>
      </c>
      <c r="C25" s="14" t="inlineStr">
        <is>
          <t>SBI Mutual Fund</t>
        </is>
      </c>
      <c r="D25" s="14" t="inlineStr">
        <is>
          <t>Index Fund</t>
        </is>
      </c>
      <c r="E25" s="15" t="n">
        <v>3.71</v>
      </c>
      <c r="F25" s="15" t="n">
        <v>8.17</v>
      </c>
      <c r="G25" s="15" t="n">
        <v>6.36</v>
      </c>
      <c r="H25" s="15" t="n">
        <v>12.73</v>
      </c>
      <c r="I25" s="15" t="n">
        <v>1.769347054994896</v>
      </c>
      <c r="J25" s="15" t="n">
        <v>73.81999999999999</v>
      </c>
      <c r="K25" s="24" t="n">
        <v>88</v>
      </c>
      <c r="L25" s="18" t="n">
        <v>0</v>
      </c>
      <c r="M25" s="19" t="n">
        <v>48.4</v>
      </c>
      <c r="N25" s="20" t="inlineStr">
        <is>
          <t>⭐ Strong</t>
        </is>
      </c>
      <c r="O25" s="20" t="inlineStr">
        <is>
          <t>🔴 Not Qualified</t>
        </is>
      </c>
      <c r="P25" s="20" t="inlineStr">
        <is>
          <t>⚠️ Watch</t>
        </is>
      </c>
      <c r="Q25" s="83" t="inlineStr">
        <is>
          <t>FULL</t>
        </is>
      </c>
    </row>
    <row r="26" ht="16" customHeight="1">
      <c r="A26" s="28" t="n">
        <v>22</v>
      </c>
      <c r="B26" s="29" t="inlineStr">
        <is>
          <t>UTI Nifty Next 50 Exchange Traded Fund</t>
        </is>
      </c>
      <c r="C26" s="29" t="inlineStr">
        <is>
          <t>UTI Mutual Fund</t>
        </is>
      </c>
      <c r="D26" s="29" t="inlineStr">
        <is>
          <t>Index Fund</t>
        </is>
      </c>
      <c r="E26" s="30" t="n">
        <v>3.69</v>
      </c>
      <c r="F26" s="30" t="n">
        <v>8.15</v>
      </c>
      <c r="G26" s="30" t="n">
        <v>6.37</v>
      </c>
      <c r="H26" s="30" t="n">
        <v>12.74</v>
      </c>
      <c r="I26" s="30" t="n">
        <v>1.833196944807725</v>
      </c>
      <c r="J26" s="30" t="n">
        <v>74.06</v>
      </c>
      <c r="K26" s="24" t="n">
        <v>88</v>
      </c>
      <c r="L26" s="18" t="n">
        <v>0</v>
      </c>
      <c r="M26" s="19" t="n">
        <v>48.4</v>
      </c>
      <c r="N26" s="31" t="inlineStr">
        <is>
          <t>⭐ Strong</t>
        </is>
      </c>
      <c r="O26" s="31" t="inlineStr">
        <is>
          <t>🔴 Not Qualified</t>
        </is>
      </c>
      <c r="P26" s="31" t="inlineStr">
        <is>
          <t>⚠️ Watch</t>
        </is>
      </c>
      <c r="Q26" s="83" t="inlineStr">
        <is>
          <t>FULL</t>
        </is>
      </c>
    </row>
    <row r="27" ht="16" customHeight="1">
      <c r="A27" s="13" t="n">
        <v>23</v>
      </c>
      <c r="B27" s="14" t="inlineStr">
        <is>
          <t>DSP Nifty PSU Bank ETF</t>
        </is>
      </c>
      <c r="C27" s="14" t="inlineStr">
        <is>
          <t>DSP Mutual Fund</t>
        </is>
      </c>
      <c r="D27" s="14" t="inlineStr">
        <is>
          <t>Banking/Financial</t>
        </is>
      </c>
      <c r="E27" s="15" t="n">
        <v>2.81</v>
      </c>
      <c r="F27" s="15" t="n">
        <v>8.630000000000001</v>
      </c>
      <c r="G27" s="16" t="n">
        <v>-9.91</v>
      </c>
      <c r="H27" s="15" t="n">
        <v>23.42</v>
      </c>
      <c r="I27" s="15" t="n">
        <v>12.73863579093015</v>
      </c>
      <c r="J27" s="15" t="n">
        <v>89.58</v>
      </c>
      <c r="K27" s="17" t="n">
        <v>61.9</v>
      </c>
      <c r="L27" s="18" t="n">
        <v>31.9</v>
      </c>
      <c r="M27" s="19" t="n">
        <v>48.4</v>
      </c>
      <c r="N27" s="20" t="inlineStr">
        <is>
          <t>📈 Good</t>
        </is>
      </c>
      <c r="O27" s="20" t="inlineStr">
        <is>
          <t>⚠️ Below Avg</t>
        </is>
      </c>
      <c r="P27" s="20" t="inlineStr">
        <is>
          <t>⚠️ Watch</t>
        </is>
      </c>
      <c r="Q27" s="83" t="inlineStr">
        <is>
          <t>FULL</t>
        </is>
      </c>
    </row>
    <row r="28" ht="16" customHeight="1">
      <c r="A28" s="28" t="n">
        <v>24</v>
      </c>
      <c r="B28" s="29" t="inlineStr">
        <is>
          <t>Mirae Asset Nifty Next 50 ETF</t>
        </is>
      </c>
      <c r="C28" s="29" t="inlineStr">
        <is>
          <t>Mirae Asset Mutual Fund</t>
        </is>
      </c>
      <c r="D28" s="29" t="inlineStr">
        <is>
          <t>Index Fund</t>
        </is>
      </c>
      <c r="E28" s="30" t="n">
        <v>3.72</v>
      </c>
      <c r="F28" s="30" t="n">
        <v>8.109999999999999</v>
      </c>
      <c r="G28" s="30" t="n">
        <v>6.32</v>
      </c>
      <c r="H28" s="30" t="n">
        <v>12.72</v>
      </c>
      <c r="I28" s="30" t="n">
        <v>1.784085199995777</v>
      </c>
      <c r="J28" s="30" t="n">
        <v>73.76000000000001</v>
      </c>
      <c r="K28" s="24" t="n">
        <v>87.59999999999999</v>
      </c>
      <c r="L28" s="18" t="n">
        <v>0</v>
      </c>
      <c r="M28" s="19" t="n">
        <v>48.2</v>
      </c>
      <c r="N28" s="31" t="inlineStr">
        <is>
          <t>⭐ Strong</t>
        </is>
      </c>
      <c r="O28" s="31" t="inlineStr">
        <is>
          <t>🔴 Not Qualified</t>
        </is>
      </c>
      <c r="P28" s="31" t="inlineStr">
        <is>
          <t>⚠️ Watch</t>
        </is>
      </c>
      <c r="Q28" s="83" t="inlineStr">
        <is>
          <t>FULL</t>
        </is>
      </c>
    </row>
    <row r="29" ht="16" customHeight="1">
      <c r="A29" s="13" t="n">
        <v>25</v>
      </c>
      <c r="B29" s="14" t="inlineStr">
        <is>
          <t>Nippon India ETF Nifty Next 50 Junior BeES</t>
        </is>
      </c>
      <c r="C29" s="14" t="inlineStr">
        <is>
          <t>Nippon India Mutual Fund</t>
        </is>
      </c>
      <c r="D29" s="14" t="inlineStr">
        <is>
          <t>Index Fund</t>
        </is>
      </c>
      <c r="E29" s="15" t="n">
        <v>3.72</v>
      </c>
      <c r="F29" s="15" t="n">
        <v>8.119999999999999</v>
      </c>
      <c r="G29" s="15" t="n">
        <v>6.32</v>
      </c>
      <c r="H29" s="15" t="n">
        <v>12.68</v>
      </c>
      <c r="I29" s="15" t="n">
        <v>1.720204482688681</v>
      </c>
      <c r="J29" s="15" t="n">
        <v>73.53</v>
      </c>
      <c r="K29" s="24" t="n">
        <v>87.5</v>
      </c>
      <c r="L29" s="18" t="n">
        <v>0</v>
      </c>
      <c r="M29" s="19" t="n">
        <v>48.1</v>
      </c>
      <c r="N29" s="20" t="inlineStr">
        <is>
          <t>⭐ Strong</t>
        </is>
      </c>
      <c r="O29" s="20" t="inlineStr">
        <is>
          <t>🔴 Not Qualified</t>
        </is>
      </c>
      <c r="P29" s="20" t="inlineStr">
        <is>
          <t>⚠️ Watch</t>
        </is>
      </c>
      <c r="Q29" s="83" t="inlineStr">
        <is>
          <t>FULL</t>
        </is>
      </c>
    </row>
    <row r="30" ht="16" customHeight="1">
      <c r="A30" s="28" t="n">
        <v>26</v>
      </c>
      <c r="B30" s="29" t="inlineStr">
        <is>
          <t>ICICI Prudential Nifty Next 50 ETF</t>
        </is>
      </c>
      <c r="C30" s="29" t="inlineStr">
        <is>
          <t>ICICI Prudential Mutual Fund</t>
        </is>
      </c>
      <c r="D30" s="29" t="inlineStr">
        <is>
          <t>Index Fund</t>
        </is>
      </c>
      <c r="E30" s="30" t="n">
        <v>3.71</v>
      </c>
      <c r="F30" s="30" t="n">
        <v>7.99</v>
      </c>
      <c r="G30" s="30" t="n">
        <v>6.2</v>
      </c>
      <c r="H30" s="30" t="n">
        <v>12.6</v>
      </c>
      <c r="I30" s="30" t="n">
        <v>1.734949746879022</v>
      </c>
      <c r="J30" s="30" t="n">
        <v>73.72</v>
      </c>
      <c r="K30" s="24" t="n">
        <v>86.2</v>
      </c>
      <c r="L30" s="18" t="n">
        <v>0</v>
      </c>
      <c r="M30" s="19" t="n">
        <v>47.4</v>
      </c>
      <c r="N30" s="31" t="inlineStr">
        <is>
          <t>⭐ Strong</t>
        </is>
      </c>
      <c r="O30" s="31" t="inlineStr">
        <is>
          <t>🔴 Not Qualified</t>
        </is>
      </c>
      <c r="P30" s="31" t="inlineStr">
        <is>
          <t>⚠️ Watch</t>
        </is>
      </c>
      <c r="Q30" s="83" t="inlineStr">
        <is>
          <t>FULL</t>
        </is>
      </c>
    </row>
    <row r="31" ht="16" customHeight="1">
      <c r="A31" s="13" t="n">
        <v>27</v>
      </c>
      <c r="B31" s="14" t="inlineStr">
        <is>
          <t>HDFC NIFTY NEXT 50 ETF - Growth Option</t>
        </is>
      </c>
      <c r="C31" s="14" t="inlineStr">
        <is>
          <t>HDFC Mutual Fund</t>
        </is>
      </c>
      <c r="D31" s="14" t="inlineStr">
        <is>
          <t>Index Fund</t>
        </is>
      </c>
      <c r="E31" s="15" t="n">
        <v>3.68</v>
      </c>
      <c r="F31" s="15" t="n">
        <v>8.06</v>
      </c>
      <c r="G31" s="15" t="n">
        <v>6.23</v>
      </c>
      <c r="H31" s="15" t="n">
        <v>12.51</v>
      </c>
      <c r="I31" s="15" t="n">
        <v>1.616927723681938</v>
      </c>
      <c r="J31" s="16" t="n">
        <v>-82.68000000000001</v>
      </c>
      <c r="K31" s="24" t="n">
        <v>86.09999999999999</v>
      </c>
      <c r="L31" s="18" t="n">
        <v>0</v>
      </c>
      <c r="M31" s="19" t="n">
        <v>47.4</v>
      </c>
      <c r="N31" s="20" t="inlineStr">
        <is>
          <t>⭐ Strong</t>
        </is>
      </c>
      <c r="O31" s="20" t="inlineStr">
        <is>
          <t>🔴 Not Qualified</t>
        </is>
      </c>
      <c r="P31" s="20" t="inlineStr">
        <is>
          <t>⚠️ Watch</t>
        </is>
      </c>
      <c r="Q31" s="83" t="inlineStr">
        <is>
          <t>FULL</t>
        </is>
      </c>
    </row>
    <row r="32" ht="16" customHeight="1">
      <c r="A32" s="28" t="n">
        <v>28</v>
      </c>
      <c r="B32" s="29" t="inlineStr">
        <is>
          <t>Kotak Nifty MNC ETF</t>
        </is>
      </c>
      <c r="C32" s="29" t="inlineStr">
        <is>
          <t>Kotak Mahindra Mutual Fund</t>
        </is>
      </c>
      <c r="D32" s="29" t="inlineStr">
        <is>
          <t>Index Fund</t>
        </is>
      </c>
      <c r="E32" s="30" t="n">
        <v>2.9</v>
      </c>
      <c r="F32" s="30" t="n">
        <v>5.91</v>
      </c>
      <c r="G32" s="30" t="n">
        <v>7.16</v>
      </c>
      <c r="H32" s="30" t="n">
        <v>18.87</v>
      </c>
      <c r="I32" s="30" t="n">
        <v>5.356537528527383</v>
      </c>
      <c r="J32" s="30" t="n">
        <v>57.49</v>
      </c>
      <c r="K32" s="24" t="n">
        <v>86</v>
      </c>
      <c r="L32" s="18" t="n">
        <v>0</v>
      </c>
      <c r="M32" s="19" t="n">
        <v>47.3</v>
      </c>
      <c r="N32" s="31" t="inlineStr">
        <is>
          <t>⭐ Strong</t>
        </is>
      </c>
      <c r="O32" s="31" t="inlineStr">
        <is>
          <t>🔴 Not Qualified</t>
        </is>
      </c>
      <c r="P32" s="31" t="inlineStr">
        <is>
          <t>⚠️ Watch</t>
        </is>
      </c>
      <c r="Q32" s="83" t="inlineStr">
        <is>
          <t>FULL</t>
        </is>
      </c>
    </row>
    <row r="33" ht="16" customHeight="1">
      <c r="A33" s="92" t="n">
        <v>29</v>
      </c>
      <c r="B33" s="93" t="inlineStr">
        <is>
          <t>MOTILAL OSWAL NIFTY NEXT 50 ETF</t>
        </is>
      </c>
      <c r="C33" s="93" t="inlineStr">
        <is>
          <t>Motilal Oswal Mutual Fund</t>
        </is>
      </c>
      <c r="D33" s="93" t="inlineStr">
        <is>
          <t>Index Fund</t>
        </is>
      </c>
      <c r="E33" s="94" t="n">
        <v>3.67</v>
      </c>
      <c r="F33" s="94" t="n">
        <v>8.130000000000001</v>
      </c>
      <c r="G33" s="94" t="n">
        <v>6.21</v>
      </c>
      <c r="H33" s="94" t="n">
        <v>12.41</v>
      </c>
      <c r="I33" s="94" t="n">
        <v>0</v>
      </c>
      <c r="J33" s="94" t="n">
        <v>0</v>
      </c>
      <c r="K33" s="24" t="n">
        <v>85.90000000000001</v>
      </c>
      <c r="L33" s="18" t="n">
        <v>0</v>
      </c>
      <c r="M33" s="19" t="n">
        <v>47.3</v>
      </c>
      <c r="N33" s="95" t="inlineStr">
        <is>
          <t>⭐ Strong</t>
        </is>
      </c>
      <c r="O33" s="95" t="inlineStr">
        <is>
          <t>⏳ New Fund</t>
        </is>
      </c>
      <c r="P33" s="95" t="inlineStr">
        <is>
          <t>🔥 Hot Momentum</t>
        </is>
      </c>
      <c r="Q33" s="96" t="inlineStr">
        <is>
          <t>MOMENTUM_ONLY</t>
        </is>
      </c>
    </row>
    <row r="34" ht="16" customHeight="1">
      <c r="A34" s="28" t="n">
        <v>30</v>
      </c>
      <c r="B34" s="29" t="inlineStr">
        <is>
          <t>HDFC NIFTY Smallcap 250 ETF - Growth Option</t>
        </is>
      </c>
      <c r="C34" s="29" t="inlineStr">
        <is>
          <t>HDFC Mutual Fund</t>
        </is>
      </c>
      <c r="D34" s="29" t="inlineStr">
        <is>
          <t>Index Fund</t>
        </is>
      </c>
      <c r="E34" s="30" t="n">
        <v>2.04</v>
      </c>
      <c r="F34" s="30" t="n">
        <v>10.34</v>
      </c>
      <c r="G34" s="30" t="n">
        <v>13.56</v>
      </c>
      <c r="H34" s="30" t="n">
        <v>10.38</v>
      </c>
      <c r="I34" s="30" t="n">
        <v>2.946588093049507</v>
      </c>
      <c r="J34" s="30" t="n">
        <v>62.85</v>
      </c>
      <c r="K34" s="24" t="n">
        <v>85.90000000000001</v>
      </c>
      <c r="L34" s="18" t="n">
        <v>0</v>
      </c>
      <c r="M34" s="19" t="n">
        <v>47.2</v>
      </c>
      <c r="N34" s="31" t="inlineStr">
        <is>
          <t>⭐ Strong</t>
        </is>
      </c>
      <c r="O34" s="31" t="inlineStr">
        <is>
          <t>🔴 Not Qualified</t>
        </is>
      </c>
      <c r="P34" s="31" t="inlineStr">
        <is>
          <t>⚠️ Watch</t>
        </is>
      </c>
      <c r="Q34" s="83" t="inlineStr">
        <is>
          <t>FULL</t>
        </is>
      </c>
    </row>
    <row r="35" ht="16" customHeight="1">
      <c r="A35" s="92" t="n">
        <v>31</v>
      </c>
      <c r="B35" s="93" t="inlineStr">
        <is>
          <t>Motilal Oswal Nifty Smallcap 250 ETF</t>
        </is>
      </c>
      <c r="C35" s="93" t="inlineStr">
        <is>
          <t>Motilal Oswal Mutual Fund</t>
        </is>
      </c>
      <c r="D35" s="93" t="inlineStr">
        <is>
          <t>Index Fund</t>
        </is>
      </c>
      <c r="E35" s="94" t="n">
        <v>2.03</v>
      </c>
      <c r="F35" s="94" t="n">
        <v>10.31</v>
      </c>
      <c r="G35" s="94" t="n">
        <v>13.51</v>
      </c>
      <c r="H35" s="94" t="n">
        <v>10.42</v>
      </c>
      <c r="I35" s="94" t="n">
        <v>2.878569196893488</v>
      </c>
      <c r="J35" s="94" t="n">
        <v>0</v>
      </c>
      <c r="K35" s="24" t="n">
        <v>85.7</v>
      </c>
      <c r="L35" s="18" t="n">
        <v>0</v>
      </c>
      <c r="M35" s="19" t="n">
        <v>47.1</v>
      </c>
      <c r="N35" s="95" t="inlineStr">
        <is>
          <t>⭐ Strong</t>
        </is>
      </c>
      <c r="O35" s="95" t="inlineStr">
        <is>
          <t>⏳ New Fund</t>
        </is>
      </c>
      <c r="P35" s="95" t="inlineStr">
        <is>
          <t>🔥 Hot Momentum</t>
        </is>
      </c>
      <c r="Q35" s="96" t="inlineStr">
        <is>
          <t>MOMENTUM_ONLY</t>
        </is>
      </c>
    </row>
    <row r="36" ht="16" customHeight="1">
      <c r="A36" s="28" t="n">
        <v>32</v>
      </c>
      <c r="B36" s="29" t="inlineStr">
        <is>
          <t>ICICI Prudential BSE Midcap Select ETF</t>
        </is>
      </c>
      <c r="C36" s="29" t="inlineStr">
        <is>
          <t>ICICI Prudential Mutual Fund</t>
        </is>
      </c>
      <c r="D36" s="29" t="inlineStr">
        <is>
          <t>Index Fund</t>
        </is>
      </c>
      <c r="E36" s="30" t="n">
        <v>2.36</v>
      </c>
      <c r="F36" s="30" t="n">
        <v>9.56</v>
      </c>
      <c r="G36" s="30" t="n">
        <v>8.83</v>
      </c>
      <c r="H36" s="30" t="n">
        <v>15.8</v>
      </c>
      <c r="I36" s="30" t="n">
        <v>5.014284742600617</v>
      </c>
      <c r="J36" s="91" t="n">
        <v>-82.61</v>
      </c>
      <c r="K36" s="24" t="n">
        <v>84.7</v>
      </c>
      <c r="L36" s="18" t="n">
        <v>0</v>
      </c>
      <c r="M36" s="19" t="n">
        <v>46.6</v>
      </c>
      <c r="N36" s="31" t="inlineStr">
        <is>
          <t>⭐ Strong</t>
        </is>
      </c>
      <c r="O36" s="31" t="inlineStr">
        <is>
          <t>🔴 Not Qualified</t>
        </is>
      </c>
      <c r="P36" s="31" t="inlineStr">
        <is>
          <t>⚠️ Watch</t>
        </is>
      </c>
      <c r="Q36" s="83" t="inlineStr">
        <is>
          <t>FULL</t>
        </is>
      </c>
    </row>
    <row r="37" ht="16" customHeight="1">
      <c r="A37" s="13" t="n">
        <v>33</v>
      </c>
      <c r="B37" s="14" t="inlineStr">
        <is>
          <t>Mirae Asset Nifty India Manufacturing ETF</t>
        </is>
      </c>
      <c r="C37" s="14" t="inlineStr">
        <is>
          <t>Mirae Asset Mutual Fund</t>
        </is>
      </c>
      <c r="D37" s="14" t="inlineStr">
        <is>
          <t>Index Fund</t>
        </is>
      </c>
      <c r="E37" s="15" t="n">
        <v>4.05</v>
      </c>
      <c r="F37" s="15" t="n">
        <v>6.41</v>
      </c>
      <c r="G37" s="15" t="n">
        <v>5.48</v>
      </c>
      <c r="H37" s="15" t="n">
        <v>17.27</v>
      </c>
      <c r="I37" s="15" t="n">
        <v>6.155546251714994</v>
      </c>
      <c r="J37" s="15" t="n">
        <v>74.23</v>
      </c>
      <c r="K37" s="24" t="n">
        <v>84.5</v>
      </c>
      <c r="L37" s="18" t="n">
        <v>0</v>
      </c>
      <c r="M37" s="19" t="n">
        <v>46.5</v>
      </c>
      <c r="N37" s="20" t="inlineStr">
        <is>
          <t>⭐ Strong</t>
        </is>
      </c>
      <c r="O37" s="20" t="inlineStr">
        <is>
          <t>🔴 Not Qualified</t>
        </is>
      </c>
      <c r="P37" s="20" t="inlineStr">
        <is>
          <t>⚠️ Watch</t>
        </is>
      </c>
      <c r="Q37" s="83" t="inlineStr">
        <is>
          <t>FULL</t>
        </is>
      </c>
    </row>
    <row r="38" ht="16" customHeight="1">
      <c r="A38" s="92" t="n">
        <v>34</v>
      </c>
      <c r="B38" s="93" t="inlineStr">
        <is>
          <t>Motilal Oswal Nifty India Manufacturing ETF</t>
        </is>
      </c>
      <c r="C38" s="93" t="inlineStr">
        <is>
          <t>Motilal Oswal Mutual Fund</t>
        </is>
      </c>
      <c r="D38" s="93" t="inlineStr">
        <is>
          <t>Index Fund</t>
        </is>
      </c>
      <c r="E38" s="94" t="n">
        <v>4.01</v>
      </c>
      <c r="F38" s="94" t="n">
        <v>6.35</v>
      </c>
      <c r="G38" s="94" t="n">
        <v>5.38</v>
      </c>
      <c r="H38" s="94" t="n">
        <v>17.12</v>
      </c>
      <c r="I38" s="94" t="n">
        <v>0</v>
      </c>
      <c r="J38" s="94" t="n">
        <v>0</v>
      </c>
      <c r="K38" s="24" t="n">
        <v>83.90000000000001</v>
      </c>
      <c r="L38" s="18" t="n">
        <v>0</v>
      </c>
      <c r="M38" s="19" t="n">
        <v>46.1</v>
      </c>
      <c r="N38" s="95" t="inlineStr">
        <is>
          <t>⭐ Strong</t>
        </is>
      </c>
      <c r="O38" s="95" t="inlineStr">
        <is>
          <t>⏳ New Fund</t>
        </is>
      </c>
      <c r="P38" s="95" t="inlineStr">
        <is>
          <t>🔥 Hot Momentum</t>
        </is>
      </c>
      <c r="Q38" s="96" t="inlineStr">
        <is>
          <t>MOMENTUM_ONLY</t>
        </is>
      </c>
    </row>
    <row r="39" ht="16" customHeight="1">
      <c r="A39" s="92" t="n">
        <v>35</v>
      </c>
      <c r="B39" s="93" t="inlineStr">
        <is>
          <t>Mirae Asset BSE India Defence ETF</t>
        </is>
      </c>
      <c r="C39" s="93" t="inlineStr">
        <is>
          <t>Mirae Asset Mutual Fund</t>
        </is>
      </c>
      <c r="D39" s="93" t="inlineStr">
        <is>
          <t>Index Fund</t>
        </is>
      </c>
      <c r="E39" s="94" t="n">
        <v>7.32</v>
      </c>
      <c r="F39" s="94" t="n">
        <v>13.03</v>
      </c>
      <c r="G39" s="94" t="n">
        <v>21.93</v>
      </c>
      <c r="H39" s="94" t="n">
        <v>0</v>
      </c>
      <c r="I39" s="94" t="n">
        <v>0</v>
      </c>
      <c r="J39" s="94" t="n">
        <v>0</v>
      </c>
      <c r="K39" s="24" t="n">
        <v>83</v>
      </c>
      <c r="L39" s="18" t="n">
        <v>0</v>
      </c>
      <c r="M39" s="19" t="n">
        <v>45.7</v>
      </c>
      <c r="N39" s="95" t="inlineStr">
        <is>
          <t>⭐ Strong</t>
        </is>
      </c>
      <c r="O39" s="95" t="inlineStr">
        <is>
          <t>⏳ New Fund</t>
        </is>
      </c>
      <c r="P39" s="95" t="inlineStr">
        <is>
          <t>🔥 Hot Momentum</t>
        </is>
      </c>
      <c r="Q39" s="96" t="inlineStr">
        <is>
          <t>MOMENTUM_ONLY</t>
        </is>
      </c>
    </row>
    <row r="40" ht="16" customHeight="1">
      <c r="A40" s="28" t="n">
        <v>36</v>
      </c>
      <c r="B40" s="29" t="inlineStr">
        <is>
          <t>ICICI Prudential Nifty PSU Bank ETF</t>
        </is>
      </c>
      <c r="C40" s="29" t="inlineStr">
        <is>
          <t>ICICI Prudential Mutual Fund</t>
        </is>
      </c>
      <c r="D40" s="29" t="inlineStr">
        <is>
          <t>Banking/Financial</t>
        </is>
      </c>
      <c r="E40" s="30" t="n">
        <v>2.79</v>
      </c>
      <c r="F40" s="30" t="n">
        <v>8.51</v>
      </c>
      <c r="G40" s="91" t="n">
        <v>-10.06</v>
      </c>
      <c r="H40" s="30" t="n">
        <v>23.05</v>
      </c>
      <c r="I40" s="30" t="n">
        <v>12.48999955551604</v>
      </c>
      <c r="J40" s="30" t="n">
        <v>89.12</v>
      </c>
      <c r="K40" s="17" t="n">
        <v>60.7</v>
      </c>
      <c r="L40" s="18" t="n">
        <v>25.6</v>
      </c>
      <c r="M40" s="19" t="n">
        <v>44.9</v>
      </c>
      <c r="N40" s="31" t="inlineStr">
        <is>
          <t>📈 Good</t>
        </is>
      </c>
      <c r="O40" s="31" t="inlineStr">
        <is>
          <t>⚠️ Below Avg</t>
        </is>
      </c>
      <c r="P40" s="31" t="inlineStr">
        <is>
          <t>⚠️ Watch</t>
        </is>
      </c>
      <c r="Q40" s="83" t="inlineStr">
        <is>
          <t>FULL</t>
        </is>
      </c>
    </row>
    <row r="41" ht="16" customHeight="1">
      <c r="A41" s="13" t="n">
        <v>37</v>
      </c>
      <c r="B41" s="14" t="inlineStr">
        <is>
          <t>ICICI Prudential Nifty Healthcare ETF</t>
        </is>
      </c>
      <c r="C41" s="14" t="inlineStr">
        <is>
          <t>ICICI Prudential Mutual Fund</t>
        </is>
      </c>
      <c r="D41" s="14" t="inlineStr">
        <is>
          <t>Pharma/Healthcare</t>
        </is>
      </c>
      <c r="E41" s="15" t="n">
        <v>1.16</v>
      </c>
      <c r="F41" s="15" t="n">
        <v>4.26</v>
      </c>
      <c r="G41" s="15" t="n">
        <v>13.08</v>
      </c>
      <c r="H41" s="15" t="n">
        <v>12.86</v>
      </c>
      <c r="I41" s="15" t="n">
        <v>9.366356801349095</v>
      </c>
      <c r="J41" s="15" t="n">
        <v>74.59</v>
      </c>
      <c r="K41" s="24" t="n">
        <v>79.59999999999999</v>
      </c>
      <c r="L41" s="18" t="n">
        <v>0</v>
      </c>
      <c r="M41" s="19" t="n">
        <v>43.8</v>
      </c>
      <c r="N41" s="20" t="inlineStr">
        <is>
          <t>⭐ Strong</t>
        </is>
      </c>
      <c r="O41" s="20" t="inlineStr">
        <is>
          <t>🔴 Not Qualified</t>
        </is>
      </c>
      <c r="P41" s="20" t="inlineStr">
        <is>
          <t>⚠️ Watch</t>
        </is>
      </c>
      <c r="Q41" s="83" t="inlineStr">
        <is>
          <t>FULL</t>
        </is>
      </c>
    </row>
    <row r="42" ht="16" customHeight="1">
      <c r="A42" s="92" t="n">
        <v>38</v>
      </c>
      <c r="B42" s="93" t="inlineStr">
        <is>
          <t>Mirae Asset Nifty India New Age Consumption ETF</t>
        </is>
      </c>
      <c r="C42" s="93" t="inlineStr">
        <is>
          <t>Mirae Asset Mutual Fund</t>
        </is>
      </c>
      <c r="D42" s="93" t="inlineStr">
        <is>
          <t>Index Fund</t>
        </is>
      </c>
      <c r="E42" s="94" t="n">
        <v>3.44</v>
      </c>
      <c r="F42" s="94" t="n">
        <v>12.49</v>
      </c>
      <c r="G42" s="94" t="n">
        <v>5.01</v>
      </c>
      <c r="H42" s="94" t="n">
        <v>4.43</v>
      </c>
      <c r="I42" s="94" t="n">
        <v>0</v>
      </c>
      <c r="J42" s="94" t="n">
        <v>0</v>
      </c>
      <c r="K42" s="24" t="n">
        <v>79.2</v>
      </c>
      <c r="L42" s="18" t="n">
        <v>0</v>
      </c>
      <c r="M42" s="19" t="n">
        <v>43.6</v>
      </c>
      <c r="N42" s="95" t="inlineStr">
        <is>
          <t>⭐ Strong</t>
        </is>
      </c>
      <c r="O42" s="95" t="inlineStr">
        <is>
          <t>⏳ New Fund</t>
        </is>
      </c>
      <c r="P42" s="95" t="inlineStr">
        <is>
          <t>📈 Momentum Only</t>
        </is>
      </c>
      <c r="Q42" s="96" t="inlineStr">
        <is>
          <t>MOMENTUM_ONLY</t>
        </is>
      </c>
    </row>
    <row r="43" ht="16" customHeight="1">
      <c r="A43" s="92" t="n">
        <v>39</v>
      </c>
      <c r="B43" s="93" t="inlineStr">
        <is>
          <t>Mirae Asset Nifty India Internet ETF</t>
        </is>
      </c>
      <c r="C43" s="93" t="inlineStr">
        <is>
          <t>Mirae Asset Mutual Fund</t>
        </is>
      </c>
      <c r="D43" s="93" t="inlineStr">
        <is>
          <t>Index Fund</t>
        </is>
      </c>
      <c r="E43" s="94" t="n">
        <v>5.48</v>
      </c>
      <c r="F43" s="94" t="n">
        <v>16.3</v>
      </c>
      <c r="G43" s="94" t="n">
        <v>10.7</v>
      </c>
      <c r="H43" s="97" t="n">
        <v>-0.57</v>
      </c>
      <c r="I43" s="94" t="n">
        <v>0</v>
      </c>
      <c r="J43" s="94" t="n">
        <v>0</v>
      </c>
      <c r="K43" s="24" t="n">
        <v>78.8</v>
      </c>
      <c r="L43" s="18" t="n">
        <v>0</v>
      </c>
      <c r="M43" s="19" t="n">
        <v>43.3</v>
      </c>
      <c r="N43" s="95" t="inlineStr">
        <is>
          <t>⭐ Strong</t>
        </is>
      </c>
      <c r="O43" s="95" t="inlineStr">
        <is>
          <t>⏳ New Fund</t>
        </is>
      </c>
      <c r="P43" s="95" t="inlineStr">
        <is>
          <t>📈 Momentum Only</t>
        </is>
      </c>
      <c r="Q43" s="96" t="inlineStr">
        <is>
          <t>MOMENTUM_ONLY</t>
        </is>
      </c>
    </row>
    <row r="44" ht="16" customHeight="1">
      <c r="A44" s="28" t="n">
        <v>40</v>
      </c>
      <c r="B44" s="29" t="inlineStr">
        <is>
          <t>Axis NIFTY Healthcare ETF</t>
        </is>
      </c>
      <c r="C44" s="29" t="inlineStr">
        <is>
          <t>Axis Mutual Fund</t>
        </is>
      </c>
      <c r="D44" s="29" t="inlineStr">
        <is>
          <t>Pharma/Healthcare</t>
        </is>
      </c>
      <c r="E44" s="30" t="n">
        <v>1.14</v>
      </c>
      <c r="F44" s="30" t="n">
        <v>4.2</v>
      </c>
      <c r="G44" s="30" t="n">
        <v>12.94</v>
      </c>
      <c r="H44" s="30" t="n">
        <v>12.58</v>
      </c>
      <c r="I44" s="30" t="n">
        <v>9.128364782030896</v>
      </c>
      <c r="J44" s="30" t="n">
        <v>73.45999999999999</v>
      </c>
      <c r="K44" s="24" t="n">
        <v>78.5</v>
      </c>
      <c r="L44" s="18" t="n">
        <v>0</v>
      </c>
      <c r="M44" s="19" t="n">
        <v>43.2</v>
      </c>
      <c r="N44" s="31" t="inlineStr">
        <is>
          <t>⭐ Strong</t>
        </is>
      </c>
      <c r="O44" s="31" t="inlineStr">
        <is>
          <t>🔴 Not Qualified</t>
        </is>
      </c>
      <c r="P44" s="31" t="inlineStr">
        <is>
          <t>⚠️ Watch</t>
        </is>
      </c>
      <c r="Q44" s="83" t="inlineStr">
        <is>
          <t>FULL</t>
        </is>
      </c>
    </row>
    <row r="45" ht="16" customHeight="1">
      <c r="A45" s="92" t="n">
        <v>41</v>
      </c>
      <c r="B45" s="93" t="inlineStr">
        <is>
          <t>Mirae Asset Nifty Metal ETF</t>
        </is>
      </c>
      <c r="C45" s="93" t="inlineStr">
        <is>
          <t>Mirae Asset Mutual Fund</t>
        </is>
      </c>
      <c r="D45" s="93" t="inlineStr">
        <is>
          <t>Commodities</t>
        </is>
      </c>
      <c r="E45" s="94" t="n">
        <v>4.7</v>
      </c>
      <c r="F45" s="97" t="n">
        <v>-0.73</v>
      </c>
      <c r="G45" s="94" t="n">
        <v>9.23</v>
      </c>
      <c r="H45" s="94" t="n">
        <v>42.11</v>
      </c>
      <c r="I45" s="94" t="n">
        <v>0</v>
      </c>
      <c r="J45" s="94" t="n">
        <v>0</v>
      </c>
      <c r="K45" s="24" t="n">
        <v>78.5</v>
      </c>
      <c r="L45" s="18" t="n">
        <v>0</v>
      </c>
      <c r="M45" s="19" t="n">
        <v>43.2</v>
      </c>
      <c r="N45" s="95" t="inlineStr">
        <is>
          <t>⭐ Strong</t>
        </is>
      </c>
      <c r="O45" s="95" t="inlineStr">
        <is>
          <t>⏳ New Fund</t>
        </is>
      </c>
      <c r="P45" s="95" t="inlineStr">
        <is>
          <t>📈 Momentum Only</t>
        </is>
      </c>
      <c r="Q45" s="96" t="inlineStr">
        <is>
          <t>MOMENTUM_ONLY</t>
        </is>
      </c>
    </row>
    <row r="46" ht="16" customHeight="1">
      <c r="A46" s="92" t="n">
        <v>42</v>
      </c>
      <c r="B46" s="93" t="inlineStr">
        <is>
          <t>ICICI Prudential Nifty Metal ETF</t>
        </is>
      </c>
      <c r="C46" s="93" t="inlineStr">
        <is>
          <t>ICICI Prudential Mutual Fund</t>
        </is>
      </c>
      <c r="D46" s="93" t="inlineStr">
        <is>
          <t>Commodities</t>
        </is>
      </c>
      <c r="E46" s="94" t="n">
        <v>4.69</v>
      </c>
      <c r="F46" s="97" t="n">
        <v>-0.98</v>
      </c>
      <c r="G46" s="94" t="n">
        <v>8.949999999999999</v>
      </c>
      <c r="H46" s="94" t="n">
        <v>41.72</v>
      </c>
      <c r="I46" s="94" t="n">
        <v>20.77251342917394</v>
      </c>
      <c r="J46" s="94" t="n">
        <v>0</v>
      </c>
      <c r="K46" s="24" t="n">
        <v>77.8</v>
      </c>
      <c r="L46" s="18" t="n">
        <v>0</v>
      </c>
      <c r="M46" s="19" t="n">
        <v>42.8</v>
      </c>
      <c r="N46" s="95" t="inlineStr">
        <is>
          <t>⭐ Strong</t>
        </is>
      </c>
      <c r="O46" s="95" t="inlineStr">
        <is>
          <t>⏳ New Fund</t>
        </is>
      </c>
      <c r="P46" s="95" t="inlineStr">
        <is>
          <t>📈 Momentum Only</t>
        </is>
      </c>
      <c r="Q46" s="96" t="inlineStr">
        <is>
          <t>MOMENTUM_ONLY</t>
        </is>
      </c>
    </row>
    <row r="47" ht="16" customHeight="1">
      <c r="A47" s="92" t="n">
        <v>43</v>
      </c>
      <c r="B47" s="93" t="inlineStr">
        <is>
          <t>Zerodha Nifty Midcap 150 ETF</t>
        </is>
      </c>
      <c r="C47" s="93" t="inlineStr">
        <is>
          <t>Zerodha Mutual Fund</t>
        </is>
      </c>
      <c r="D47" s="93" t="inlineStr">
        <is>
          <t>Index Fund</t>
        </is>
      </c>
      <c r="E47" s="94" t="n">
        <v>1.87</v>
      </c>
      <c r="F47" s="94" t="n">
        <v>4.86</v>
      </c>
      <c r="G47" s="94" t="n">
        <v>6.1</v>
      </c>
      <c r="H47" s="94" t="n">
        <v>12.42</v>
      </c>
      <c r="I47" s="94" t="n">
        <v>5.830052442583633</v>
      </c>
      <c r="J47" s="94" t="n">
        <v>0</v>
      </c>
      <c r="K47" s="24" t="n">
        <v>77.8</v>
      </c>
      <c r="L47" s="18" t="n">
        <v>0</v>
      </c>
      <c r="M47" s="19" t="n">
        <v>42.8</v>
      </c>
      <c r="N47" s="95" t="inlineStr">
        <is>
          <t>⭐ Strong</t>
        </is>
      </c>
      <c r="O47" s="95" t="inlineStr">
        <is>
          <t>⏳ New Fund</t>
        </is>
      </c>
      <c r="P47" s="95" t="inlineStr">
        <is>
          <t>📈 Momentum Only</t>
        </is>
      </c>
      <c r="Q47" s="96" t="inlineStr">
        <is>
          <t>MOMENTUM_ONLY</t>
        </is>
      </c>
    </row>
    <row r="48" ht="16" customHeight="1">
      <c r="A48" s="92" t="n">
        <v>44</v>
      </c>
      <c r="B48" s="93" t="inlineStr">
        <is>
          <t>Motilal Oswal Nifty 500 Momentum 50 ETF</t>
        </is>
      </c>
      <c r="C48" s="93" t="inlineStr">
        <is>
          <t>Motilal Oswal Mutual Fund</t>
        </is>
      </c>
      <c r="D48" s="93" t="inlineStr">
        <is>
          <t>Index Fund</t>
        </is>
      </c>
      <c r="E48" s="94" t="n">
        <v>4.11</v>
      </c>
      <c r="F48" s="94" t="n">
        <v>5.22</v>
      </c>
      <c r="G48" s="94" t="n">
        <v>3.91</v>
      </c>
      <c r="H48" s="94" t="n">
        <v>6.64</v>
      </c>
      <c r="I48" s="94" t="n">
        <v>0</v>
      </c>
      <c r="J48" s="94" t="n">
        <v>0</v>
      </c>
      <c r="K48" s="24" t="n">
        <v>77.8</v>
      </c>
      <c r="L48" s="18" t="n">
        <v>0</v>
      </c>
      <c r="M48" s="19" t="n">
        <v>42.8</v>
      </c>
      <c r="N48" s="95" t="inlineStr">
        <is>
          <t>⭐ Strong</t>
        </is>
      </c>
      <c r="O48" s="95" t="inlineStr">
        <is>
          <t>⏳ New Fund</t>
        </is>
      </c>
      <c r="P48" s="95" t="inlineStr">
        <is>
          <t>📈 Momentum Only</t>
        </is>
      </c>
      <c r="Q48" s="96" t="inlineStr">
        <is>
          <t>MOMENTUM_ONLY</t>
        </is>
      </c>
    </row>
    <row r="49" ht="16" customHeight="1">
      <c r="A49" s="13" t="n">
        <v>45</v>
      </c>
      <c r="B49" s="14" t="inlineStr">
        <is>
          <t>Motilal Oswal Nifty Midcap 100 ETF</t>
        </is>
      </c>
      <c r="C49" s="14" t="inlineStr">
        <is>
          <t>Motilal Oswal Mutual Fund</t>
        </is>
      </c>
      <c r="D49" s="14" t="inlineStr">
        <is>
          <t>Index Fund</t>
        </is>
      </c>
      <c r="E49" s="15" t="n">
        <v>1.87</v>
      </c>
      <c r="F49" s="15" t="n">
        <v>4.37</v>
      </c>
      <c r="G49" s="15" t="n">
        <v>5.82</v>
      </c>
      <c r="H49" s="15" t="n">
        <v>13</v>
      </c>
      <c r="I49" s="15" t="n">
        <v>5.484596031837752</v>
      </c>
      <c r="J49" s="15" t="n">
        <v>70.53</v>
      </c>
      <c r="K49" s="24" t="n">
        <v>77.59999999999999</v>
      </c>
      <c r="L49" s="18" t="n">
        <v>0</v>
      </c>
      <c r="M49" s="19" t="n">
        <v>42.7</v>
      </c>
      <c r="N49" s="20" t="inlineStr">
        <is>
          <t>⭐ Strong</t>
        </is>
      </c>
      <c r="O49" s="20" t="inlineStr">
        <is>
          <t>🔴 Not Qualified</t>
        </is>
      </c>
      <c r="P49" s="20" t="inlineStr">
        <is>
          <t>⚠️ Watch</t>
        </is>
      </c>
      <c r="Q49" s="83" t="inlineStr">
        <is>
          <t>FULL</t>
        </is>
      </c>
    </row>
    <row r="50" ht="16" customHeight="1">
      <c r="A50" s="92" t="n">
        <v>46</v>
      </c>
      <c r="B50" s="93" t="inlineStr">
        <is>
          <t>Mirae Asset Nifty MidSmallcap400 Momentum Quality 100 ETF</t>
        </is>
      </c>
      <c r="C50" s="93" t="inlineStr">
        <is>
          <t>Mirae Asset Mutual Fund</t>
        </is>
      </c>
      <c r="D50" s="93" t="inlineStr">
        <is>
          <t>Index Fund</t>
        </is>
      </c>
      <c r="E50" s="94" t="n">
        <v>3.61</v>
      </c>
      <c r="F50" s="94" t="n">
        <v>3.49</v>
      </c>
      <c r="G50" s="94" t="n">
        <v>9.48</v>
      </c>
      <c r="H50" s="94" t="n">
        <v>9.6</v>
      </c>
      <c r="I50" s="97" t="n">
        <v>-0.9343651915559525</v>
      </c>
      <c r="J50" s="94" t="n">
        <v>0</v>
      </c>
      <c r="K50" s="24" t="n">
        <v>77.5</v>
      </c>
      <c r="L50" s="18" t="n">
        <v>0</v>
      </c>
      <c r="M50" s="19" t="n">
        <v>42.6</v>
      </c>
      <c r="N50" s="95" t="inlineStr">
        <is>
          <t>⭐ Strong</t>
        </is>
      </c>
      <c r="O50" s="95" t="inlineStr">
        <is>
          <t>⏳ New Fund</t>
        </is>
      </c>
      <c r="P50" s="95" t="inlineStr">
        <is>
          <t>📈 Momentum Only</t>
        </is>
      </c>
      <c r="Q50" s="96" t="inlineStr">
        <is>
          <t>MOMENTUM_ONLY</t>
        </is>
      </c>
    </row>
    <row r="51" ht="16" customHeight="1">
      <c r="A51" s="92" t="n">
        <v>47</v>
      </c>
      <c r="B51" s="93" t="inlineStr">
        <is>
          <t>DSP BSE SENSEX Next 30 ETF</t>
        </is>
      </c>
      <c r="C51" s="93" t="inlineStr">
        <is>
          <t>DSP Mutual Fund</t>
        </is>
      </c>
      <c r="D51" s="93" t="inlineStr">
        <is>
          <t>Index Fund</t>
        </is>
      </c>
      <c r="E51" s="94" t="n">
        <v>3.39</v>
      </c>
      <c r="F51" s="94" t="n">
        <v>3.46</v>
      </c>
      <c r="G51" s="94" t="n">
        <v>4.61</v>
      </c>
      <c r="H51" s="94" t="n">
        <v>13.2</v>
      </c>
      <c r="I51" s="94" t="n">
        <v>0</v>
      </c>
      <c r="J51" s="94" t="n">
        <v>0</v>
      </c>
      <c r="K51" s="24" t="n">
        <v>77.3</v>
      </c>
      <c r="L51" s="18" t="n">
        <v>0</v>
      </c>
      <c r="M51" s="19" t="n">
        <v>42.5</v>
      </c>
      <c r="N51" s="95" t="inlineStr">
        <is>
          <t>⭐ Strong</t>
        </is>
      </c>
      <c r="O51" s="95" t="inlineStr">
        <is>
          <t>⏳ New Fund</t>
        </is>
      </c>
      <c r="P51" s="95" t="inlineStr">
        <is>
          <t>📈 Momentum Only</t>
        </is>
      </c>
      <c r="Q51" s="96" t="inlineStr">
        <is>
          <t>MOMENTUM_ONLY</t>
        </is>
      </c>
    </row>
    <row r="52" ht="16" customHeight="1">
      <c r="A52" s="92" t="n">
        <v>48</v>
      </c>
      <c r="B52" s="93" t="inlineStr">
        <is>
          <t>LIC MF Nifty Midcap 100 ETF</t>
        </is>
      </c>
      <c r="C52" s="93" t="inlineStr">
        <is>
          <t>LIC Mutual Fund</t>
        </is>
      </c>
      <c r="D52" s="93" t="inlineStr">
        <is>
          <t>Index Fund</t>
        </is>
      </c>
      <c r="E52" s="94" t="n">
        <v>1.86</v>
      </c>
      <c r="F52" s="94" t="n">
        <v>4.33</v>
      </c>
      <c r="G52" s="94" t="n">
        <v>5.75</v>
      </c>
      <c r="H52" s="94" t="n">
        <v>12.82</v>
      </c>
      <c r="I52" s="94" t="n">
        <v>5.304320899002057</v>
      </c>
      <c r="J52" s="94" t="n">
        <v>0</v>
      </c>
      <c r="K52" s="24" t="n">
        <v>77</v>
      </c>
      <c r="L52" s="18" t="n">
        <v>0</v>
      </c>
      <c r="M52" s="19" t="n">
        <v>42.3</v>
      </c>
      <c r="N52" s="95" t="inlineStr">
        <is>
          <t>⭐ Strong</t>
        </is>
      </c>
      <c r="O52" s="95" t="inlineStr">
        <is>
          <t>⏳ New Fund</t>
        </is>
      </c>
      <c r="P52" s="95" t="inlineStr">
        <is>
          <t>📈 Momentum Only</t>
        </is>
      </c>
      <c r="Q52" s="96" t="inlineStr">
        <is>
          <t>MOMENTUM_ONLY</t>
        </is>
      </c>
    </row>
    <row r="53" ht="16" customHeight="1">
      <c r="A53" s="13" t="n">
        <v>49</v>
      </c>
      <c r="B53" s="14" t="inlineStr">
        <is>
          <t>Mirae Asset Nifty Midcap 150 ETF</t>
        </is>
      </c>
      <c r="C53" s="14" t="inlineStr">
        <is>
          <t>Mirae Asset Mutual Fund</t>
        </is>
      </c>
      <c r="D53" s="14" t="inlineStr">
        <is>
          <t>Index Fund</t>
        </is>
      </c>
      <c r="E53" s="15" t="n">
        <v>1.83</v>
      </c>
      <c r="F53" s="15" t="n">
        <v>4.72</v>
      </c>
      <c r="G53" s="15" t="n">
        <v>5.77</v>
      </c>
      <c r="H53" s="15" t="n">
        <v>11.83</v>
      </c>
      <c r="I53" s="15" t="n">
        <v>5.304320899002057</v>
      </c>
      <c r="J53" s="15" t="n">
        <v>67.09</v>
      </c>
      <c r="K53" s="24" t="n">
        <v>76.40000000000001</v>
      </c>
      <c r="L53" s="18" t="n">
        <v>0</v>
      </c>
      <c r="M53" s="19" t="n">
        <v>42</v>
      </c>
      <c r="N53" s="20" t="inlineStr">
        <is>
          <t>⭐ Strong</t>
        </is>
      </c>
      <c r="O53" s="20" t="inlineStr">
        <is>
          <t>🔴 Not Qualified</t>
        </is>
      </c>
      <c r="P53" s="20" t="inlineStr">
        <is>
          <t>⚠️ Watch</t>
        </is>
      </c>
      <c r="Q53" s="83" t="inlineStr">
        <is>
          <t>FULL</t>
        </is>
      </c>
    </row>
    <row r="54" ht="16" customHeight="1">
      <c r="A54" s="92" t="n">
        <v>50</v>
      </c>
      <c r="B54" s="93" t="inlineStr">
        <is>
          <t>Zerodha Nifty Smallcap 100 ETF</t>
        </is>
      </c>
      <c r="C54" s="93" t="inlineStr">
        <is>
          <t>Zerodha Mutual Fund</t>
        </is>
      </c>
      <c r="D54" s="93" t="inlineStr">
        <is>
          <t>Index Fund</t>
        </is>
      </c>
      <c r="E54" s="94" t="n">
        <v>2.84</v>
      </c>
      <c r="F54" s="94" t="n">
        <v>11.29</v>
      </c>
      <c r="G54" s="94" t="n">
        <v>15.5</v>
      </c>
      <c r="H54" s="94" t="n">
        <v>0</v>
      </c>
      <c r="I54" s="94" t="n">
        <v>0</v>
      </c>
      <c r="J54" s="94" t="n">
        <v>0</v>
      </c>
      <c r="K54" s="24" t="n">
        <v>76.2</v>
      </c>
      <c r="L54" s="18" t="n">
        <v>0</v>
      </c>
      <c r="M54" s="19" t="n">
        <v>41.9</v>
      </c>
      <c r="N54" s="95" t="inlineStr">
        <is>
          <t>⭐ Strong</t>
        </is>
      </c>
      <c r="O54" s="95" t="inlineStr">
        <is>
          <t>⏳ New Fund</t>
        </is>
      </c>
      <c r="P54" s="95" t="inlineStr">
        <is>
          <t>📈 Momentum Only</t>
        </is>
      </c>
      <c r="Q54" s="96" t="inlineStr">
        <is>
          <t>MOMENTUM_ONLY</t>
        </is>
      </c>
    </row>
    <row r="55" ht="16" customHeight="1">
      <c r="A55" s="13" t="n">
        <v>51</v>
      </c>
      <c r="B55" s="14" t="inlineStr">
        <is>
          <t>Nippon India ETF Nifty PSU Bank BeES</t>
        </is>
      </c>
      <c r="C55" s="14" t="inlineStr">
        <is>
          <t>Nippon India Mutual Fund</t>
        </is>
      </c>
      <c r="D55" s="14" t="inlineStr">
        <is>
          <t>Banking/Financial</t>
        </is>
      </c>
      <c r="E55" s="15" t="n">
        <v>2.78</v>
      </c>
      <c r="F55" s="15" t="n">
        <v>8.49</v>
      </c>
      <c r="G55" s="16" t="n">
        <v>-10.1</v>
      </c>
      <c r="H55" s="15" t="n">
        <v>22.93</v>
      </c>
      <c r="I55" s="15" t="n">
        <v>12.37882362794158</v>
      </c>
      <c r="J55" s="15" t="n">
        <v>88.20999999999999</v>
      </c>
      <c r="K55" s="17" t="n">
        <v>60.3</v>
      </c>
      <c r="L55" s="18" t="n">
        <v>19.4</v>
      </c>
      <c r="M55" s="19" t="n">
        <v>41.9</v>
      </c>
      <c r="N55" s="20" t="inlineStr">
        <is>
          <t>📈 Good</t>
        </is>
      </c>
      <c r="O55" s="20" t="inlineStr">
        <is>
          <t>⚠️ Below Avg</t>
        </is>
      </c>
      <c r="P55" s="20" t="inlineStr">
        <is>
          <t>⚠️ Watch</t>
        </is>
      </c>
      <c r="Q55" s="83" t="inlineStr">
        <is>
          <t>FULL</t>
        </is>
      </c>
    </row>
    <row r="56" ht="16" customHeight="1">
      <c r="A56" s="28" t="n">
        <v>52</v>
      </c>
      <c r="B56" s="29" t="inlineStr">
        <is>
          <t>Nippon India ETF Hang Seng BeES</t>
        </is>
      </c>
      <c r="C56" s="29" t="inlineStr">
        <is>
          <t>Nippon India Mutual Fund</t>
        </is>
      </c>
      <c r="D56" s="29" t="inlineStr">
        <is>
          <t>International</t>
        </is>
      </c>
      <c r="E56" s="30" t="n">
        <v>3.01</v>
      </c>
      <c r="F56" s="91" t="n">
        <v>-1.24</v>
      </c>
      <c r="G56" s="30" t="n">
        <v>1.76</v>
      </c>
      <c r="H56" s="30" t="n">
        <v>11.15</v>
      </c>
      <c r="I56" s="30" t="n">
        <v>31.35828866120325</v>
      </c>
      <c r="J56" s="30" t="n">
        <v>76.06</v>
      </c>
      <c r="K56" s="17" t="n">
        <v>59.4</v>
      </c>
      <c r="L56" s="18" t="n">
        <v>20.3</v>
      </c>
      <c r="M56" s="19" t="n">
        <v>41.8</v>
      </c>
      <c r="N56" s="31" t="inlineStr">
        <is>
          <t>➡️ Neutral</t>
        </is>
      </c>
      <c r="O56" s="31" t="inlineStr">
        <is>
          <t>⚠️ Below Avg</t>
        </is>
      </c>
      <c r="P56" s="31" t="inlineStr">
        <is>
          <t>⚠️ Watch</t>
        </is>
      </c>
      <c r="Q56" s="83" t="inlineStr">
        <is>
          <t>FULL</t>
        </is>
      </c>
    </row>
    <row r="57" ht="16" customHeight="1">
      <c r="A57" s="13" t="n">
        <v>53</v>
      </c>
      <c r="B57" s="14" t="inlineStr">
        <is>
          <t>ICICI Prudential Nifty Midcap 150 ETF</t>
        </is>
      </c>
      <c r="C57" s="14" t="inlineStr">
        <is>
          <t>ICICI Prudential Mutual Fund</t>
        </is>
      </c>
      <c r="D57" s="14" t="inlineStr">
        <is>
          <t>Index Fund</t>
        </is>
      </c>
      <c r="E57" s="15" t="n">
        <v>1.82</v>
      </c>
      <c r="F57" s="15" t="n">
        <v>4.7</v>
      </c>
      <c r="G57" s="15" t="n">
        <v>5.74</v>
      </c>
      <c r="H57" s="15" t="n">
        <v>11.79</v>
      </c>
      <c r="I57" s="15" t="n">
        <v>5.252078364277435</v>
      </c>
      <c r="J57" s="16" t="n">
        <v>-83.31999999999999</v>
      </c>
      <c r="K57" s="24" t="n">
        <v>75.59999999999999</v>
      </c>
      <c r="L57" s="18" t="n">
        <v>0</v>
      </c>
      <c r="M57" s="19" t="n">
        <v>41.6</v>
      </c>
      <c r="N57" s="20" t="inlineStr">
        <is>
          <t>⭐ Strong</t>
        </is>
      </c>
      <c r="O57" s="20" t="inlineStr">
        <is>
          <t>🔴 Not Qualified</t>
        </is>
      </c>
      <c r="P57" s="20" t="inlineStr">
        <is>
          <t>⚠️ Watch</t>
        </is>
      </c>
      <c r="Q57" s="83" t="inlineStr">
        <is>
          <t>FULL</t>
        </is>
      </c>
    </row>
    <row r="58" ht="16" customHeight="1">
      <c r="A58" s="92" t="n">
        <v>54</v>
      </c>
      <c r="B58" s="93" t="inlineStr">
        <is>
          <t>Mirae Asset BSE Select IPO ETF</t>
        </is>
      </c>
      <c r="C58" s="93" t="inlineStr">
        <is>
          <t>Mirae Asset Mutual Fund</t>
        </is>
      </c>
      <c r="D58" s="93" t="inlineStr">
        <is>
          <t>Index Fund</t>
        </is>
      </c>
      <c r="E58" s="94" t="n">
        <v>3.5</v>
      </c>
      <c r="F58" s="94" t="n">
        <v>12.74</v>
      </c>
      <c r="G58" s="94" t="n">
        <v>9.85</v>
      </c>
      <c r="H58" s="97" t="n">
        <v>-0.6</v>
      </c>
      <c r="I58" s="94" t="n">
        <v>0</v>
      </c>
      <c r="J58" s="94" t="n">
        <v>0</v>
      </c>
      <c r="K58" s="24" t="n">
        <v>75.5</v>
      </c>
      <c r="L58" s="18" t="n">
        <v>0</v>
      </c>
      <c r="M58" s="19" t="n">
        <v>41.5</v>
      </c>
      <c r="N58" s="95" t="inlineStr">
        <is>
          <t>⭐ Strong</t>
        </is>
      </c>
      <c r="O58" s="95" t="inlineStr">
        <is>
          <t>⏳ New Fund</t>
        </is>
      </c>
      <c r="P58" s="95" t="inlineStr">
        <is>
          <t>📈 Momentum Only</t>
        </is>
      </c>
      <c r="Q58" s="96" t="inlineStr">
        <is>
          <t>MOMENTUM_ONLY</t>
        </is>
      </c>
    </row>
    <row r="59" ht="16" customHeight="1">
      <c r="A59" s="92" t="n">
        <v>55</v>
      </c>
      <c r="B59" s="93" t="inlineStr">
        <is>
          <t>Motilal Oswal BSE Select IPO ETF</t>
        </is>
      </c>
      <c r="C59" s="93" t="inlineStr">
        <is>
          <t>Motilal Oswal Mutual Fund</t>
        </is>
      </c>
      <c r="D59" s="93" t="inlineStr">
        <is>
          <t>Index Fund</t>
        </is>
      </c>
      <c r="E59" s="94" t="n">
        <v>3.48</v>
      </c>
      <c r="F59" s="94" t="n">
        <v>12.66</v>
      </c>
      <c r="G59" s="94" t="n">
        <v>9.75</v>
      </c>
      <c r="H59" s="94" t="n">
        <v>0</v>
      </c>
      <c r="I59" s="94" t="n">
        <v>0</v>
      </c>
      <c r="J59" s="94" t="n">
        <v>0</v>
      </c>
      <c r="K59" s="24" t="n">
        <v>75.3</v>
      </c>
      <c r="L59" s="18" t="n">
        <v>0</v>
      </c>
      <c r="M59" s="19" t="n">
        <v>41.4</v>
      </c>
      <c r="N59" s="95" t="inlineStr">
        <is>
          <t>⭐ Strong</t>
        </is>
      </c>
      <c r="O59" s="95" t="inlineStr">
        <is>
          <t>⏳ New Fund</t>
        </is>
      </c>
      <c r="P59" s="95" t="inlineStr">
        <is>
          <t>📈 Momentum Only</t>
        </is>
      </c>
      <c r="Q59" s="96" t="inlineStr">
        <is>
          <t>MOMENTUM_ONLY</t>
        </is>
      </c>
    </row>
    <row r="60" ht="16" customHeight="1">
      <c r="A60" s="28" t="n">
        <v>56</v>
      </c>
      <c r="B60" s="29" t="inlineStr">
        <is>
          <t>Nippon India ETF Nifty Midcap 150</t>
        </is>
      </c>
      <c r="C60" s="29" t="inlineStr">
        <is>
          <t>Nippon India Mutual Fund</t>
        </is>
      </c>
      <c r="D60" s="29" t="inlineStr">
        <is>
          <t>Index Fund</t>
        </is>
      </c>
      <c r="E60" s="30" t="n">
        <v>1.84</v>
      </c>
      <c r="F60" s="30" t="n">
        <v>4.68</v>
      </c>
      <c r="G60" s="30" t="n">
        <v>5.7</v>
      </c>
      <c r="H60" s="30" t="n">
        <v>11.69</v>
      </c>
      <c r="I60" s="30" t="n">
        <v>5.123736615476138</v>
      </c>
      <c r="J60" s="30" t="n">
        <v>66.45</v>
      </c>
      <c r="K60" s="24" t="n">
        <v>75.2</v>
      </c>
      <c r="L60" s="18" t="n">
        <v>0</v>
      </c>
      <c r="M60" s="19" t="n">
        <v>41.4</v>
      </c>
      <c r="N60" s="31" t="inlineStr">
        <is>
          <t>⭐ Strong</t>
        </is>
      </c>
      <c r="O60" s="31" t="inlineStr">
        <is>
          <t>🔴 Not Qualified</t>
        </is>
      </c>
      <c r="P60" s="31" t="inlineStr">
        <is>
          <t>⚠️ Watch</t>
        </is>
      </c>
      <c r="Q60" s="83" t="inlineStr">
        <is>
          <t>FULL</t>
        </is>
      </c>
    </row>
    <row r="61" ht="16" customHeight="1">
      <c r="A61" s="92" t="n">
        <v>57</v>
      </c>
      <c r="B61" s="93" t="inlineStr">
        <is>
          <t>Mirae Asset Nifty 200 Alpha 30 ETF</t>
        </is>
      </c>
      <c r="C61" s="93" t="inlineStr">
        <is>
          <t>Mirae Asset Mutual Fund</t>
        </is>
      </c>
      <c r="D61" s="93" t="inlineStr">
        <is>
          <t>Index Fund</t>
        </is>
      </c>
      <c r="E61" s="94" t="n">
        <v>3.37</v>
      </c>
      <c r="F61" s="94" t="n">
        <v>4.95</v>
      </c>
      <c r="G61" s="94" t="n">
        <v>3.69</v>
      </c>
      <c r="H61" s="94" t="n">
        <v>7.19</v>
      </c>
      <c r="I61" s="97" t="n">
        <v>-3.118629241737092</v>
      </c>
      <c r="J61" s="94" t="n">
        <v>0</v>
      </c>
      <c r="K61" s="24" t="n">
        <v>75</v>
      </c>
      <c r="L61" s="18" t="n">
        <v>0</v>
      </c>
      <c r="M61" s="19" t="n">
        <v>41.3</v>
      </c>
      <c r="N61" s="95" t="inlineStr">
        <is>
          <t>⭐ Strong</t>
        </is>
      </c>
      <c r="O61" s="95" t="inlineStr">
        <is>
          <t>⏳ New Fund</t>
        </is>
      </c>
      <c r="P61" s="95" t="inlineStr">
        <is>
          <t>📈 Momentum Only</t>
        </is>
      </c>
      <c r="Q61" s="96" t="inlineStr">
        <is>
          <t>MOMENTUM_ONLY</t>
        </is>
      </c>
    </row>
    <row r="62" ht="16" customHeight="1">
      <c r="A62" s="92" t="n">
        <v>58</v>
      </c>
      <c r="B62" s="93" t="inlineStr">
        <is>
          <t>Kotak Nifty Midcap 150 ETF</t>
        </is>
      </c>
      <c r="C62" s="93" t="inlineStr">
        <is>
          <t>Kotak Mahindra Mutual Fund</t>
        </is>
      </c>
      <c r="D62" s="93" t="inlineStr">
        <is>
          <t>Index Fund</t>
        </is>
      </c>
      <c r="E62" s="94" t="n">
        <v>1.82</v>
      </c>
      <c r="F62" s="94" t="n">
        <v>4.68</v>
      </c>
      <c r="G62" s="94" t="n">
        <v>5.71</v>
      </c>
      <c r="H62" s="94" t="n">
        <v>11.66</v>
      </c>
      <c r="I62" s="94" t="n">
        <v>0</v>
      </c>
      <c r="J62" s="94" t="n">
        <v>0</v>
      </c>
      <c r="K62" s="17" t="n">
        <v>74.8</v>
      </c>
      <c r="L62" s="18" t="n">
        <v>0</v>
      </c>
      <c r="M62" s="19" t="n">
        <v>41.2</v>
      </c>
      <c r="N62" s="95" t="inlineStr">
        <is>
          <t>📈 Good</t>
        </is>
      </c>
      <c r="O62" s="95" t="inlineStr">
        <is>
          <t>⏳ New Fund</t>
        </is>
      </c>
      <c r="P62" s="95" t="inlineStr">
        <is>
          <t>📈 Momentum Only</t>
        </is>
      </c>
      <c r="Q62" s="96" t="inlineStr">
        <is>
          <t>MOMENTUM_ONLY</t>
        </is>
      </c>
    </row>
    <row r="63" ht="16" customHeight="1">
      <c r="A63" s="13" t="n">
        <v>59</v>
      </c>
      <c r="B63" s="14" t="inlineStr">
        <is>
          <t>UTI - BSE Sensex Next 50 Exchange Traded Fund</t>
        </is>
      </c>
      <c r="C63" s="14" t="inlineStr">
        <is>
          <t>UTI Mutual Fund</t>
        </is>
      </c>
      <c r="D63" s="14" t="inlineStr">
        <is>
          <t>Index Fund</t>
        </is>
      </c>
      <c r="E63" s="15" t="n">
        <v>2.71</v>
      </c>
      <c r="F63" s="15" t="n">
        <v>7.34</v>
      </c>
      <c r="G63" s="15" t="n">
        <v>3.12</v>
      </c>
      <c r="H63" s="15" t="n">
        <v>9.460000000000001</v>
      </c>
      <c r="I63" s="15" t="n">
        <v>4.014422076940849</v>
      </c>
      <c r="J63" s="15" t="n">
        <v>68.93000000000001</v>
      </c>
      <c r="K63" s="17" t="n">
        <v>74.59999999999999</v>
      </c>
      <c r="L63" s="18" t="n">
        <v>0</v>
      </c>
      <c r="M63" s="19" t="n">
        <v>41</v>
      </c>
      <c r="N63" s="20" t="inlineStr">
        <is>
          <t>📈 Good</t>
        </is>
      </c>
      <c r="O63" s="20" t="inlineStr">
        <is>
          <t>🔴 Not Qualified</t>
        </is>
      </c>
      <c r="P63" s="20" t="inlineStr">
        <is>
          <t>⚠️ Watch</t>
        </is>
      </c>
      <c r="Q63" s="83" t="inlineStr">
        <is>
          <t>FULL</t>
        </is>
      </c>
    </row>
    <row r="64" ht="16" customHeight="1">
      <c r="A64" s="92" t="n">
        <v>60</v>
      </c>
      <c r="B64" s="93" t="inlineStr">
        <is>
          <t>UTI Nifty Midcap 150 Exchange Traded Fund</t>
        </is>
      </c>
      <c r="C64" s="93" t="inlineStr">
        <is>
          <t>UTI Mutual Fund</t>
        </is>
      </c>
      <c r="D64" s="93" t="inlineStr">
        <is>
          <t>Index Fund</t>
        </is>
      </c>
      <c r="E64" s="94" t="n">
        <v>1.82</v>
      </c>
      <c r="F64" s="94" t="n">
        <v>4.68</v>
      </c>
      <c r="G64" s="94" t="n">
        <v>5.67</v>
      </c>
      <c r="H64" s="94" t="n">
        <v>11.63</v>
      </c>
      <c r="I64" s="94" t="n">
        <v>5.166534601079253</v>
      </c>
      <c r="J64" s="94" t="n">
        <v>0</v>
      </c>
      <c r="K64" s="17" t="n">
        <v>74.5</v>
      </c>
      <c r="L64" s="18" t="n">
        <v>0</v>
      </c>
      <c r="M64" s="19" t="n">
        <v>41</v>
      </c>
      <c r="N64" s="95" t="inlineStr">
        <is>
          <t>📈 Good</t>
        </is>
      </c>
      <c r="O64" s="95" t="inlineStr">
        <is>
          <t>⏳ New Fund</t>
        </is>
      </c>
      <c r="P64" s="95" t="inlineStr">
        <is>
          <t>📈 Momentum Only</t>
        </is>
      </c>
      <c r="Q64" s="96" t="inlineStr">
        <is>
          <t>MOMENTUM_ONLY</t>
        </is>
      </c>
    </row>
    <row r="65" ht="16" customHeight="1">
      <c r="A65" s="13" t="n">
        <v>61</v>
      </c>
      <c r="B65" s="14" t="inlineStr">
        <is>
          <t>SBI BSE Sensex Next 50 ETF</t>
        </is>
      </c>
      <c r="C65" s="14" t="inlineStr">
        <is>
          <t>SBI Mutual Fund</t>
        </is>
      </c>
      <c r="D65" s="14" t="inlineStr">
        <is>
          <t>Index Fund</t>
        </is>
      </c>
      <c r="E65" s="15" t="n">
        <v>2.7</v>
      </c>
      <c r="F65" s="15" t="n">
        <v>7.34</v>
      </c>
      <c r="G65" s="15" t="n">
        <v>3.1</v>
      </c>
      <c r="H65" s="15" t="n">
        <v>9.43</v>
      </c>
      <c r="I65" s="15" t="n">
        <v>3.9759587597056</v>
      </c>
      <c r="J65" s="15" t="n">
        <v>68.75</v>
      </c>
      <c r="K65" s="17" t="n">
        <v>74.2</v>
      </c>
      <c r="L65" s="18" t="n">
        <v>0</v>
      </c>
      <c r="M65" s="19" t="n">
        <v>40.8</v>
      </c>
      <c r="N65" s="20" t="inlineStr">
        <is>
          <t>📈 Good</t>
        </is>
      </c>
      <c r="O65" s="20" t="inlineStr">
        <is>
          <t>🔴 Not Qualified</t>
        </is>
      </c>
      <c r="P65" s="20" t="inlineStr">
        <is>
          <t>⚠️ Watch</t>
        </is>
      </c>
      <c r="Q65" s="83" t="inlineStr">
        <is>
          <t>FULL</t>
        </is>
      </c>
    </row>
    <row r="66" ht="16" customHeight="1">
      <c r="A66" s="28" t="n">
        <v>62</v>
      </c>
      <c r="B66" s="29" t="inlineStr">
        <is>
          <t>HDFC NIFTY Midcap 150 ETF - Growth Option</t>
        </is>
      </c>
      <c r="C66" s="29" t="inlineStr">
        <is>
          <t>HDFC Mutual Fund</t>
        </is>
      </c>
      <c r="D66" s="29" t="inlineStr">
        <is>
          <t>Index Fund</t>
        </is>
      </c>
      <c r="E66" s="30" t="n">
        <v>1.81</v>
      </c>
      <c r="F66" s="30" t="n">
        <v>4.66</v>
      </c>
      <c r="G66" s="30" t="n">
        <v>5.64</v>
      </c>
      <c r="H66" s="30" t="n">
        <v>11.6</v>
      </c>
      <c r="I66" s="30" t="n">
        <v>5.133248784578126</v>
      </c>
      <c r="J66" s="91" t="n">
        <v>-83.37</v>
      </c>
      <c r="K66" s="17" t="n">
        <v>74.09999999999999</v>
      </c>
      <c r="L66" s="18" t="n">
        <v>0</v>
      </c>
      <c r="M66" s="19" t="n">
        <v>40.8</v>
      </c>
      <c r="N66" s="31" t="inlineStr">
        <is>
          <t>📈 Good</t>
        </is>
      </c>
      <c r="O66" s="31" t="inlineStr">
        <is>
          <t>🔴 Not Qualified</t>
        </is>
      </c>
      <c r="P66" s="31" t="inlineStr">
        <is>
          <t>⚠️ Watch</t>
        </is>
      </c>
      <c r="Q66" s="83" t="inlineStr">
        <is>
          <t>FULL</t>
        </is>
      </c>
    </row>
    <row r="67" ht="16" customHeight="1">
      <c r="A67" s="92" t="n">
        <v>63</v>
      </c>
      <c r="B67" s="93" t="inlineStr">
        <is>
          <t>DSP Nifty Smallcap 250 ETF</t>
        </is>
      </c>
      <c r="C67" s="93" t="inlineStr">
        <is>
          <t>DSP Mutual Fund</t>
        </is>
      </c>
      <c r="D67" s="93" t="inlineStr">
        <is>
          <t>Index Fund</t>
        </is>
      </c>
      <c r="E67" s="94" t="n">
        <v>2.05</v>
      </c>
      <c r="F67" s="94" t="n">
        <v>10.52</v>
      </c>
      <c r="G67" s="94" t="n">
        <v>14.08</v>
      </c>
      <c r="H67" s="94" t="n">
        <v>0</v>
      </c>
      <c r="I67" s="94" t="n">
        <v>0</v>
      </c>
      <c r="J67" s="94" t="n">
        <v>0</v>
      </c>
      <c r="K67" s="17" t="n">
        <v>73.7</v>
      </c>
      <c r="L67" s="18" t="n">
        <v>0</v>
      </c>
      <c r="M67" s="19" t="n">
        <v>40.5</v>
      </c>
      <c r="N67" s="95" t="inlineStr">
        <is>
          <t>📈 Good</t>
        </is>
      </c>
      <c r="O67" s="95" t="inlineStr">
        <is>
          <t>⏳ New Fund</t>
        </is>
      </c>
      <c r="P67" s="95" t="inlineStr">
        <is>
          <t>📈 Momentum Only</t>
        </is>
      </c>
      <c r="Q67" s="96" t="inlineStr">
        <is>
          <t>MOMENTUM_ONLY</t>
        </is>
      </c>
    </row>
    <row r="68" ht="16" customHeight="1">
      <c r="A68" s="28" t="n">
        <v>64</v>
      </c>
      <c r="B68" s="29" t="inlineStr">
        <is>
          <t>Nippon India ETF BSE Sensex Next 50</t>
        </is>
      </c>
      <c r="C68" s="29" t="inlineStr">
        <is>
          <t>Nippon India Mutual Fund</t>
        </is>
      </c>
      <c r="D68" s="29" t="inlineStr">
        <is>
          <t>Index Fund</t>
        </is>
      </c>
      <c r="E68" s="30" t="n">
        <v>2.69</v>
      </c>
      <c r="F68" s="30" t="n">
        <v>7.31</v>
      </c>
      <c r="G68" s="30" t="n">
        <v>3.06</v>
      </c>
      <c r="H68" s="30" t="n">
        <v>9.33</v>
      </c>
      <c r="I68" s="30" t="n">
        <v>3.884551305764417</v>
      </c>
      <c r="J68" s="30" t="n">
        <v>68.12</v>
      </c>
      <c r="K68" s="17" t="n">
        <v>73.59999999999999</v>
      </c>
      <c r="L68" s="18" t="n">
        <v>0</v>
      </c>
      <c r="M68" s="19" t="n">
        <v>40.5</v>
      </c>
      <c r="N68" s="31" t="inlineStr">
        <is>
          <t>📈 Good</t>
        </is>
      </c>
      <c r="O68" s="31" t="inlineStr">
        <is>
          <t>🔴 Not Qualified</t>
        </is>
      </c>
      <c r="P68" s="31" t="inlineStr">
        <is>
          <t>⚠️ Watch</t>
        </is>
      </c>
      <c r="Q68" s="83" t="inlineStr">
        <is>
          <t>FULL</t>
        </is>
      </c>
    </row>
    <row r="69" ht="16" customHeight="1">
      <c r="A69" s="92" t="n">
        <v>65</v>
      </c>
      <c r="B69" s="93" t="inlineStr">
        <is>
          <t>Mirae Asset Nifty Smallcap 250 ETF</t>
        </is>
      </c>
      <c r="C69" s="93" t="inlineStr">
        <is>
          <t>Mirae Asset Mutual Fund</t>
        </is>
      </c>
      <c r="D69" s="93" t="inlineStr">
        <is>
          <t>Index Fund</t>
        </is>
      </c>
      <c r="E69" s="94" t="n">
        <v>2.05</v>
      </c>
      <c r="F69" s="94" t="n">
        <v>10.35</v>
      </c>
      <c r="G69" s="94" t="n">
        <v>13.73</v>
      </c>
      <c r="H69" s="94" t="n">
        <v>0</v>
      </c>
      <c r="I69" s="94" t="n">
        <v>0</v>
      </c>
      <c r="J69" s="94" t="n">
        <v>0</v>
      </c>
      <c r="K69" s="17" t="n">
        <v>73.5</v>
      </c>
      <c r="L69" s="18" t="n">
        <v>0</v>
      </c>
      <c r="M69" s="19" t="n">
        <v>40.4</v>
      </c>
      <c r="N69" s="95" t="inlineStr">
        <is>
          <t>📈 Good</t>
        </is>
      </c>
      <c r="O69" s="95" t="inlineStr">
        <is>
          <t>⏳ New Fund</t>
        </is>
      </c>
      <c r="P69" s="95" t="inlineStr">
        <is>
          <t>📈 Momentum Only</t>
        </is>
      </c>
      <c r="Q69" s="96" t="inlineStr">
        <is>
          <t>MOMENTUM_ONLY</t>
        </is>
      </c>
    </row>
    <row r="70" ht="16" customHeight="1">
      <c r="A70" s="92" t="n">
        <v>66</v>
      </c>
      <c r="B70" s="93" t="inlineStr">
        <is>
          <t>Nippon India BSE Sensex Next 30 ETF</t>
        </is>
      </c>
      <c r="C70" s="93" t="inlineStr">
        <is>
          <t>Nippon India Mutual Fund</t>
        </is>
      </c>
      <c r="D70" s="93" t="inlineStr">
        <is>
          <t>Index Fund</t>
        </is>
      </c>
      <c r="E70" s="94" t="n">
        <v>3.39</v>
      </c>
      <c r="F70" s="94" t="n">
        <v>3.36</v>
      </c>
      <c r="G70" s="94" t="n">
        <v>4.54</v>
      </c>
      <c r="H70" s="94" t="n">
        <v>13.15</v>
      </c>
      <c r="I70" s="94" t="n">
        <v>0</v>
      </c>
      <c r="J70" s="94" t="n">
        <v>0</v>
      </c>
      <c r="K70" s="17" t="n">
        <v>73.40000000000001</v>
      </c>
      <c r="L70" s="18" t="n">
        <v>0</v>
      </c>
      <c r="M70" s="19" t="n">
        <v>40.4</v>
      </c>
      <c r="N70" s="95" t="inlineStr">
        <is>
          <t>📈 Good</t>
        </is>
      </c>
      <c r="O70" s="95" t="inlineStr">
        <is>
          <t>⏳ New Fund</t>
        </is>
      </c>
      <c r="P70" s="95" t="inlineStr">
        <is>
          <t>📈 Momentum Only</t>
        </is>
      </c>
      <c r="Q70" s="96" t="inlineStr">
        <is>
          <t>MOMENTUM_ONLY</t>
        </is>
      </c>
    </row>
    <row r="71" ht="16" customHeight="1">
      <c r="A71" s="13" t="n">
        <v>67</v>
      </c>
      <c r="B71" s="14" t="inlineStr">
        <is>
          <t>ICICI Prudential Nifty Financial Services Ex-BaNk ETF</t>
        </is>
      </c>
      <c r="C71" s="14" t="inlineStr">
        <is>
          <t>ICICI Prudential Mutual Fund</t>
        </is>
      </c>
      <c r="D71" s="14" t="inlineStr">
        <is>
          <t>Banking/Financial</t>
        </is>
      </c>
      <c r="E71" s="15" t="n">
        <v>1.78</v>
      </c>
      <c r="F71" s="15" t="n">
        <v>3.53</v>
      </c>
      <c r="G71" s="15" t="n">
        <v>1.23</v>
      </c>
      <c r="H71" s="15" t="n">
        <v>11.48</v>
      </c>
      <c r="I71" s="15" t="n">
        <v>14.45523142259597</v>
      </c>
      <c r="J71" s="15" t="n">
        <v>74.48</v>
      </c>
      <c r="K71" s="17" t="n">
        <v>61.5</v>
      </c>
      <c r="L71" s="18" t="n">
        <v>13.4</v>
      </c>
      <c r="M71" s="19" t="n">
        <v>39.8</v>
      </c>
      <c r="N71" s="20" t="inlineStr">
        <is>
          <t>📈 Good</t>
        </is>
      </c>
      <c r="O71" s="20" t="inlineStr">
        <is>
          <t>⚠️ Below Avg</t>
        </is>
      </c>
      <c r="P71" s="20" t="inlineStr">
        <is>
          <t>🔴 Avoid</t>
        </is>
      </c>
      <c r="Q71" s="83" t="inlineStr">
        <is>
          <t>FULL</t>
        </is>
      </c>
    </row>
    <row r="72" ht="16" customHeight="1">
      <c r="A72" s="92" t="n">
        <v>68</v>
      </c>
      <c r="B72" s="93" t="inlineStr">
        <is>
          <t>Kotak Nifty Next 50 ETF</t>
        </is>
      </c>
      <c r="C72" s="93" t="inlineStr">
        <is>
          <t>Kotak Mahindra Mutual Fund</t>
        </is>
      </c>
      <c r="D72" s="93" t="inlineStr">
        <is>
          <t>Index Fund</t>
        </is>
      </c>
      <c r="E72" s="94" t="n">
        <v>3.69</v>
      </c>
      <c r="F72" s="94" t="n">
        <v>8.01</v>
      </c>
      <c r="G72" s="94" t="n">
        <v>6.25</v>
      </c>
      <c r="H72" s="94" t="n">
        <v>0</v>
      </c>
      <c r="I72" s="94" t="n">
        <v>0</v>
      </c>
      <c r="J72" s="94" t="n">
        <v>0</v>
      </c>
      <c r="K72" s="17" t="n">
        <v>72.2</v>
      </c>
      <c r="L72" s="18" t="n">
        <v>0</v>
      </c>
      <c r="M72" s="19" t="n">
        <v>39.7</v>
      </c>
      <c r="N72" s="95" t="inlineStr">
        <is>
          <t>📈 Good</t>
        </is>
      </c>
      <c r="O72" s="95" t="inlineStr">
        <is>
          <t>⏳ New Fund</t>
        </is>
      </c>
      <c r="P72" s="95" t="inlineStr">
        <is>
          <t>📈 Momentum Only</t>
        </is>
      </c>
      <c r="Q72" s="96" t="inlineStr">
        <is>
          <t>MOMENTUM_ONLY</t>
        </is>
      </c>
    </row>
    <row r="73" ht="16" customHeight="1">
      <c r="A73" s="92" t="n">
        <v>69</v>
      </c>
      <c r="B73" s="93" t="inlineStr">
        <is>
          <t>DSP Nifty Next 50 ETF</t>
        </is>
      </c>
      <c r="C73" s="93" t="inlineStr">
        <is>
          <t>DSP Mutual Fund</t>
        </is>
      </c>
      <c r="D73" s="93" t="inlineStr">
        <is>
          <t>Index Fund</t>
        </is>
      </c>
      <c r="E73" s="94" t="n">
        <v>3.67</v>
      </c>
      <c r="F73" s="94" t="n">
        <v>8.06</v>
      </c>
      <c r="G73" s="94" t="n">
        <v>6.23</v>
      </c>
      <c r="H73" s="94" t="n">
        <v>0</v>
      </c>
      <c r="I73" s="94" t="n">
        <v>0</v>
      </c>
      <c r="J73" s="94" t="n">
        <v>0</v>
      </c>
      <c r="K73" s="17" t="n">
        <v>71.7</v>
      </c>
      <c r="L73" s="18" t="n">
        <v>0</v>
      </c>
      <c r="M73" s="19" t="n">
        <v>39.5</v>
      </c>
      <c r="N73" s="95" t="inlineStr">
        <is>
          <t>📈 Good</t>
        </is>
      </c>
      <c r="O73" s="95" t="inlineStr">
        <is>
          <t>⏳ New Fund</t>
        </is>
      </c>
      <c r="P73" s="95" t="inlineStr">
        <is>
          <t>📈 Momentum Only</t>
        </is>
      </c>
      <c r="Q73" s="96" t="inlineStr">
        <is>
          <t>MOMENTUM_ONLY</t>
        </is>
      </c>
    </row>
    <row r="74" ht="16" customHeight="1">
      <c r="A74" s="92" t="n">
        <v>70</v>
      </c>
      <c r="B74" s="93" t="inlineStr">
        <is>
          <t>Kotak Nifty 100 Equal Weight ETF</t>
        </is>
      </c>
      <c r="C74" s="93" t="inlineStr">
        <is>
          <t>Kotak Mahindra Mutual Fund</t>
        </is>
      </c>
      <c r="D74" s="93" t="inlineStr">
        <is>
          <t>Index Fund</t>
        </is>
      </c>
      <c r="E74" s="94" t="n">
        <v>2</v>
      </c>
      <c r="F74" s="94" t="n">
        <v>5.54</v>
      </c>
      <c r="G74" s="94" t="n">
        <v>2.86</v>
      </c>
      <c r="H74" s="94" t="n">
        <v>9.74</v>
      </c>
      <c r="I74" s="94" t="n">
        <v>0</v>
      </c>
      <c r="J74" s="94" t="n">
        <v>0</v>
      </c>
      <c r="K74" s="17" t="n">
        <v>70.8</v>
      </c>
      <c r="L74" s="18" t="n">
        <v>0</v>
      </c>
      <c r="M74" s="19" t="n">
        <v>38.9</v>
      </c>
      <c r="N74" s="95" t="inlineStr">
        <is>
          <t>📈 Good</t>
        </is>
      </c>
      <c r="O74" s="95" t="inlineStr">
        <is>
          <t>⏳ New Fund</t>
        </is>
      </c>
      <c r="P74" s="95" t="inlineStr">
        <is>
          <t>📈 Momentum Only</t>
        </is>
      </c>
      <c r="Q74" s="96" t="inlineStr">
        <is>
          <t>MOMENTUM_ONLY</t>
        </is>
      </c>
    </row>
    <row r="75" ht="16" customHeight="1">
      <c r="A75" s="92" t="n">
        <v>71</v>
      </c>
      <c r="B75" s="93" t="inlineStr">
        <is>
          <t>Mirae Asset Nifty 500 Healthcare ETF</t>
        </is>
      </c>
      <c r="C75" s="93" t="inlineStr">
        <is>
          <t>Mirae Asset Mutual Fund</t>
        </is>
      </c>
      <c r="D75" s="93" t="inlineStr">
        <is>
          <t>Pharma/Healthcare</t>
        </is>
      </c>
      <c r="E75" s="94" t="n">
        <v>2.1</v>
      </c>
      <c r="F75" s="94" t="n">
        <v>6.35</v>
      </c>
      <c r="G75" s="94" t="n">
        <v>16.36</v>
      </c>
      <c r="H75" s="94" t="n">
        <v>0</v>
      </c>
      <c r="I75" s="94" t="n">
        <v>0</v>
      </c>
      <c r="J75" s="94" t="n">
        <v>0</v>
      </c>
      <c r="K75" s="17" t="n">
        <v>70.40000000000001</v>
      </c>
      <c r="L75" s="18" t="n">
        <v>0</v>
      </c>
      <c r="M75" s="19" t="n">
        <v>38.7</v>
      </c>
      <c r="N75" s="95" t="inlineStr">
        <is>
          <t>📈 Good</t>
        </is>
      </c>
      <c r="O75" s="95" t="inlineStr">
        <is>
          <t>⏳ New Fund</t>
        </is>
      </c>
      <c r="P75" s="95" t="inlineStr">
        <is>
          <t>📈 Momentum Only</t>
        </is>
      </c>
      <c r="Q75" s="96" t="inlineStr">
        <is>
          <t>MOMENTUM_ONLY</t>
        </is>
      </c>
    </row>
    <row r="76" ht="16" customHeight="1">
      <c r="A76" s="92" t="n">
        <v>72</v>
      </c>
      <c r="B76" s="93" t="inlineStr">
        <is>
          <t>Mirae Asset BSE 200 Equal Weight ETF</t>
        </is>
      </c>
      <c r="C76" s="93" t="inlineStr">
        <is>
          <t>Mirae Asset Mutual Fund</t>
        </is>
      </c>
      <c r="D76" s="93" t="inlineStr">
        <is>
          <t>Index Fund</t>
        </is>
      </c>
      <c r="E76" s="94" t="n">
        <v>1.58</v>
      </c>
      <c r="F76" s="94" t="n">
        <v>5.21</v>
      </c>
      <c r="G76" s="94" t="n">
        <v>3.29</v>
      </c>
      <c r="H76" s="94" t="n">
        <v>10.05</v>
      </c>
      <c r="I76" s="94" t="n">
        <v>0</v>
      </c>
      <c r="J76" s="94" t="n">
        <v>0</v>
      </c>
      <c r="K76" s="17" t="n">
        <v>70</v>
      </c>
      <c r="L76" s="18" t="n">
        <v>0</v>
      </c>
      <c r="M76" s="19" t="n">
        <v>38.5</v>
      </c>
      <c r="N76" s="95" t="inlineStr">
        <is>
          <t>📈 Good</t>
        </is>
      </c>
      <c r="O76" s="95" t="inlineStr">
        <is>
          <t>⏳ New Fund</t>
        </is>
      </c>
      <c r="P76" s="95" t="inlineStr">
        <is>
          <t>📈 Momentum Only</t>
        </is>
      </c>
      <c r="Q76" s="96" t="inlineStr">
        <is>
          <t>MOMENTUM_ONLY</t>
        </is>
      </c>
    </row>
    <row r="77" ht="16" customHeight="1">
      <c r="A77" s="92" t="n">
        <v>73</v>
      </c>
      <c r="B77" s="93" t="inlineStr">
        <is>
          <t>Motilal Oswal Nifty MNC ETF</t>
        </is>
      </c>
      <c r="C77" s="93" t="inlineStr">
        <is>
          <t>Motilal Oswal Mutual Fund</t>
        </is>
      </c>
      <c r="D77" s="93" t="inlineStr">
        <is>
          <t>Index Fund</t>
        </is>
      </c>
      <c r="E77" s="94" t="n">
        <v>2.87</v>
      </c>
      <c r="F77" s="94" t="n">
        <v>5.73</v>
      </c>
      <c r="G77" s="94" t="n">
        <v>6.91</v>
      </c>
      <c r="H77" s="94" t="n">
        <v>0</v>
      </c>
      <c r="I77" s="94" t="n">
        <v>0</v>
      </c>
      <c r="J77" s="94" t="n">
        <v>0</v>
      </c>
      <c r="K77" s="17" t="n">
        <v>69.3</v>
      </c>
      <c r="L77" s="18" t="n">
        <v>0</v>
      </c>
      <c r="M77" s="19" t="n">
        <v>38.1</v>
      </c>
      <c r="N77" s="95" t="inlineStr">
        <is>
          <t>📈 Good</t>
        </is>
      </c>
      <c r="O77" s="95" t="inlineStr">
        <is>
          <t>⏳ New Fund</t>
        </is>
      </c>
      <c r="P77" s="95" t="inlineStr">
        <is>
          <t>📈 Momentum Only</t>
        </is>
      </c>
      <c r="Q77" s="96" t="inlineStr">
        <is>
          <t>MOMENTUM_ONLY</t>
        </is>
      </c>
    </row>
    <row r="78" ht="16" customHeight="1">
      <c r="A78" s="92" t="n">
        <v>74</v>
      </c>
      <c r="B78" s="93" t="inlineStr">
        <is>
          <t>Zerodha Silver ETF</t>
        </is>
      </c>
      <c r="C78" s="93" t="inlineStr">
        <is>
          <t>Zerodha Mutual Fund</t>
        </is>
      </c>
      <c r="D78" s="93" t="inlineStr">
        <is>
          <t>Silver</t>
        </is>
      </c>
      <c r="E78" s="94" t="n">
        <v>9.24</v>
      </c>
      <c r="F78" s="97" t="n">
        <v>-12.16</v>
      </c>
      <c r="G78" s="97" t="n">
        <v>-0.97</v>
      </c>
      <c r="H78" s="94" t="n">
        <v>101.69</v>
      </c>
      <c r="I78" s="94" t="n">
        <v>0</v>
      </c>
      <c r="J78" s="94" t="n">
        <v>0</v>
      </c>
      <c r="K78" s="17" t="n">
        <v>69</v>
      </c>
      <c r="L78" s="18" t="n">
        <v>0</v>
      </c>
      <c r="M78" s="19" t="n">
        <v>38</v>
      </c>
      <c r="N78" s="95" t="inlineStr">
        <is>
          <t>📈 Good</t>
        </is>
      </c>
      <c r="O78" s="95" t="inlineStr">
        <is>
          <t>⏳ New Fund</t>
        </is>
      </c>
      <c r="P78" s="95" t="inlineStr">
        <is>
          <t>📈 Momentum Only</t>
        </is>
      </c>
      <c r="Q78" s="96" t="inlineStr">
        <is>
          <t>MOMENTUM_ONLY</t>
        </is>
      </c>
    </row>
    <row r="79" ht="16" customHeight="1">
      <c r="A79" s="92" t="n">
        <v>75</v>
      </c>
      <c r="B79" s="93" t="inlineStr">
        <is>
          <t>Nippon India Nifty India Manufacturing ETF</t>
        </is>
      </c>
      <c r="C79" s="93" t="inlineStr">
        <is>
          <t>Nippon India Mutual Fund</t>
        </is>
      </c>
      <c r="D79" s="93" t="inlineStr">
        <is>
          <t>Index Fund</t>
        </is>
      </c>
      <c r="E79" s="94" t="n">
        <v>4.06</v>
      </c>
      <c r="F79" s="94" t="n">
        <v>6.48</v>
      </c>
      <c r="G79" s="94" t="n">
        <v>5.58</v>
      </c>
      <c r="H79" s="94" t="n">
        <v>0</v>
      </c>
      <c r="I79" s="94" t="n">
        <v>0</v>
      </c>
      <c r="J79" s="94" t="n">
        <v>0</v>
      </c>
      <c r="K79" s="17" t="n">
        <v>69</v>
      </c>
      <c r="L79" s="18" t="n">
        <v>0</v>
      </c>
      <c r="M79" s="19" t="n">
        <v>38</v>
      </c>
      <c r="N79" s="95" t="inlineStr">
        <is>
          <t>📈 Good</t>
        </is>
      </c>
      <c r="O79" s="95" t="inlineStr">
        <is>
          <t>⏳ New Fund</t>
        </is>
      </c>
      <c r="P79" s="95" t="inlineStr">
        <is>
          <t>📈 Momentum Only</t>
        </is>
      </c>
      <c r="Q79" s="96" t="inlineStr">
        <is>
          <t>MOMENTUM_ONLY</t>
        </is>
      </c>
    </row>
    <row r="80" ht="16" customHeight="1">
      <c r="A80" s="92" t="n">
        <v>76</v>
      </c>
      <c r="B80" s="93" t="inlineStr">
        <is>
          <t>Mirae Asset Nifty500 Multicap 50:25:25 ETF</t>
        </is>
      </c>
      <c r="C80" s="93" t="inlineStr">
        <is>
          <t>Mirae Asset Mutual Fund</t>
        </is>
      </c>
      <c r="D80" s="93" t="inlineStr">
        <is>
          <t>Index Fund</t>
        </is>
      </c>
      <c r="E80" s="94" t="n">
        <v>1.07</v>
      </c>
      <c r="F80" s="94" t="n">
        <v>5.66</v>
      </c>
      <c r="G80" s="94" t="n">
        <v>2.87</v>
      </c>
      <c r="H80" s="94" t="n">
        <v>6.27</v>
      </c>
      <c r="I80" s="94" t="n">
        <v>0</v>
      </c>
      <c r="J80" s="94" t="n">
        <v>0</v>
      </c>
      <c r="K80" s="17" t="n">
        <v>67.90000000000001</v>
      </c>
      <c r="L80" s="18" t="n">
        <v>0</v>
      </c>
      <c r="M80" s="19" t="n">
        <v>37.3</v>
      </c>
      <c r="N80" s="95" t="inlineStr">
        <is>
          <t>📈 Good</t>
        </is>
      </c>
      <c r="O80" s="95" t="inlineStr">
        <is>
          <t>⏳ New Fund</t>
        </is>
      </c>
      <c r="P80" s="95" t="inlineStr">
        <is>
          <t>📈 Momentum Only</t>
        </is>
      </c>
      <c r="Q80" s="96" t="inlineStr">
        <is>
          <t>MOMENTUM_ONLY</t>
        </is>
      </c>
    </row>
    <row r="81" ht="16" customHeight="1">
      <c r="A81" s="13" t="n">
        <v>77</v>
      </c>
      <c r="B81" s="14" t="inlineStr">
        <is>
          <t>Tata Nifty India Digital Exchange Traded Fund</t>
        </is>
      </c>
      <c r="C81" s="14" t="inlineStr">
        <is>
          <t>Tata Mutual Fund</t>
        </is>
      </c>
      <c r="D81" s="14" t="inlineStr">
        <is>
          <t>Technology</t>
        </is>
      </c>
      <c r="E81" s="15" t="n">
        <v>4.77</v>
      </c>
      <c r="F81" s="15" t="n">
        <v>9.91</v>
      </c>
      <c r="G81" s="15" t="n">
        <v>2.53</v>
      </c>
      <c r="H81" s="16" t="n">
        <v>-1.61</v>
      </c>
      <c r="I81" s="16" t="n">
        <v>-2.51153914436848</v>
      </c>
      <c r="J81" s="15" t="n">
        <v>44.75</v>
      </c>
      <c r="K81" s="17" t="n">
        <v>67.59999999999999</v>
      </c>
      <c r="L81" s="18" t="n">
        <v>0</v>
      </c>
      <c r="M81" s="19" t="n">
        <v>37.2</v>
      </c>
      <c r="N81" s="20" t="inlineStr">
        <is>
          <t>📈 Good</t>
        </is>
      </c>
      <c r="O81" s="20" t="inlineStr">
        <is>
          <t>🔴 Not Qualified</t>
        </is>
      </c>
      <c r="P81" s="20" t="inlineStr">
        <is>
          <t>🔴 Avoid</t>
        </is>
      </c>
      <c r="Q81" s="83" t="inlineStr">
        <is>
          <t>FULL</t>
        </is>
      </c>
    </row>
    <row r="82" ht="16" customHeight="1">
      <c r="A82" s="92" t="n">
        <v>78</v>
      </c>
      <c r="B82" s="93" t="inlineStr">
        <is>
          <t>SBI Silver ETF</t>
        </is>
      </c>
      <c r="C82" s="93" t="inlineStr">
        <is>
          <t>SBI Mutual Fund</t>
        </is>
      </c>
      <c r="D82" s="93" t="inlineStr">
        <is>
          <t>Silver</t>
        </is>
      </c>
      <c r="E82" s="94" t="n">
        <v>8.09</v>
      </c>
      <c r="F82" s="97" t="n">
        <v>-12.79</v>
      </c>
      <c r="G82" s="97" t="n">
        <v>-1.6</v>
      </c>
      <c r="H82" s="94" t="n">
        <v>100.01</v>
      </c>
      <c r="I82" s="94" t="n">
        <v>66.71532623007398</v>
      </c>
      <c r="J82" s="94" t="n">
        <v>0</v>
      </c>
      <c r="K82" s="17" t="n">
        <v>66.09999999999999</v>
      </c>
      <c r="L82" s="18" t="n">
        <v>0</v>
      </c>
      <c r="M82" s="19" t="n">
        <v>36.3</v>
      </c>
      <c r="N82" s="95" t="inlineStr">
        <is>
          <t>📈 Good</t>
        </is>
      </c>
      <c r="O82" s="95" t="inlineStr">
        <is>
          <t>⏳ New Fund</t>
        </is>
      </c>
      <c r="P82" s="95" t="inlineStr">
        <is>
          <t>📈 Momentum Only</t>
        </is>
      </c>
      <c r="Q82" s="96" t="inlineStr">
        <is>
          <t>MOMENTUM_ONLY</t>
        </is>
      </c>
    </row>
    <row r="83" ht="16" customHeight="1">
      <c r="A83" s="92" t="n">
        <v>79</v>
      </c>
      <c r="B83" s="93" t="inlineStr">
        <is>
          <t>Edelweiss Silver ETF</t>
        </is>
      </c>
      <c r="C83" s="93" t="inlineStr">
        <is>
          <t>Edelweiss Mutual Fund</t>
        </is>
      </c>
      <c r="D83" s="93" t="inlineStr">
        <is>
          <t>Silver</t>
        </is>
      </c>
      <c r="E83" s="94" t="n">
        <v>8.07</v>
      </c>
      <c r="F83" s="97" t="n">
        <v>-12.79</v>
      </c>
      <c r="G83" s="97" t="n">
        <v>-1.61</v>
      </c>
      <c r="H83" s="94" t="n">
        <v>99.75</v>
      </c>
      <c r="I83" s="94" t="n">
        <v>66.55929874972455</v>
      </c>
      <c r="J83" s="94" t="n">
        <v>0</v>
      </c>
      <c r="K83" s="17" t="n">
        <v>65.5</v>
      </c>
      <c r="L83" s="18" t="n">
        <v>0</v>
      </c>
      <c r="M83" s="19" t="n">
        <v>36</v>
      </c>
      <c r="N83" s="95" t="inlineStr">
        <is>
          <t>📈 Good</t>
        </is>
      </c>
      <c r="O83" s="95" t="inlineStr">
        <is>
          <t>⏳ New Fund</t>
        </is>
      </c>
      <c r="P83" s="95" t="inlineStr">
        <is>
          <t>📈 Momentum Only</t>
        </is>
      </c>
      <c r="Q83" s="96" t="inlineStr">
        <is>
          <t>MOMENTUM_ONLY</t>
        </is>
      </c>
    </row>
    <row r="84" ht="16" customHeight="1">
      <c r="A84" s="92" t="n">
        <v>80</v>
      </c>
      <c r="B84" s="93" t="inlineStr">
        <is>
          <t>360 ONE Silver ETF</t>
        </is>
      </c>
      <c r="C84" s="93" t="inlineStr">
        <is>
          <t>360 ONE Mutual Fund</t>
        </is>
      </c>
      <c r="D84" s="93" t="inlineStr">
        <is>
          <t>Silver</t>
        </is>
      </c>
      <c r="E84" s="94" t="n">
        <v>8.119999999999999</v>
      </c>
      <c r="F84" s="97" t="n">
        <v>-12.78</v>
      </c>
      <c r="G84" s="97" t="n">
        <v>-1.76</v>
      </c>
      <c r="H84" s="94" t="n">
        <v>99.67</v>
      </c>
      <c r="I84" s="94" t="n">
        <v>0</v>
      </c>
      <c r="J84" s="94" t="n">
        <v>0</v>
      </c>
      <c r="K84" s="17" t="n">
        <v>65.2</v>
      </c>
      <c r="L84" s="18" t="n">
        <v>0</v>
      </c>
      <c r="M84" s="19" t="n">
        <v>35.8</v>
      </c>
      <c r="N84" s="95" t="inlineStr">
        <is>
          <t>📈 Good</t>
        </is>
      </c>
      <c r="O84" s="95" t="inlineStr">
        <is>
          <t>⏳ New Fund</t>
        </is>
      </c>
      <c r="P84" s="95" t="inlineStr">
        <is>
          <t>📈 Momentum Only</t>
        </is>
      </c>
      <c r="Q84" s="96" t="inlineStr">
        <is>
          <t>MOMENTUM_ONLY</t>
        </is>
      </c>
    </row>
    <row r="85" ht="16" customHeight="1">
      <c r="A85" s="92" t="n">
        <v>81</v>
      </c>
      <c r="B85" s="93" t="inlineStr">
        <is>
          <t>Motilal Oswal Silver ETF</t>
        </is>
      </c>
      <c r="C85" s="93" t="inlineStr">
        <is>
          <t>Motilal Oswal Mutual Fund</t>
        </is>
      </c>
      <c r="D85" s="93" t="inlineStr">
        <is>
          <t>Silver</t>
        </is>
      </c>
      <c r="E85" s="94" t="n">
        <v>8.02</v>
      </c>
      <c r="F85" s="97" t="n">
        <v>-12.77</v>
      </c>
      <c r="G85" s="97" t="n">
        <v>-1.65</v>
      </c>
      <c r="H85" s="94" t="n">
        <v>99.45</v>
      </c>
      <c r="I85" s="94" t="n">
        <v>0</v>
      </c>
      <c r="J85" s="94" t="n">
        <v>0</v>
      </c>
      <c r="K85" s="17" t="n">
        <v>64.90000000000001</v>
      </c>
      <c r="L85" s="18" t="n">
        <v>0</v>
      </c>
      <c r="M85" s="19" t="n">
        <v>35.7</v>
      </c>
      <c r="N85" s="95" t="inlineStr">
        <is>
          <t>📈 Good</t>
        </is>
      </c>
      <c r="O85" s="95" t="inlineStr">
        <is>
          <t>⏳ New Fund</t>
        </is>
      </c>
      <c r="P85" s="95" t="inlineStr">
        <is>
          <t>📈 Momentum Only</t>
        </is>
      </c>
      <c r="Q85" s="96" t="inlineStr">
        <is>
          <t>MOMENTUM_ONLY</t>
        </is>
      </c>
    </row>
    <row r="86" ht="16" customHeight="1">
      <c r="A86" s="92" t="n">
        <v>82</v>
      </c>
      <c r="B86" s="93" t="inlineStr">
        <is>
          <t>Kotak Nifty Chemicals ETF</t>
        </is>
      </c>
      <c r="C86" s="93" t="inlineStr">
        <is>
          <t>Kotak Mahindra Mutual Fund</t>
        </is>
      </c>
      <c r="D86" s="93" t="inlineStr">
        <is>
          <t>Index Fund</t>
        </is>
      </c>
      <c r="E86" s="94" t="n">
        <v>1.69</v>
      </c>
      <c r="F86" s="94" t="n">
        <v>5.44</v>
      </c>
      <c r="G86" s="94" t="n">
        <v>7.69</v>
      </c>
      <c r="H86" s="94" t="n">
        <v>0</v>
      </c>
      <c r="I86" s="94" t="n">
        <v>0</v>
      </c>
      <c r="J86" s="94" t="n">
        <v>0</v>
      </c>
      <c r="K86" s="17" t="n">
        <v>64.8</v>
      </c>
      <c r="L86" s="18" t="n">
        <v>0</v>
      </c>
      <c r="M86" s="19" t="n">
        <v>35.6</v>
      </c>
      <c r="N86" s="95" t="inlineStr">
        <is>
          <t>📈 Good</t>
        </is>
      </c>
      <c r="O86" s="95" t="inlineStr">
        <is>
          <t>⏳ New Fund</t>
        </is>
      </c>
      <c r="P86" s="95" t="inlineStr">
        <is>
          <t>📈 Momentum Only</t>
        </is>
      </c>
      <c r="Q86" s="96" t="inlineStr">
        <is>
          <t>MOMENTUM_ONLY</t>
        </is>
      </c>
    </row>
    <row r="87" ht="16" customHeight="1">
      <c r="A87" s="92" t="n">
        <v>83</v>
      </c>
      <c r="B87" s="93" t="inlineStr">
        <is>
          <t>Tata Silver Exchange Traded Fund</t>
        </is>
      </c>
      <c r="C87" s="93" t="inlineStr">
        <is>
          <t>Tata Mutual Fund</t>
        </is>
      </c>
      <c r="D87" s="93" t="inlineStr">
        <is>
          <t>Silver</t>
        </is>
      </c>
      <c r="E87" s="94" t="n">
        <v>7.99</v>
      </c>
      <c r="F87" s="97" t="n">
        <v>-12.82</v>
      </c>
      <c r="G87" s="97" t="n">
        <v>-1.79</v>
      </c>
      <c r="H87" s="94" t="n">
        <v>101.03</v>
      </c>
      <c r="I87" s="94" t="n">
        <v>66.78129391511507</v>
      </c>
      <c r="J87" s="94" t="n">
        <v>0</v>
      </c>
      <c r="K87" s="17" t="n">
        <v>64.7</v>
      </c>
      <c r="L87" s="18" t="n">
        <v>0</v>
      </c>
      <c r="M87" s="19" t="n">
        <v>35.6</v>
      </c>
      <c r="N87" s="95" t="inlineStr">
        <is>
          <t>📈 Good</t>
        </is>
      </c>
      <c r="O87" s="95" t="inlineStr">
        <is>
          <t>⏳ New Fund</t>
        </is>
      </c>
      <c r="P87" s="95" t="inlineStr">
        <is>
          <t>📈 Momentum Only</t>
        </is>
      </c>
      <c r="Q87" s="96" t="inlineStr">
        <is>
          <t>MOMENTUM_ONLY</t>
        </is>
      </c>
    </row>
    <row r="88" ht="16" customHeight="1">
      <c r="A88" s="92" t="n">
        <v>84</v>
      </c>
      <c r="B88" s="93" t="inlineStr">
        <is>
          <t>SBI BSE PSU BANK ETF</t>
        </is>
      </c>
      <c r="C88" s="93" t="inlineStr">
        <is>
          <t>SBI Mutual Fund</t>
        </is>
      </c>
      <c r="D88" s="93" t="inlineStr">
        <is>
          <t>Banking/Financial</t>
        </is>
      </c>
      <c r="E88" s="94" t="n">
        <v>3.21</v>
      </c>
      <c r="F88" s="94" t="n">
        <v>8.460000000000001</v>
      </c>
      <c r="G88" s="97" t="n">
        <v>-9.630000000000001</v>
      </c>
      <c r="H88" s="94" t="n">
        <v>22.59</v>
      </c>
      <c r="I88" s="94" t="n">
        <v>0</v>
      </c>
      <c r="J88" s="94" t="n">
        <v>0</v>
      </c>
      <c r="K88" s="17" t="n">
        <v>63.2</v>
      </c>
      <c r="L88" s="18" t="n">
        <v>0</v>
      </c>
      <c r="M88" s="19" t="n">
        <v>34.8</v>
      </c>
      <c r="N88" s="95" t="inlineStr">
        <is>
          <t>📈 Good</t>
        </is>
      </c>
      <c r="O88" s="95" t="inlineStr">
        <is>
          <t>⏳ New Fund</t>
        </is>
      </c>
      <c r="P88" s="95" t="inlineStr">
        <is>
          <t>📈 Momentum Only</t>
        </is>
      </c>
      <c r="Q88" s="96" t="inlineStr">
        <is>
          <t>MOMENTUM_ONLY</t>
        </is>
      </c>
    </row>
    <row r="89" ht="16" customHeight="1">
      <c r="A89" s="13" t="n">
        <v>85</v>
      </c>
      <c r="B89" s="14" t="inlineStr">
        <is>
          <t>HDFC NIFTY100 QUALITY 30 ETF - Growth Option</t>
        </is>
      </c>
      <c r="C89" s="14" t="inlineStr">
        <is>
          <t>HDFC Mutual Fund</t>
        </is>
      </c>
      <c r="D89" s="14" t="inlineStr">
        <is>
          <t>Index Fund</t>
        </is>
      </c>
      <c r="E89" s="15" t="n">
        <v>3.08</v>
      </c>
      <c r="F89" s="15" t="n">
        <v>3.59</v>
      </c>
      <c r="G89" s="15" t="n">
        <v>1.14</v>
      </c>
      <c r="H89" s="15" t="n">
        <v>5</v>
      </c>
      <c r="I89" s="16" t="n">
        <v>-0.9596042011139838</v>
      </c>
      <c r="J89" s="15" t="n">
        <v>37.04</v>
      </c>
      <c r="K89" s="17" t="n">
        <v>62.9</v>
      </c>
      <c r="L89" s="18" t="n">
        <v>0</v>
      </c>
      <c r="M89" s="19" t="n">
        <v>34.6</v>
      </c>
      <c r="N89" s="20" t="inlineStr">
        <is>
          <t>📈 Good</t>
        </is>
      </c>
      <c r="O89" s="20" t="inlineStr">
        <is>
          <t>🔴 Not Qualified</t>
        </is>
      </c>
      <c r="P89" s="20" t="inlineStr">
        <is>
          <t>🔴 Avoid</t>
        </is>
      </c>
      <c r="Q89" s="83" t="inlineStr">
        <is>
          <t>FULL</t>
        </is>
      </c>
    </row>
    <row r="90" ht="16" customHeight="1">
      <c r="A90" s="28" t="n">
        <v>86</v>
      </c>
      <c r="B90" s="29" t="inlineStr">
        <is>
          <t>ICICI Prudential Nifty India Consumption ETF</t>
        </is>
      </c>
      <c r="C90" s="29" t="inlineStr">
        <is>
          <t>ICICI Prudential Mutual Fund</t>
        </is>
      </c>
      <c r="D90" s="29" t="inlineStr">
        <is>
          <t>Index Fund</t>
        </is>
      </c>
      <c r="E90" s="30" t="n">
        <v>2.83</v>
      </c>
      <c r="F90" s="30" t="n">
        <v>6.64</v>
      </c>
      <c r="G90" s="30" t="n">
        <v>1.29</v>
      </c>
      <c r="H90" s="30" t="n">
        <v>1.98</v>
      </c>
      <c r="I90" s="30" t="n">
        <v>1.464279428772364</v>
      </c>
      <c r="J90" s="30" t="n">
        <v>49.12</v>
      </c>
      <c r="K90" s="17" t="n">
        <v>62.6</v>
      </c>
      <c r="L90" s="18" t="n">
        <v>0</v>
      </c>
      <c r="M90" s="19" t="n">
        <v>34.5</v>
      </c>
      <c r="N90" s="31" t="inlineStr">
        <is>
          <t>📈 Good</t>
        </is>
      </c>
      <c r="O90" s="31" t="inlineStr">
        <is>
          <t>🔴 Not Qualified</t>
        </is>
      </c>
      <c r="P90" s="31" t="inlineStr">
        <is>
          <t>🔴 Avoid</t>
        </is>
      </c>
      <c r="Q90" s="83" t="inlineStr">
        <is>
          <t>FULL</t>
        </is>
      </c>
    </row>
    <row r="91" ht="16" customHeight="1">
      <c r="A91" s="13" t="n">
        <v>87</v>
      </c>
      <c r="B91" s="14" t="inlineStr">
        <is>
          <t>SBI Nifty Consumption ETF</t>
        </is>
      </c>
      <c r="C91" s="14" t="inlineStr">
        <is>
          <t>SBI Mutual Fund</t>
        </is>
      </c>
      <c r="D91" s="14" t="inlineStr">
        <is>
          <t>Index Fund</t>
        </is>
      </c>
      <c r="E91" s="15" t="n">
        <v>2.83</v>
      </c>
      <c r="F91" s="15" t="n">
        <v>6.63</v>
      </c>
      <c r="G91" s="15" t="n">
        <v>1.27</v>
      </c>
      <c r="H91" s="15" t="n">
        <v>1.91</v>
      </c>
      <c r="I91" s="15" t="n">
        <v>1.400197238466938</v>
      </c>
      <c r="J91" s="15" t="n">
        <v>48.82</v>
      </c>
      <c r="K91" s="17" t="n">
        <v>62.3</v>
      </c>
      <c r="L91" s="18" t="n">
        <v>0</v>
      </c>
      <c r="M91" s="19" t="n">
        <v>34.3</v>
      </c>
      <c r="N91" s="20" t="inlineStr">
        <is>
          <t>📈 Good</t>
        </is>
      </c>
      <c r="O91" s="20" t="inlineStr">
        <is>
          <t>🔴 Not Qualified</t>
        </is>
      </c>
      <c r="P91" s="20" t="inlineStr">
        <is>
          <t>🔴 Avoid</t>
        </is>
      </c>
      <c r="Q91" s="83" t="inlineStr">
        <is>
          <t>FULL</t>
        </is>
      </c>
    </row>
    <row r="92" ht="16" customHeight="1">
      <c r="A92" s="28" t="n">
        <v>88</v>
      </c>
      <c r="B92" s="29" t="inlineStr">
        <is>
          <t>Motilal Oswal BSE Quality ETF</t>
        </is>
      </c>
      <c r="C92" s="29" t="inlineStr">
        <is>
          <t>Motilal Oswal Mutual Fund</t>
        </is>
      </c>
      <c r="D92" s="29" t="inlineStr">
        <is>
          <t>Index Fund</t>
        </is>
      </c>
      <c r="E92" s="30" t="n">
        <v>0.9399999999999999</v>
      </c>
      <c r="F92" s="30" t="n">
        <v>1.36</v>
      </c>
      <c r="G92" s="30" t="n">
        <v>3.37</v>
      </c>
      <c r="H92" s="30" t="n">
        <v>8.48</v>
      </c>
      <c r="I92" s="91" t="n">
        <v>-2.332195683531413</v>
      </c>
      <c r="J92" s="30" t="n">
        <v>52.54</v>
      </c>
      <c r="K92" s="17" t="n">
        <v>62.1</v>
      </c>
      <c r="L92" s="18" t="n">
        <v>0</v>
      </c>
      <c r="M92" s="19" t="n">
        <v>34.1</v>
      </c>
      <c r="N92" s="31" t="inlineStr">
        <is>
          <t>📈 Good</t>
        </is>
      </c>
      <c r="O92" s="31" t="inlineStr">
        <is>
          <t>🔴 Not Qualified</t>
        </is>
      </c>
      <c r="P92" s="31" t="inlineStr">
        <is>
          <t>🔴 Avoid</t>
        </is>
      </c>
      <c r="Q92" s="83" t="inlineStr">
        <is>
          <t>FULL</t>
        </is>
      </c>
    </row>
    <row r="93" ht="16" customHeight="1">
      <c r="A93" s="13" t="n">
        <v>89</v>
      </c>
      <c r="B93" s="14" t="inlineStr">
        <is>
          <t>ICICI Prudential Nifty Alpha Low- Volatility 30 ETF</t>
        </is>
      </c>
      <c r="C93" s="14" t="inlineStr">
        <is>
          <t>ICICI Prudential Mutual Fund</t>
        </is>
      </c>
      <c r="D93" s="14" t="inlineStr">
        <is>
          <t>Index Fund</t>
        </is>
      </c>
      <c r="E93" s="15" t="n">
        <v>1.97</v>
      </c>
      <c r="F93" s="15" t="n">
        <v>6.44</v>
      </c>
      <c r="G93" s="16" t="n">
        <v>-0.96</v>
      </c>
      <c r="H93" s="15" t="n">
        <v>4.34</v>
      </c>
      <c r="I93" s="16" t="n">
        <v>-3.67762461400778</v>
      </c>
      <c r="J93" s="16" t="n">
        <v>-85.7</v>
      </c>
      <c r="K93" s="17" t="n">
        <v>62.1</v>
      </c>
      <c r="L93" s="18" t="n">
        <v>0</v>
      </c>
      <c r="M93" s="19" t="n">
        <v>34.1</v>
      </c>
      <c r="N93" s="20" t="inlineStr">
        <is>
          <t>📈 Good</t>
        </is>
      </c>
      <c r="O93" s="20" t="inlineStr">
        <is>
          <t>🔴 Not Qualified</t>
        </is>
      </c>
      <c r="P93" s="20" t="inlineStr">
        <is>
          <t>🔴 Avoid</t>
        </is>
      </c>
      <c r="Q93" s="83" t="inlineStr">
        <is>
          <t>FULL</t>
        </is>
      </c>
    </row>
    <row r="94" ht="16" customHeight="1">
      <c r="A94" s="28" t="n">
        <v>90</v>
      </c>
      <c r="B94" s="29" t="inlineStr">
        <is>
          <t>Nippon India ETF Nifty India Consumption</t>
        </is>
      </c>
      <c r="C94" s="29" t="inlineStr">
        <is>
          <t>Nippon India Mutual Fund</t>
        </is>
      </c>
      <c r="D94" s="29" t="inlineStr">
        <is>
          <t>Index Fund</t>
        </is>
      </c>
      <c r="E94" s="30" t="n">
        <v>2.82</v>
      </c>
      <c r="F94" s="30" t="n">
        <v>6.61</v>
      </c>
      <c r="G94" s="30" t="n">
        <v>1.25</v>
      </c>
      <c r="H94" s="30" t="n">
        <v>1.87</v>
      </c>
      <c r="I94" s="30" t="n">
        <v>1.365674663566474</v>
      </c>
      <c r="J94" s="30" t="n">
        <v>48.6</v>
      </c>
      <c r="K94" s="17" t="n">
        <v>61.9</v>
      </c>
      <c r="L94" s="18" t="n">
        <v>0</v>
      </c>
      <c r="M94" s="19" t="n">
        <v>34.1</v>
      </c>
      <c r="N94" s="31" t="inlineStr">
        <is>
          <t>📈 Good</t>
        </is>
      </c>
      <c r="O94" s="31" t="inlineStr">
        <is>
          <t>🔴 Not Qualified</t>
        </is>
      </c>
      <c r="P94" s="31" t="inlineStr">
        <is>
          <t>🔴 Avoid</t>
        </is>
      </c>
      <c r="Q94" s="83" t="inlineStr">
        <is>
          <t>FULL</t>
        </is>
      </c>
    </row>
    <row r="95" ht="16" customHeight="1">
      <c r="A95" s="13" t="n">
        <v>91</v>
      </c>
      <c r="B95" s="14" t="inlineStr">
        <is>
          <t>HDFC NIFTY GROWTH SECTORS 15 ETF - Growth Option</t>
        </is>
      </c>
      <c r="C95" s="14" t="inlineStr">
        <is>
          <t>HDFC Mutual Fund</t>
        </is>
      </c>
      <c r="D95" s="14" t="inlineStr">
        <is>
          <t>Index Fund</t>
        </is>
      </c>
      <c r="E95" s="15" t="n">
        <v>3.37</v>
      </c>
      <c r="F95" s="15" t="n">
        <v>6.38</v>
      </c>
      <c r="G95" s="16" t="n">
        <v>-0.88</v>
      </c>
      <c r="H95" s="15" t="n">
        <v>1.68</v>
      </c>
      <c r="I95" s="16" t="n">
        <v>-2.321957431570121</v>
      </c>
      <c r="J95" s="15" t="n">
        <v>23.86</v>
      </c>
      <c r="K95" s="17" t="n">
        <v>61.7</v>
      </c>
      <c r="L95" s="18" t="n">
        <v>0</v>
      </c>
      <c r="M95" s="19" t="n">
        <v>33.9</v>
      </c>
      <c r="N95" s="20" t="inlineStr">
        <is>
          <t>📈 Good</t>
        </is>
      </c>
      <c r="O95" s="20" t="inlineStr">
        <is>
          <t>🔴 Not Qualified</t>
        </is>
      </c>
      <c r="P95" s="20" t="inlineStr">
        <is>
          <t>🔴 Avoid</t>
        </is>
      </c>
      <c r="Q95" s="83" t="inlineStr">
        <is>
          <t>FULL</t>
        </is>
      </c>
    </row>
    <row r="96" ht="16" customHeight="1">
      <c r="A96" s="92" t="n">
        <v>92</v>
      </c>
      <c r="B96" s="93" t="inlineStr">
        <is>
          <t>Mirae Asset Nifty PSU Bank ETF</t>
        </is>
      </c>
      <c r="C96" s="93" t="inlineStr">
        <is>
          <t>Mirae Asset Mutual Fund</t>
        </is>
      </c>
      <c r="D96" s="93" t="inlineStr">
        <is>
          <t>Banking/Financial</t>
        </is>
      </c>
      <c r="E96" s="94" t="n">
        <v>2.8</v>
      </c>
      <c r="F96" s="94" t="n">
        <v>8.539999999999999</v>
      </c>
      <c r="G96" s="97" t="n">
        <v>-10</v>
      </c>
      <c r="H96" s="94" t="n">
        <v>23.3</v>
      </c>
      <c r="I96" s="94" t="n">
        <v>0</v>
      </c>
      <c r="J96" s="94" t="n">
        <v>0</v>
      </c>
      <c r="K96" s="17" t="n">
        <v>61.4</v>
      </c>
      <c r="L96" s="18" t="n">
        <v>0</v>
      </c>
      <c r="M96" s="19" t="n">
        <v>33.8</v>
      </c>
      <c r="N96" s="95" t="inlineStr">
        <is>
          <t>📈 Good</t>
        </is>
      </c>
      <c r="O96" s="95" t="inlineStr">
        <is>
          <t>⏳ New Fund</t>
        </is>
      </c>
      <c r="P96" s="95" t="inlineStr">
        <is>
          <t>📈 Momentum Only</t>
        </is>
      </c>
      <c r="Q96" s="96" t="inlineStr">
        <is>
          <t>MOMENTUM_ONLY</t>
        </is>
      </c>
    </row>
    <row r="97" ht="16" customHeight="1">
      <c r="A97" s="13" t="n">
        <v>93</v>
      </c>
      <c r="B97" s="14" t="inlineStr">
        <is>
          <t>Axis NIFTY India Consumption ETF</t>
        </is>
      </c>
      <c r="C97" s="14" t="inlineStr">
        <is>
          <t>Axis Mutual Fund</t>
        </is>
      </c>
      <c r="D97" s="14" t="inlineStr">
        <is>
          <t>Index Fund</t>
        </is>
      </c>
      <c r="E97" s="15" t="n">
        <v>2.81</v>
      </c>
      <c r="F97" s="15" t="n">
        <v>6.58</v>
      </c>
      <c r="G97" s="15" t="n">
        <v>1.2</v>
      </c>
      <c r="H97" s="15" t="n">
        <v>1.8</v>
      </c>
      <c r="I97" s="15" t="n">
        <v>1.321271211922714</v>
      </c>
      <c r="J97" s="15" t="n">
        <v>48.26</v>
      </c>
      <c r="K97" s="17" t="n">
        <v>61.3</v>
      </c>
      <c r="L97" s="18" t="n">
        <v>0</v>
      </c>
      <c r="M97" s="19" t="n">
        <v>33.7</v>
      </c>
      <c r="N97" s="20" t="inlineStr">
        <is>
          <t>📈 Good</t>
        </is>
      </c>
      <c r="O97" s="20" t="inlineStr">
        <is>
          <t>🔴 Not Qualified</t>
        </is>
      </c>
      <c r="P97" s="20" t="inlineStr">
        <is>
          <t>🔴 Avoid</t>
        </is>
      </c>
      <c r="Q97" s="83" t="inlineStr">
        <is>
          <t>FULL</t>
        </is>
      </c>
    </row>
    <row r="98" ht="16" customHeight="1">
      <c r="A98" s="28" t="n">
        <v>94</v>
      </c>
      <c r="B98" s="29" t="inlineStr">
        <is>
          <t>BHARAT Bond ETF - April 2033</t>
        </is>
      </c>
      <c r="C98" s="29" t="inlineStr">
        <is>
          <t>Edelweiss Mutual Fund</t>
        </is>
      </c>
      <c r="D98" s="29" t="inlineStr">
        <is>
          <t>Standard Equity/Debt</t>
        </is>
      </c>
      <c r="E98" s="30" t="n">
        <v>0.38</v>
      </c>
      <c r="F98" s="30" t="n">
        <v>3.97</v>
      </c>
      <c r="G98" s="30" t="n">
        <v>2.99</v>
      </c>
      <c r="H98" s="30" t="n">
        <v>5.34</v>
      </c>
      <c r="I98" s="30" t="n">
        <v>7.415082739808931</v>
      </c>
      <c r="J98" s="30" t="n">
        <v>25.64</v>
      </c>
      <c r="K98" s="17" t="n">
        <v>61.1</v>
      </c>
      <c r="L98" s="18" t="n">
        <v>0</v>
      </c>
      <c r="M98" s="19" t="n">
        <v>33.6</v>
      </c>
      <c r="N98" s="31" t="inlineStr">
        <is>
          <t>📈 Good</t>
        </is>
      </c>
      <c r="O98" s="31" t="inlineStr">
        <is>
          <t>🔴 Not Qualified</t>
        </is>
      </c>
      <c r="P98" s="31" t="inlineStr">
        <is>
          <t>🔴 Avoid</t>
        </is>
      </c>
      <c r="Q98" s="83" t="inlineStr">
        <is>
          <t>FULL</t>
        </is>
      </c>
    </row>
    <row r="99" ht="16" customHeight="1">
      <c r="A99" s="92" t="n">
        <v>95</v>
      </c>
      <c r="B99" s="93" t="inlineStr">
        <is>
          <t>HDFC NIFTY PSU BANK ETF</t>
        </is>
      </c>
      <c r="C99" s="93" t="inlineStr">
        <is>
          <t>HDFC Mutual Fund</t>
        </is>
      </c>
      <c r="D99" s="93" t="inlineStr">
        <is>
          <t>Banking/Financial</t>
        </is>
      </c>
      <c r="E99" s="94" t="n">
        <v>2.8</v>
      </c>
      <c r="F99" s="94" t="n">
        <v>8.529999999999999</v>
      </c>
      <c r="G99" s="97" t="n">
        <v>-10.05</v>
      </c>
      <c r="H99" s="94" t="n">
        <v>23.12</v>
      </c>
      <c r="I99" s="94" t="n">
        <v>12.56109452204166</v>
      </c>
      <c r="J99" s="94" t="n">
        <v>0</v>
      </c>
      <c r="K99" s="17" t="n">
        <v>61.1</v>
      </c>
      <c r="L99" s="18" t="n">
        <v>0</v>
      </c>
      <c r="M99" s="19" t="n">
        <v>33.6</v>
      </c>
      <c r="N99" s="95" t="inlineStr">
        <is>
          <t>📈 Good</t>
        </is>
      </c>
      <c r="O99" s="95" t="inlineStr">
        <is>
          <t>⏳ New Fund</t>
        </is>
      </c>
      <c r="P99" s="95" t="inlineStr">
        <is>
          <t>📈 Momentum Only</t>
        </is>
      </c>
      <c r="Q99" s="96" t="inlineStr">
        <is>
          <t>MOMENTUM_ONLY</t>
        </is>
      </c>
    </row>
    <row r="100" ht="16" customHeight="1">
      <c r="A100" s="92" t="n">
        <v>96</v>
      </c>
      <c r="B100" s="93" t="inlineStr">
        <is>
          <t>DSP Nifty Midcap 150 ETF</t>
        </is>
      </c>
      <c r="C100" s="93" t="inlineStr">
        <is>
          <t>DSP Mutual Fund</t>
        </is>
      </c>
      <c r="D100" s="93" t="inlineStr">
        <is>
          <t>Index Fund</t>
        </is>
      </c>
      <c r="E100" s="94" t="n">
        <v>1.8</v>
      </c>
      <c r="F100" s="94" t="n">
        <v>4.65</v>
      </c>
      <c r="G100" s="94" t="n">
        <v>5.61</v>
      </c>
      <c r="H100" s="94" t="n">
        <v>0</v>
      </c>
      <c r="I100" s="94" t="n">
        <v>0</v>
      </c>
      <c r="J100" s="94" t="n">
        <v>0</v>
      </c>
      <c r="K100" s="17" t="n">
        <v>60.7</v>
      </c>
      <c r="L100" s="18" t="n">
        <v>0</v>
      </c>
      <c r="M100" s="19" t="n">
        <v>33.4</v>
      </c>
      <c r="N100" s="95" t="inlineStr">
        <is>
          <t>📈 Good</t>
        </is>
      </c>
      <c r="O100" s="95" t="inlineStr">
        <is>
          <t>⏳ New Fund</t>
        </is>
      </c>
      <c r="P100" s="95" t="inlineStr">
        <is>
          <t>📈 Momentum Only</t>
        </is>
      </c>
      <c r="Q100" s="96" t="inlineStr">
        <is>
          <t>MOMENTUM_ONLY</t>
        </is>
      </c>
    </row>
    <row r="101" ht="16" customHeight="1">
      <c r="A101" s="92" t="n">
        <v>97</v>
      </c>
      <c r="B101" s="93" t="inlineStr">
        <is>
          <t>ANGEL ONE NIFTY TOTAL MARKET MOMENTUM QUALITY 50 ETF</t>
        </is>
      </c>
      <c r="C101" s="93" t="inlineStr">
        <is>
          <t>Angel One Mutual Fund</t>
        </is>
      </c>
      <c r="D101" s="93" t="inlineStr">
        <is>
          <t>Index Fund</t>
        </is>
      </c>
      <c r="E101" s="94" t="n">
        <v>4.54</v>
      </c>
      <c r="F101" s="94" t="n">
        <v>2.78</v>
      </c>
      <c r="G101" s="94" t="n">
        <v>6.12</v>
      </c>
      <c r="H101" s="94" t="n">
        <v>0</v>
      </c>
      <c r="I101" s="94" t="n">
        <v>0</v>
      </c>
      <c r="J101" s="94" t="n">
        <v>0</v>
      </c>
      <c r="K101" s="17" t="n">
        <v>60.6</v>
      </c>
      <c r="L101" s="18" t="n">
        <v>0</v>
      </c>
      <c r="M101" s="19" t="n">
        <v>33.3</v>
      </c>
      <c r="N101" s="95" t="inlineStr">
        <is>
          <t>📈 Good</t>
        </is>
      </c>
      <c r="O101" s="95" t="inlineStr">
        <is>
          <t>⏳ New Fund</t>
        </is>
      </c>
      <c r="P101" s="95" t="inlineStr">
        <is>
          <t>📈 Momentum Only</t>
        </is>
      </c>
      <c r="Q101" s="96" t="inlineStr">
        <is>
          <t>MOMENTUM_ONLY</t>
        </is>
      </c>
    </row>
    <row r="102" ht="16" customHeight="1">
      <c r="A102" s="92" t="n">
        <v>98</v>
      </c>
      <c r="B102" s="93" t="inlineStr">
        <is>
          <t>Motilal Oswal Nifty Realty ETF</t>
        </is>
      </c>
      <c r="C102" s="93" t="inlineStr">
        <is>
          <t>Motilal Oswal Mutual Fund</t>
        </is>
      </c>
      <c r="D102" s="93" t="inlineStr">
        <is>
          <t>Index Fund</t>
        </is>
      </c>
      <c r="E102" s="97" t="n">
        <v>-2.01</v>
      </c>
      <c r="F102" s="94" t="n">
        <v>18</v>
      </c>
      <c r="G102" s="94" t="n">
        <v>7.14</v>
      </c>
      <c r="H102" s="94" t="n">
        <v>2.18</v>
      </c>
      <c r="I102" s="97" t="n">
        <v>-7.458117589925806</v>
      </c>
      <c r="J102" s="94" t="n">
        <v>0</v>
      </c>
      <c r="K102" s="17" t="n">
        <v>60.3</v>
      </c>
      <c r="L102" s="18" t="n">
        <v>0</v>
      </c>
      <c r="M102" s="19" t="n">
        <v>33.2</v>
      </c>
      <c r="N102" s="95" t="inlineStr">
        <is>
          <t>📈 Good</t>
        </is>
      </c>
      <c r="O102" s="95" t="inlineStr">
        <is>
          <t>⏳ New Fund</t>
        </is>
      </c>
      <c r="P102" s="95" t="inlineStr">
        <is>
          <t>📈 Momentum Only</t>
        </is>
      </c>
      <c r="Q102" s="96" t="inlineStr">
        <is>
          <t>MOMENTUM_ONLY</t>
        </is>
      </c>
    </row>
    <row r="103" ht="16" customHeight="1">
      <c r="A103" s="92" t="n">
        <v>99</v>
      </c>
      <c r="B103" s="93" t="inlineStr">
        <is>
          <t>ANGEL ONE NIFTY TOTAL MARKET ETF</t>
        </is>
      </c>
      <c r="C103" s="93" t="inlineStr">
        <is>
          <t>Angel One Mutual Fund</t>
        </is>
      </c>
      <c r="D103" s="93" t="inlineStr">
        <is>
          <t>Index Fund</t>
        </is>
      </c>
      <c r="E103" s="94" t="n">
        <v>0.92</v>
      </c>
      <c r="F103" s="94" t="n">
        <v>5.12</v>
      </c>
      <c r="G103" s="94" t="n">
        <v>0.49</v>
      </c>
      <c r="H103" s="94" t="n">
        <v>4.59</v>
      </c>
      <c r="I103" s="94" t="n">
        <v>0</v>
      </c>
      <c r="J103" s="94" t="n">
        <v>0</v>
      </c>
      <c r="K103" s="17" t="n">
        <v>59.8</v>
      </c>
      <c r="L103" s="18" t="n">
        <v>0</v>
      </c>
      <c r="M103" s="19" t="n">
        <v>32.9</v>
      </c>
      <c r="N103" s="95" t="inlineStr">
        <is>
          <t>➡️ Neutral</t>
        </is>
      </c>
      <c r="O103" s="95" t="inlineStr">
        <is>
          <t>⏳ New Fund</t>
        </is>
      </c>
      <c r="P103" s="95" t="inlineStr">
        <is>
          <t>⏳ New Fund</t>
        </is>
      </c>
      <c r="Q103" s="96" t="inlineStr">
        <is>
          <t>MOMENTUM_ONLY</t>
        </is>
      </c>
    </row>
    <row r="104" ht="16" customHeight="1">
      <c r="A104" s="28" t="n">
        <v>100</v>
      </c>
      <c r="B104" s="29" t="inlineStr">
        <is>
          <t>Nippon India ETF Nifty 5 yr Benchmark G-Sec</t>
        </is>
      </c>
      <c r="C104" s="29" t="inlineStr">
        <is>
          <t>Nippon India Mutual Fund</t>
        </is>
      </c>
      <c r="D104" s="29" t="inlineStr">
        <is>
          <t>G-SEC</t>
        </is>
      </c>
      <c r="E104" s="30" t="n">
        <v>0.5</v>
      </c>
      <c r="F104" s="30" t="n">
        <v>3.3</v>
      </c>
      <c r="G104" s="30" t="n">
        <v>3.13</v>
      </c>
      <c r="H104" s="30" t="n">
        <v>6.02</v>
      </c>
      <c r="I104" s="30" t="n">
        <v>7.512789936825648</v>
      </c>
      <c r="J104" s="30" t="n">
        <v>25.81</v>
      </c>
      <c r="K104" s="17" t="n">
        <v>59.7</v>
      </c>
      <c r="L104" s="18" t="n">
        <v>0</v>
      </c>
      <c r="M104" s="19" t="n">
        <v>32.8</v>
      </c>
      <c r="N104" s="31" t="inlineStr">
        <is>
          <t>➡️ Neutral</t>
        </is>
      </c>
      <c r="O104" s="31" t="inlineStr">
        <is>
          <t>🔴 Not Qualified</t>
        </is>
      </c>
      <c r="P104" s="31" t="inlineStr">
        <is>
          <t>🔴 Avoid</t>
        </is>
      </c>
      <c r="Q104" s="83" t="inlineStr">
        <is>
          <t>FULL</t>
        </is>
      </c>
    </row>
    <row r="105" ht="16" customHeight="1">
      <c r="A105" s="13" t="n">
        <v>101</v>
      </c>
      <c r="B105" s="14" t="inlineStr">
        <is>
          <t>BHARAT Bond ETF - April 2032</t>
        </is>
      </c>
      <c r="C105" s="14" t="inlineStr">
        <is>
          <t>Edelweiss Mutual Fund</t>
        </is>
      </c>
      <c r="D105" s="14" t="inlineStr">
        <is>
          <t>Standard Equity/Debt</t>
        </is>
      </c>
      <c r="E105" s="15" t="n">
        <v>0.34</v>
      </c>
      <c r="F105" s="15" t="n">
        <v>3.83</v>
      </c>
      <c r="G105" s="15" t="n">
        <v>2.79</v>
      </c>
      <c r="H105" s="15" t="n">
        <v>5.28</v>
      </c>
      <c r="I105" s="15" t="n">
        <v>7.48023074035522</v>
      </c>
      <c r="J105" s="15" t="n">
        <v>25.62</v>
      </c>
      <c r="K105" s="17" t="n">
        <v>59.2</v>
      </c>
      <c r="L105" s="18" t="n">
        <v>0</v>
      </c>
      <c r="M105" s="19" t="n">
        <v>32.6</v>
      </c>
      <c r="N105" s="20" t="inlineStr">
        <is>
          <t>➡️ Neutral</t>
        </is>
      </c>
      <c r="O105" s="20" t="inlineStr">
        <is>
          <t>🔴 Not Qualified</t>
        </is>
      </c>
      <c r="P105" s="20" t="inlineStr">
        <is>
          <t>🔴 Avoid</t>
        </is>
      </c>
      <c r="Q105" s="83" t="inlineStr">
        <is>
          <t>FULL</t>
        </is>
      </c>
    </row>
    <row r="106" ht="16" customHeight="1">
      <c r="A106" s="92" t="n">
        <v>102</v>
      </c>
      <c r="B106" s="93" t="inlineStr">
        <is>
          <t>UTI Nifty 5 yr Benchmark G-Sec ETF</t>
        </is>
      </c>
      <c r="C106" s="93" t="inlineStr">
        <is>
          <t>UTI Mutual Fund</t>
        </is>
      </c>
      <c r="D106" s="93" t="inlineStr">
        <is>
          <t>G-SEC</t>
        </is>
      </c>
      <c r="E106" s="94" t="n">
        <v>0.5</v>
      </c>
      <c r="F106" s="94" t="n">
        <v>3.3</v>
      </c>
      <c r="G106" s="94" t="n">
        <v>3.08</v>
      </c>
      <c r="H106" s="94" t="n">
        <v>5.89</v>
      </c>
      <c r="I106" s="94" t="n">
        <v>7.289328453485999</v>
      </c>
      <c r="J106" s="94" t="n">
        <v>0</v>
      </c>
      <c r="K106" s="17" t="n">
        <v>59.2</v>
      </c>
      <c r="L106" s="18" t="n">
        <v>0</v>
      </c>
      <c r="M106" s="19" t="n">
        <v>32.6</v>
      </c>
      <c r="N106" s="95" t="inlineStr">
        <is>
          <t>➡️ Neutral</t>
        </is>
      </c>
      <c r="O106" s="95" t="inlineStr">
        <is>
          <t>⏳ New Fund</t>
        </is>
      </c>
      <c r="P106" s="95" t="inlineStr">
        <is>
          <t>⏳ New Fund</t>
        </is>
      </c>
      <c r="Q106" s="96" t="inlineStr">
        <is>
          <t>MOMENTUM_ONLY</t>
        </is>
      </c>
    </row>
    <row r="107" ht="16" customHeight="1">
      <c r="A107" s="13" t="n">
        <v>103</v>
      </c>
      <c r="B107" s="14" t="inlineStr">
        <is>
          <t>ICICI Prudential Nifty 5 yr Benchmark G-SEC ETF</t>
        </is>
      </c>
      <c r="C107" s="14" t="inlineStr">
        <is>
          <t>ICICI Prudential Mutual Fund</t>
        </is>
      </c>
      <c r="D107" s="14" t="inlineStr">
        <is>
          <t>G-SEC</t>
        </is>
      </c>
      <c r="E107" s="15" t="n">
        <v>0.5</v>
      </c>
      <c r="F107" s="15" t="n">
        <v>3.29</v>
      </c>
      <c r="G107" s="15" t="n">
        <v>3.06</v>
      </c>
      <c r="H107" s="15" t="n">
        <v>5.87</v>
      </c>
      <c r="I107" s="15" t="n">
        <v>7.568582773967969</v>
      </c>
      <c r="J107" s="15" t="n">
        <v>25.68</v>
      </c>
      <c r="K107" s="17" t="n">
        <v>58.7</v>
      </c>
      <c r="L107" s="18" t="n">
        <v>0</v>
      </c>
      <c r="M107" s="19" t="n">
        <v>32.3</v>
      </c>
      <c r="N107" s="20" t="inlineStr">
        <is>
          <t>➡️ Neutral</t>
        </is>
      </c>
      <c r="O107" s="20" t="inlineStr">
        <is>
          <t>🔴 Not Qualified</t>
        </is>
      </c>
      <c r="P107" s="20" t="inlineStr">
        <is>
          <t>🔴 Avoid</t>
        </is>
      </c>
      <c r="Q107" s="83" t="inlineStr">
        <is>
          <t>FULL</t>
        </is>
      </c>
    </row>
    <row r="108" ht="16" customHeight="1">
      <c r="A108" s="28" t="n">
        <v>104</v>
      </c>
      <c r="B108" s="29" t="inlineStr">
        <is>
          <t>Motilal Oswal Nifty 5 year Benchmark G-sec ETF</t>
        </is>
      </c>
      <c r="C108" s="29" t="inlineStr">
        <is>
          <t>Motilal Oswal Mutual Fund</t>
        </is>
      </c>
      <c r="D108" s="29" t="inlineStr">
        <is>
          <t>G-SEC</t>
        </is>
      </c>
      <c r="E108" s="30" t="n">
        <v>0.49</v>
      </c>
      <c r="F108" s="30" t="n">
        <v>3.29</v>
      </c>
      <c r="G108" s="30" t="n">
        <v>2.96</v>
      </c>
      <c r="H108" s="30" t="n">
        <v>5.71</v>
      </c>
      <c r="I108" s="30" t="n">
        <v>7.196082017954364</v>
      </c>
      <c r="J108" s="30" t="n">
        <v>24.74</v>
      </c>
      <c r="K108" s="17" t="n">
        <v>58.2</v>
      </c>
      <c r="L108" s="18" t="n">
        <v>0</v>
      </c>
      <c r="M108" s="19" t="n">
        <v>32</v>
      </c>
      <c r="N108" s="31" t="inlineStr">
        <is>
          <t>➡️ Neutral</t>
        </is>
      </c>
      <c r="O108" s="31" t="inlineStr">
        <is>
          <t>🔴 Not Qualified</t>
        </is>
      </c>
      <c r="P108" s="31" t="inlineStr">
        <is>
          <t>🔴 Avoid</t>
        </is>
      </c>
      <c r="Q108" s="83" t="inlineStr">
        <is>
          <t>FULL</t>
        </is>
      </c>
    </row>
    <row r="109" ht="16" customHeight="1">
      <c r="A109" s="92" t="n">
        <v>105</v>
      </c>
      <c r="B109" s="93" t="inlineStr">
        <is>
          <t>Motilal Oswal Nifty 500 ETF</t>
        </is>
      </c>
      <c r="C109" s="93" t="inlineStr">
        <is>
          <t>Motilal Oswal Mutual Fund</t>
        </is>
      </c>
      <c r="D109" s="93" t="inlineStr">
        <is>
          <t>Index Fund</t>
        </is>
      </c>
      <c r="E109" s="94" t="n">
        <v>0.74</v>
      </c>
      <c r="F109" s="94" t="n">
        <v>4.71</v>
      </c>
      <c r="G109" s="97" t="n">
        <v>-0.21</v>
      </c>
      <c r="H109" s="94" t="n">
        <v>4.26</v>
      </c>
      <c r="I109" s="94" t="n">
        <v>1.700540804855111</v>
      </c>
      <c r="J109" s="94" t="n">
        <v>0</v>
      </c>
      <c r="K109" s="17" t="n">
        <v>57.9</v>
      </c>
      <c r="L109" s="18" t="n">
        <v>0</v>
      </c>
      <c r="M109" s="19" t="n">
        <v>31.9</v>
      </c>
      <c r="N109" s="95" t="inlineStr">
        <is>
          <t>➡️ Neutral</t>
        </is>
      </c>
      <c r="O109" s="95" t="inlineStr">
        <is>
          <t>⏳ New Fund</t>
        </is>
      </c>
      <c r="P109" s="95" t="inlineStr">
        <is>
          <t>⏳ New Fund</t>
        </is>
      </c>
      <c r="Q109" s="96" t="inlineStr">
        <is>
          <t>MOMENTUM_ONLY</t>
        </is>
      </c>
    </row>
    <row r="110" ht="16" customHeight="1">
      <c r="A110" s="28" t="n">
        <v>106</v>
      </c>
      <c r="B110" s="29" t="inlineStr">
        <is>
          <t>BHARAT Bond ETF- April 2031</t>
        </is>
      </c>
      <c r="C110" s="29" t="inlineStr">
        <is>
          <t>Edelweiss Mutual Fund</t>
        </is>
      </c>
      <c r="D110" s="29" t="inlineStr">
        <is>
          <t>Standard Equity/Debt</t>
        </is>
      </c>
      <c r="E110" s="30" t="n">
        <v>0.34</v>
      </c>
      <c r="F110" s="30" t="n">
        <v>3.53</v>
      </c>
      <c r="G110" s="30" t="n">
        <v>2.86</v>
      </c>
      <c r="H110" s="30" t="n">
        <v>5.22</v>
      </c>
      <c r="I110" s="30" t="n">
        <v>7.4476616776745</v>
      </c>
      <c r="J110" s="30" t="n">
        <v>25.36</v>
      </c>
      <c r="K110" s="17" t="n">
        <v>57.5</v>
      </c>
      <c r="L110" s="18" t="n">
        <v>0</v>
      </c>
      <c r="M110" s="19" t="n">
        <v>31.6</v>
      </c>
      <c r="N110" s="31" t="inlineStr">
        <is>
          <t>➡️ Neutral</t>
        </is>
      </c>
      <c r="O110" s="31" t="inlineStr">
        <is>
          <t>🔴 Not Qualified</t>
        </is>
      </c>
      <c r="P110" s="31" t="inlineStr">
        <is>
          <t>🔴 Avoid</t>
        </is>
      </c>
      <c r="Q110" s="83" t="inlineStr">
        <is>
          <t>FULL</t>
        </is>
      </c>
    </row>
    <row r="111" ht="16" customHeight="1">
      <c r="A111" s="92" t="n">
        <v>107</v>
      </c>
      <c r="B111" s="93" t="inlineStr">
        <is>
          <t>DSP Nifty500 Flexicap Quality 30 ETF</t>
        </is>
      </c>
      <c r="C111" s="93" t="inlineStr">
        <is>
          <t>DSP Mutual Fund</t>
        </is>
      </c>
      <c r="D111" s="93" t="inlineStr">
        <is>
          <t>Index Fund</t>
        </is>
      </c>
      <c r="E111" s="94" t="n">
        <v>2.91</v>
      </c>
      <c r="F111" s="94" t="n">
        <v>5.58</v>
      </c>
      <c r="G111" s="94" t="n">
        <v>0.66</v>
      </c>
      <c r="H111" s="94" t="n">
        <v>0</v>
      </c>
      <c r="I111" s="94" t="n">
        <v>0</v>
      </c>
      <c r="J111" s="94" t="n">
        <v>0</v>
      </c>
      <c r="K111" s="17" t="n">
        <v>57.5</v>
      </c>
      <c r="L111" s="18" t="n">
        <v>0</v>
      </c>
      <c r="M111" s="19" t="n">
        <v>31.6</v>
      </c>
      <c r="N111" s="95" t="inlineStr">
        <is>
          <t>➡️ Neutral</t>
        </is>
      </c>
      <c r="O111" s="95" t="inlineStr">
        <is>
          <t>⏳ New Fund</t>
        </is>
      </c>
      <c r="P111" s="95" t="inlineStr">
        <is>
          <t>⏳ New Fund</t>
        </is>
      </c>
      <c r="Q111" s="96" t="inlineStr">
        <is>
          <t>MOMENTUM_ONLY</t>
        </is>
      </c>
    </row>
    <row r="112" ht="16" customHeight="1">
      <c r="A112" s="92" t="n">
        <v>108</v>
      </c>
      <c r="B112" s="93" t="inlineStr">
        <is>
          <t>Motilal Oswal Nifty Capital Market ETF</t>
        </is>
      </c>
      <c r="C112" s="93" t="inlineStr">
        <is>
          <t>Motilal Oswal Mutual Fund</t>
        </is>
      </c>
      <c r="D112" s="93" t="inlineStr">
        <is>
          <t>Index Fund</t>
        </is>
      </c>
      <c r="E112" s="97" t="n">
        <v>-1.29</v>
      </c>
      <c r="F112" s="97" t="n">
        <v>-4.4</v>
      </c>
      <c r="G112" s="94" t="n">
        <v>11.96</v>
      </c>
      <c r="H112" s="94" t="n">
        <v>20.81</v>
      </c>
      <c r="I112" s="94" t="n">
        <v>0</v>
      </c>
      <c r="J112" s="94" t="n">
        <v>0</v>
      </c>
      <c r="K112" s="17" t="n">
        <v>57.5</v>
      </c>
      <c r="L112" s="18" t="n">
        <v>0</v>
      </c>
      <c r="M112" s="19" t="n">
        <v>31.6</v>
      </c>
      <c r="N112" s="95" t="inlineStr">
        <is>
          <t>➡️ Neutral</t>
        </is>
      </c>
      <c r="O112" s="95" t="inlineStr">
        <is>
          <t>⏳ New Fund</t>
        </is>
      </c>
      <c r="P112" s="95" t="inlineStr">
        <is>
          <t>⏳ New Fund</t>
        </is>
      </c>
      <c r="Q112" s="96" t="inlineStr">
        <is>
          <t>MOMENTUM_ONLY</t>
        </is>
      </c>
    </row>
    <row r="113" ht="16" customHeight="1">
      <c r="A113" s="92" t="n">
        <v>109</v>
      </c>
      <c r="B113" s="93" t="inlineStr">
        <is>
          <t>Motilal Oswal Nifty Midcap150 Momentum 50 ETF</t>
        </is>
      </c>
      <c r="C113" s="93" t="inlineStr">
        <is>
          <t>Motilal Oswal Mutual Fund</t>
        </is>
      </c>
      <c r="D113" s="93" t="inlineStr">
        <is>
          <t>Index Fund</t>
        </is>
      </c>
      <c r="E113" s="94" t="n">
        <v>3.2</v>
      </c>
      <c r="F113" s="94" t="n">
        <v>3.17</v>
      </c>
      <c r="G113" s="94" t="n">
        <v>1.82</v>
      </c>
      <c r="H113" s="94" t="n">
        <v>5.6</v>
      </c>
      <c r="I113" s="94" t="n">
        <v>0</v>
      </c>
      <c r="J113" s="94" t="n">
        <v>0</v>
      </c>
      <c r="K113" s="17" t="n">
        <v>57.4</v>
      </c>
      <c r="L113" s="18" t="n">
        <v>0</v>
      </c>
      <c r="M113" s="19" t="n">
        <v>31.5</v>
      </c>
      <c r="N113" s="95" t="inlineStr">
        <is>
          <t>➡️ Neutral</t>
        </is>
      </c>
      <c r="O113" s="95" t="inlineStr">
        <is>
          <t>⏳ New Fund</t>
        </is>
      </c>
      <c r="P113" s="95" t="inlineStr">
        <is>
          <t>⏳ New Fund</t>
        </is>
      </c>
      <c r="Q113" s="96" t="inlineStr">
        <is>
          <t>MOMENTUM_ONLY</t>
        </is>
      </c>
    </row>
    <row r="114" ht="16" customHeight="1">
      <c r="A114" s="92" t="n">
        <v>110</v>
      </c>
      <c r="B114" s="93" t="inlineStr">
        <is>
          <t>ADITYA BIRLA SUN LIFE CRISIL BROAD BASED GILT ETF</t>
        </is>
      </c>
      <c r="C114" s="93" t="inlineStr">
        <is>
          <t>Aditya Birla Sun Life Mutual Fund</t>
        </is>
      </c>
      <c r="D114" s="93" t="inlineStr">
        <is>
          <t>GILT</t>
        </is>
      </c>
      <c r="E114" s="94" t="n">
        <v>0.54</v>
      </c>
      <c r="F114" s="94" t="n">
        <v>3.36</v>
      </c>
      <c r="G114" s="94" t="n">
        <v>2.47</v>
      </c>
      <c r="H114" s="94" t="n">
        <v>4.83</v>
      </c>
      <c r="I114" s="94" t="n">
        <v>6.339080304467548</v>
      </c>
      <c r="J114" s="94" t="n">
        <v>0</v>
      </c>
      <c r="K114" s="17" t="n">
        <v>57</v>
      </c>
      <c r="L114" s="18" t="n">
        <v>0</v>
      </c>
      <c r="M114" s="19" t="n">
        <v>31.4</v>
      </c>
      <c r="N114" s="95" t="inlineStr">
        <is>
          <t>➡️ Neutral</t>
        </is>
      </c>
      <c r="O114" s="95" t="inlineStr">
        <is>
          <t>⏳ New Fund</t>
        </is>
      </c>
      <c r="P114" s="95" t="inlineStr">
        <is>
          <t>⏳ New Fund</t>
        </is>
      </c>
      <c r="Q114" s="96" t="inlineStr">
        <is>
          <t>MOMENTUM_ONLY</t>
        </is>
      </c>
    </row>
    <row r="115" ht="16" customHeight="1">
      <c r="A115" s="13" t="n">
        <v>111</v>
      </c>
      <c r="B115" s="14" t="inlineStr">
        <is>
          <t>HDFC NIFTY200 MOMENTUM 30 ETF - Growth Option</t>
        </is>
      </c>
      <c r="C115" s="14" t="inlineStr">
        <is>
          <t>HDFC Mutual Fund</t>
        </is>
      </c>
      <c r="D115" s="14" t="inlineStr">
        <is>
          <t>Index Fund</t>
        </is>
      </c>
      <c r="E115" s="15" t="n">
        <v>3.05</v>
      </c>
      <c r="F115" s="15" t="n">
        <v>3.86</v>
      </c>
      <c r="G115" s="16" t="n">
        <v>-1.88</v>
      </c>
      <c r="H115" s="15" t="n">
        <v>3.03</v>
      </c>
      <c r="I115" s="16" t="n">
        <v>-6.731570185834046</v>
      </c>
      <c r="J115" s="16" t="n">
        <v>-85.55</v>
      </c>
      <c r="K115" s="17" t="n">
        <v>56.9</v>
      </c>
      <c r="L115" s="18" t="n">
        <v>0</v>
      </c>
      <c r="M115" s="19" t="n">
        <v>31.3</v>
      </c>
      <c r="N115" s="20" t="inlineStr">
        <is>
          <t>➡️ Neutral</t>
        </is>
      </c>
      <c r="O115" s="20" t="inlineStr">
        <is>
          <t>🔴 Not Qualified</t>
        </is>
      </c>
      <c r="P115" s="20" t="inlineStr">
        <is>
          <t>🔴 Avoid</t>
        </is>
      </c>
      <c r="Q115" s="83" t="inlineStr">
        <is>
          <t>FULL</t>
        </is>
      </c>
    </row>
    <row r="116" ht="16" customHeight="1">
      <c r="A116" s="92" t="n">
        <v>112</v>
      </c>
      <c r="B116" s="93" t="inlineStr">
        <is>
          <t>Edelweiss Nifty500 Multicap Momentum Quality 50 ETF - Growth</t>
        </is>
      </c>
      <c r="C116" s="93" t="inlineStr">
        <is>
          <t>Edelweiss Mutual Fund</t>
        </is>
      </c>
      <c r="D116" s="93" t="inlineStr">
        <is>
          <t>Index Fund</t>
        </is>
      </c>
      <c r="E116" s="94" t="n">
        <v>3.27</v>
      </c>
      <c r="F116" s="97" t="n">
        <v>-0.5600000000000001</v>
      </c>
      <c r="G116" s="94" t="n">
        <v>1.95</v>
      </c>
      <c r="H116" s="94" t="n">
        <v>4.21</v>
      </c>
      <c r="I116" s="94" t="n">
        <v>0</v>
      </c>
      <c r="J116" s="94" t="n">
        <v>0</v>
      </c>
      <c r="K116" s="17" t="n">
        <v>56.8</v>
      </c>
      <c r="L116" s="18" t="n">
        <v>0</v>
      </c>
      <c r="M116" s="19" t="n">
        <v>31.3</v>
      </c>
      <c r="N116" s="95" t="inlineStr">
        <is>
          <t>➡️ Neutral</t>
        </is>
      </c>
      <c r="O116" s="95" t="inlineStr">
        <is>
          <t>⏳ New Fund</t>
        </is>
      </c>
      <c r="P116" s="95" t="inlineStr">
        <is>
          <t>⏳ New Fund</t>
        </is>
      </c>
      <c r="Q116" s="96" t="inlineStr">
        <is>
          <t>MOMENTUM_ONLY</t>
        </is>
      </c>
    </row>
    <row r="117" ht="16" customHeight="1">
      <c r="A117" s="13" t="n">
        <v>113</v>
      </c>
      <c r="B117" s="14" t="inlineStr">
        <is>
          <t>Bharat Bond ETF - April 2030</t>
        </is>
      </c>
      <c r="C117" s="14" t="inlineStr">
        <is>
          <t>Edelweiss Mutual Fund</t>
        </is>
      </c>
      <c r="D117" s="14" t="inlineStr">
        <is>
          <t>Standard Equity/Debt</t>
        </is>
      </c>
      <c r="E117" s="15" t="n">
        <v>0.45</v>
      </c>
      <c r="F117" s="15" t="n">
        <v>3.15</v>
      </c>
      <c r="G117" s="15" t="n">
        <v>2.82</v>
      </c>
      <c r="H117" s="15" t="n">
        <v>5.59</v>
      </c>
      <c r="I117" s="15" t="n">
        <v>7.503488315496076</v>
      </c>
      <c r="J117" s="15" t="n">
        <v>25.27</v>
      </c>
      <c r="K117" s="17" t="n">
        <v>56.7</v>
      </c>
      <c r="L117" s="18" t="n">
        <v>0</v>
      </c>
      <c r="M117" s="19" t="n">
        <v>31.2</v>
      </c>
      <c r="N117" s="20" t="inlineStr">
        <is>
          <t>➡️ Neutral</t>
        </is>
      </c>
      <c r="O117" s="20" t="inlineStr">
        <is>
          <t>🔴 Not Qualified</t>
        </is>
      </c>
      <c r="P117" s="20" t="inlineStr">
        <is>
          <t>🔴 Avoid</t>
        </is>
      </c>
      <c r="Q117" s="83" t="inlineStr">
        <is>
          <t>FULL</t>
        </is>
      </c>
    </row>
    <row r="118" ht="16" customHeight="1">
      <c r="A118" s="28" t="n">
        <v>114</v>
      </c>
      <c r="B118" s="29" t="inlineStr">
        <is>
          <t>ICICI Prudential Nifty 200 Momentum 30 ETF</t>
        </is>
      </c>
      <c r="C118" s="29" t="inlineStr">
        <is>
          <t>ICICI Prudential Mutual Fund</t>
        </is>
      </c>
      <c r="D118" s="29" t="inlineStr">
        <is>
          <t>Index Fund</t>
        </is>
      </c>
      <c r="E118" s="30" t="n">
        <v>3.06</v>
      </c>
      <c r="F118" s="30" t="n">
        <v>3.84</v>
      </c>
      <c r="G118" s="91" t="n">
        <v>-1.89</v>
      </c>
      <c r="H118" s="30" t="n">
        <v>2.95</v>
      </c>
      <c r="I118" s="91" t="n">
        <v>-6.876426185417472</v>
      </c>
      <c r="J118" s="30" t="n">
        <v>44.24</v>
      </c>
      <c r="K118" s="17" t="n">
        <v>56.7</v>
      </c>
      <c r="L118" s="18" t="n">
        <v>0</v>
      </c>
      <c r="M118" s="19" t="n">
        <v>31.2</v>
      </c>
      <c r="N118" s="31" t="inlineStr">
        <is>
          <t>➡️ Neutral</t>
        </is>
      </c>
      <c r="O118" s="31" t="inlineStr">
        <is>
          <t>🔴 Not Qualified</t>
        </is>
      </c>
      <c r="P118" s="31" t="inlineStr">
        <is>
          <t>🔴 Avoid</t>
        </is>
      </c>
      <c r="Q118" s="83" t="inlineStr">
        <is>
          <t>FULL</t>
        </is>
      </c>
    </row>
    <row r="119" ht="16" customHeight="1">
      <c r="A119" s="13" t="n">
        <v>115</v>
      </c>
      <c r="B119" s="14" t="inlineStr">
        <is>
          <t>HDFC BSE 500 ETF - Growth Option</t>
        </is>
      </c>
      <c r="C119" s="14" t="inlineStr">
        <is>
          <t>HDFC Mutual Fund</t>
        </is>
      </c>
      <c r="D119" s="14" t="inlineStr">
        <is>
          <t>Index Fund</t>
        </is>
      </c>
      <c r="E119" s="15" t="n">
        <v>0.8100000000000001</v>
      </c>
      <c r="F119" s="15" t="n">
        <v>4.84</v>
      </c>
      <c r="G119" s="16" t="n">
        <v>-0.39</v>
      </c>
      <c r="H119" s="15" t="n">
        <v>3.87</v>
      </c>
      <c r="I119" s="15" t="n">
        <v>1.163234428323823</v>
      </c>
      <c r="J119" s="15" t="n">
        <v>41.36</v>
      </c>
      <c r="K119" s="17" t="n">
        <v>56.6</v>
      </c>
      <c r="L119" s="18" t="n">
        <v>0</v>
      </c>
      <c r="M119" s="19" t="n">
        <v>31.2</v>
      </c>
      <c r="N119" s="20" t="inlineStr">
        <is>
          <t>➡️ Neutral</t>
        </is>
      </c>
      <c r="O119" s="20" t="inlineStr">
        <is>
          <t>🔴 Not Qualified</t>
        </is>
      </c>
      <c r="P119" s="20" t="inlineStr">
        <is>
          <t>🔴 Avoid</t>
        </is>
      </c>
      <c r="Q119" s="83" t="inlineStr">
        <is>
          <t>FULL</t>
        </is>
      </c>
    </row>
    <row r="120" ht="16" customHeight="1">
      <c r="A120" s="28" t="n">
        <v>116</v>
      </c>
      <c r="B120" s="29" t="inlineStr">
        <is>
          <t>ICICI Prudential BSE 500 ETF</t>
        </is>
      </c>
      <c r="C120" s="29" t="inlineStr">
        <is>
          <t>ICICI Prudential Mutual Fund</t>
        </is>
      </c>
      <c r="D120" s="29" t="inlineStr">
        <is>
          <t>Index Fund</t>
        </is>
      </c>
      <c r="E120" s="30" t="n">
        <v>0.8100000000000001</v>
      </c>
      <c r="F120" s="30" t="n">
        <v>4.84</v>
      </c>
      <c r="G120" s="91" t="n">
        <v>-0.39</v>
      </c>
      <c r="H120" s="30" t="n">
        <v>3.85</v>
      </c>
      <c r="I120" s="30" t="n">
        <v>1.178060863015173</v>
      </c>
      <c r="J120" s="30" t="n">
        <v>41.35</v>
      </c>
      <c r="K120" s="17" t="n">
        <v>56.4</v>
      </c>
      <c r="L120" s="18" t="n">
        <v>0</v>
      </c>
      <c r="M120" s="19" t="n">
        <v>31</v>
      </c>
      <c r="N120" s="31" t="inlineStr">
        <is>
          <t>➡️ Neutral</t>
        </is>
      </c>
      <c r="O120" s="31" t="inlineStr">
        <is>
          <t>🔴 Not Qualified</t>
        </is>
      </c>
      <c r="P120" s="31" t="inlineStr">
        <is>
          <t>🔴 Avoid</t>
        </is>
      </c>
      <c r="Q120" s="83" t="inlineStr">
        <is>
          <t>FULL</t>
        </is>
      </c>
    </row>
    <row r="121" ht="16" customHeight="1">
      <c r="A121" s="13" t="n">
        <v>117</v>
      </c>
      <c r="B121" s="14" t="inlineStr">
        <is>
          <t>Aditya Birla Sun Life Nifty 200 Momentum 30 ETF</t>
        </is>
      </c>
      <c r="C121" s="14" t="inlineStr">
        <is>
          <t>Aditya Birla Sun Life Mutual Fund</t>
        </is>
      </c>
      <c r="D121" s="14" t="inlineStr">
        <is>
          <t>Index Fund</t>
        </is>
      </c>
      <c r="E121" s="15" t="n">
        <v>3.05</v>
      </c>
      <c r="F121" s="15" t="n">
        <v>3.82</v>
      </c>
      <c r="G121" s="16" t="n">
        <v>-1.89</v>
      </c>
      <c r="H121" s="15" t="n">
        <v>2.91</v>
      </c>
      <c r="I121" s="16" t="n">
        <v>-6.838849298648098</v>
      </c>
      <c r="J121" s="15" t="n">
        <v>44.6</v>
      </c>
      <c r="K121" s="17" t="n">
        <v>56</v>
      </c>
      <c r="L121" s="18" t="n">
        <v>0</v>
      </c>
      <c r="M121" s="19" t="n">
        <v>30.8</v>
      </c>
      <c r="N121" s="20" t="inlineStr">
        <is>
          <t>➡️ Neutral</t>
        </is>
      </c>
      <c r="O121" s="20" t="inlineStr">
        <is>
          <t>🔴 Not Qualified</t>
        </is>
      </c>
      <c r="P121" s="20" t="inlineStr">
        <is>
          <t>🔴 Avoid</t>
        </is>
      </c>
      <c r="Q121" s="83" t="inlineStr">
        <is>
          <t>FULL</t>
        </is>
      </c>
    </row>
    <row r="122" ht="16" customHeight="1">
      <c r="A122" s="28" t="n">
        <v>118</v>
      </c>
      <c r="B122" s="29" t="inlineStr">
        <is>
          <t>Kotak Nifty 1D Rate Liquid ETF</t>
        </is>
      </c>
      <c r="C122" s="29" t="inlineStr">
        <is>
          <t>Kotak Mahindra Mutual Fund</t>
        </is>
      </c>
      <c r="D122" s="29" t="inlineStr">
        <is>
          <t>Index Fund</t>
        </is>
      </c>
      <c r="E122" s="30" t="n">
        <v>0.43</v>
      </c>
      <c r="F122" s="30" t="n">
        <v>1.25</v>
      </c>
      <c r="G122" s="30" t="n">
        <v>2.46</v>
      </c>
      <c r="H122" s="30" t="n">
        <v>5.11</v>
      </c>
      <c r="I122" s="30" t="n">
        <v>5.588825166302525</v>
      </c>
      <c r="J122" s="30" t="n">
        <v>11.87</v>
      </c>
      <c r="K122" s="17" t="n">
        <v>55.3</v>
      </c>
      <c r="L122" s="18" t="n">
        <v>0</v>
      </c>
      <c r="M122" s="19" t="n">
        <v>30.4</v>
      </c>
      <c r="N122" s="31" t="inlineStr">
        <is>
          <t>➡️ Neutral</t>
        </is>
      </c>
      <c r="O122" s="31" t="inlineStr">
        <is>
          <t>🔴 Not Qualified</t>
        </is>
      </c>
      <c r="P122" s="31" t="inlineStr">
        <is>
          <t>🔴 Avoid</t>
        </is>
      </c>
      <c r="Q122" s="83" t="inlineStr">
        <is>
          <t>FULL</t>
        </is>
      </c>
    </row>
    <row r="123" ht="16" customHeight="1">
      <c r="A123" s="13" t="n">
        <v>119</v>
      </c>
      <c r="B123" s="14" t="inlineStr">
        <is>
          <t>Motilal Oswal Nifty 200 Momentum 30 ETF</t>
        </is>
      </c>
      <c r="C123" s="14" t="inlineStr">
        <is>
          <t>Motilal Oswal Mutual Fund</t>
        </is>
      </c>
      <c r="D123" s="14" t="inlineStr">
        <is>
          <t>Index Fund</t>
        </is>
      </c>
      <c r="E123" s="15" t="n">
        <v>3.05</v>
      </c>
      <c r="F123" s="15" t="n">
        <v>3.81</v>
      </c>
      <c r="G123" s="16" t="n">
        <v>-1.92</v>
      </c>
      <c r="H123" s="15" t="n">
        <v>2.71</v>
      </c>
      <c r="I123" s="16" t="n">
        <v>-6.935506233580147</v>
      </c>
      <c r="J123" s="15" t="n">
        <v>44.25</v>
      </c>
      <c r="K123" s="17" t="n">
        <v>55</v>
      </c>
      <c r="L123" s="18" t="n">
        <v>0</v>
      </c>
      <c r="M123" s="19" t="n">
        <v>30.3</v>
      </c>
      <c r="N123" s="20" t="inlineStr">
        <is>
          <t>➡️ Neutral</t>
        </is>
      </c>
      <c r="O123" s="20" t="inlineStr">
        <is>
          <t>🔴 Not Qualified</t>
        </is>
      </c>
      <c r="P123" s="20" t="inlineStr">
        <is>
          <t>🔴 Avoid</t>
        </is>
      </c>
      <c r="Q123" s="83" t="inlineStr">
        <is>
          <t>FULL</t>
        </is>
      </c>
    </row>
    <row r="124" ht="16" customHeight="1">
      <c r="A124" s="92" t="n">
        <v>120</v>
      </c>
      <c r="B124" s="93" t="inlineStr">
        <is>
          <t>ICICI Prudential BSE Liquid Rate ETF - Growth</t>
        </is>
      </c>
      <c r="C124" s="93" t="inlineStr">
        <is>
          <t>ICICI Prudential Mutual Fund</t>
        </is>
      </c>
      <c r="D124" s="93" t="inlineStr">
        <is>
          <t>Index Fund</t>
        </is>
      </c>
      <c r="E124" s="94" t="n">
        <v>0.43</v>
      </c>
      <c r="F124" s="94" t="n">
        <v>1.24</v>
      </c>
      <c r="G124" s="94" t="n">
        <v>2.44</v>
      </c>
      <c r="H124" s="94" t="n">
        <v>5.07</v>
      </c>
      <c r="I124" s="94" t="n">
        <v>0</v>
      </c>
      <c r="J124" s="94" t="n">
        <v>0</v>
      </c>
      <c r="K124" s="17" t="n">
        <v>54.6</v>
      </c>
      <c r="L124" s="18" t="n">
        <v>0</v>
      </c>
      <c r="M124" s="19" t="n">
        <v>30.1</v>
      </c>
      <c r="N124" s="95" t="inlineStr">
        <is>
          <t>➡️ Neutral</t>
        </is>
      </c>
      <c r="O124" s="95" t="inlineStr">
        <is>
          <t>⏳ New Fund</t>
        </is>
      </c>
      <c r="P124" s="95" t="inlineStr">
        <is>
          <t>⏳ New Fund</t>
        </is>
      </c>
      <c r="Q124" s="96" t="inlineStr">
        <is>
          <t>MOMENTUM_ONLY</t>
        </is>
      </c>
    </row>
    <row r="125" ht="16" customHeight="1">
      <c r="A125" s="92" t="n">
        <v>121</v>
      </c>
      <c r="B125" s="93" t="inlineStr">
        <is>
          <t>ANGEL ONE NIFTY 1D RATE LIQUID ETF - GROWTH</t>
        </is>
      </c>
      <c r="C125" s="93" t="inlineStr">
        <is>
          <t>Angel One Mutual Fund</t>
        </is>
      </c>
      <c r="D125" s="93" t="inlineStr">
        <is>
          <t>Index Fund</t>
        </is>
      </c>
      <c r="E125" s="94" t="n">
        <v>0.43</v>
      </c>
      <c r="F125" s="94" t="n">
        <v>1.23</v>
      </c>
      <c r="G125" s="94" t="n">
        <v>2.45</v>
      </c>
      <c r="H125" s="94" t="n">
        <v>5.06</v>
      </c>
      <c r="I125" s="94" t="n">
        <v>0</v>
      </c>
      <c r="J125" s="94" t="n">
        <v>0</v>
      </c>
      <c r="K125" s="17" t="n">
        <v>54.5</v>
      </c>
      <c r="L125" s="18" t="n">
        <v>0</v>
      </c>
      <c r="M125" s="19" t="n">
        <v>30</v>
      </c>
      <c r="N125" s="95" t="inlineStr">
        <is>
          <t>➡️ Neutral</t>
        </is>
      </c>
      <c r="O125" s="95" t="inlineStr">
        <is>
          <t>⏳ New Fund</t>
        </is>
      </c>
      <c r="P125" s="95" t="inlineStr">
        <is>
          <t>⏳ New Fund</t>
        </is>
      </c>
      <c r="Q125" s="96" t="inlineStr">
        <is>
          <t>MOMENTUM_ONLY</t>
        </is>
      </c>
    </row>
    <row r="126" ht="16" customHeight="1">
      <c r="A126" s="92" t="n">
        <v>122</v>
      </c>
      <c r="B126" s="93" t="inlineStr">
        <is>
          <t>SBI Nifty 1D Rate Liquid ETF - Growth</t>
        </is>
      </c>
      <c r="C126" s="93" t="inlineStr">
        <is>
          <t>SBI Mutual Fund</t>
        </is>
      </c>
      <c r="D126" s="93" t="inlineStr">
        <is>
          <t>Index Fund</t>
        </is>
      </c>
      <c r="E126" s="94" t="n">
        <v>0.43</v>
      </c>
      <c r="F126" s="94" t="n">
        <v>1.24</v>
      </c>
      <c r="G126" s="94" t="n">
        <v>2.44</v>
      </c>
      <c r="H126" s="94" t="n">
        <v>5.06</v>
      </c>
      <c r="I126" s="94" t="n">
        <v>0</v>
      </c>
      <c r="J126" s="94" t="n">
        <v>0</v>
      </c>
      <c r="K126" s="17" t="n">
        <v>54.4</v>
      </c>
      <c r="L126" s="18" t="n">
        <v>0</v>
      </c>
      <c r="M126" s="19" t="n">
        <v>29.9</v>
      </c>
      <c r="N126" s="95" t="inlineStr">
        <is>
          <t>➡️ Neutral</t>
        </is>
      </c>
      <c r="O126" s="95" t="inlineStr">
        <is>
          <t>⏳ New Fund</t>
        </is>
      </c>
      <c r="P126" s="95" t="inlineStr">
        <is>
          <t>⏳ New Fund</t>
        </is>
      </c>
      <c r="Q126" s="96" t="inlineStr">
        <is>
          <t>MOMENTUM_ONLY</t>
        </is>
      </c>
    </row>
    <row r="127" ht="16" customHeight="1">
      <c r="A127" s="92" t="n">
        <v>123</v>
      </c>
      <c r="B127" s="93" t="inlineStr">
        <is>
          <t>Zerodha Nifty 1D Rate Liquid ETF - Growth Option</t>
        </is>
      </c>
      <c r="C127" s="93" t="inlineStr">
        <is>
          <t>Zerodha Mutual Fund</t>
        </is>
      </c>
      <c r="D127" s="93" t="inlineStr">
        <is>
          <t>Index Fund</t>
        </is>
      </c>
      <c r="E127" s="94" t="n">
        <v>0.42</v>
      </c>
      <c r="F127" s="94" t="n">
        <v>1.22</v>
      </c>
      <c r="G127" s="94" t="n">
        <v>2.42</v>
      </c>
      <c r="H127" s="94" t="n">
        <v>5.03</v>
      </c>
      <c r="I127" s="94" t="n">
        <v>5.49881515922348</v>
      </c>
      <c r="J127" s="94" t="n">
        <v>0</v>
      </c>
      <c r="K127" s="17" t="n">
        <v>53.4</v>
      </c>
      <c r="L127" s="18" t="n">
        <v>0</v>
      </c>
      <c r="M127" s="19" t="n">
        <v>29.4</v>
      </c>
      <c r="N127" s="95" t="inlineStr">
        <is>
          <t>➡️ Neutral</t>
        </is>
      </c>
      <c r="O127" s="95" t="inlineStr">
        <is>
          <t>⏳ New Fund</t>
        </is>
      </c>
      <c r="P127" s="95" t="inlineStr">
        <is>
          <t>⏳ New Fund</t>
        </is>
      </c>
      <c r="Q127" s="96" t="inlineStr">
        <is>
          <t>MOMENTUM_ONLY</t>
        </is>
      </c>
    </row>
    <row r="128" ht="16" customHeight="1">
      <c r="A128" s="92" t="n">
        <v>124</v>
      </c>
      <c r="B128" s="93" t="inlineStr">
        <is>
          <t>HDFC NIFTY 1D RATE LIQUID ETF GROWTH</t>
        </is>
      </c>
      <c r="C128" s="93" t="inlineStr">
        <is>
          <t>HDFC Mutual Fund</t>
        </is>
      </c>
      <c r="D128" s="93" t="inlineStr">
        <is>
          <t>Index Fund</t>
        </is>
      </c>
      <c r="E128" s="94" t="n">
        <v>0.42</v>
      </c>
      <c r="F128" s="94" t="n">
        <v>1.23</v>
      </c>
      <c r="G128" s="94" t="n">
        <v>2.42</v>
      </c>
      <c r="H128" s="94" t="n">
        <v>4.92</v>
      </c>
      <c r="I128" s="94" t="n">
        <v>0</v>
      </c>
      <c r="J128" s="94" t="n">
        <v>0</v>
      </c>
      <c r="K128" s="17" t="n">
        <v>53.2</v>
      </c>
      <c r="L128" s="18" t="n">
        <v>0</v>
      </c>
      <c r="M128" s="19" t="n">
        <v>29.3</v>
      </c>
      <c r="N128" s="95" t="inlineStr">
        <is>
          <t>➡️ Neutral</t>
        </is>
      </c>
      <c r="O128" s="95" t="inlineStr">
        <is>
          <t>⏳ New Fund</t>
        </is>
      </c>
      <c r="P128" s="95" t="inlineStr">
        <is>
          <t>⏳ New Fund</t>
        </is>
      </c>
      <c r="Q128" s="96" t="inlineStr">
        <is>
          <t>MOMENTUM_ONLY</t>
        </is>
      </c>
    </row>
    <row r="129" ht="16" customHeight="1">
      <c r="A129" s="92" t="n">
        <v>125</v>
      </c>
      <c r="B129" s="93" t="inlineStr">
        <is>
          <t>DSP BSE Liquid Rate ETF</t>
        </is>
      </c>
      <c r="C129" s="93" t="inlineStr">
        <is>
          <t>DSP Mutual Fund</t>
        </is>
      </c>
      <c r="D129" s="93" t="inlineStr">
        <is>
          <t>Index Fund</t>
        </is>
      </c>
      <c r="E129" s="94" t="n">
        <v>0.42</v>
      </c>
      <c r="F129" s="94" t="n">
        <v>1.22</v>
      </c>
      <c r="G129" s="94" t="n">
        <v>2.41</v>
      </c>
      <c r="H129" s="94" t="n">
        <v>5</v>
      </c>
      <c r="I129" s="94" t="n">
        <v>5.470374987481685</v>
      </c>
      <c r="J129" s="94" t="n">
        <v>0</v>
      </c>
      <c r="K129" s="17" t="n">
        <v>53.1</v>
      </c>
      <c r="L129" s="18" t="n">
        <v>0</v>
      </c>
      <c r="M129" s="19" t="n">
        <v>29.2</v>
      </c>
      <c r="N129" s="95" t="inlineStr">
        <is>
          <t>➡️ Neutral</t>
        </is>
      </c>
      <c r="O129" s="95" t="inlineStr">
        <is>
          <t>⏳ New Fund</t>
        </is>
      </c>
      <c r="P129" s="95" t="inlineStr">
        <is>
          <t>⏳ New Fund</t>
        </is>
      </c>
      <c r="Q129" s="96" t="inlineStr">
        <is>
          <t>MOMENTUM_ONLY</t>
        </is>
      </c>
    </row>
    <row r="130" ht="16" customHeight="1">
      <c r="A130" s="92" t="n">
        <v>126</v>
      </c>
      <c r="B130" s="93" t="inlineStr">
        <is>
          <t>Bajaj Finserv Nifty 1D Rate Liquid ETF</t>
        </is>
      </c>
      <c r="C130" s="93" t="inlineStr">
        <is>
          <t>Bajaj Finserv Mutual Fund</t>
        </is>
      </c>
      <c r="D130" s="93" t="inlineStr">
        <is>
          <t>Index Fund</t>
        </is>
      </c>
      <c r="E130" s="94" t="n">
        <v>0.42</v>
      </c>
      <c r="F130" s="94" t="n">
        <v>1.2</v>
      </c>
      <c r="G130" s="94" t="n">
        <v>2.38</v>
      </c>
      <c r="H130" s="94" t="n">
        <v>4.91</v>
      </c>
      <c r="I130" s="94" t="n">
        <v>4.642247682281742</v>
      </c>
      <c r="J130" s="94" t="n">
        <v>0</v>
      </c>
      <c r="K130" s="17" t="n">
        <v>52.7</v>
      </c>
      <c r="L130" s="18" t="n">
        <v>0</v>
      </c>
      <c r="M130" s="19" t="n">
        <v>29</v>
      </c>
      <c r="N130" s="95" t="inlineStr">
        <is>
          <t>➡️ Neutral</t>
        </is>
      </c>
      <c r="O130" s="95" t="inlineStr">
        <is>
          <t>⏳ New Fund</t>
        </is>
      </c>
      <c r="P130" s="95" t="inlineStr">
        <is>
          <t>⏳ New Fund</t>
        </is>
      </c>
      <c r="Q130" s="96" t="inlineStr">
        <is>
          <t>MOMENTUM_ONLY</t>
        </is>
      </c>
    </row>
    <row r="131" ht="16" customHeight="1">
      <c r="A131" s="13" t="n">
        <v>127</v>
      </c>
      <c r="B131" s="14" t="inlineStr">
        <is>
          <t>LIC MF Nifty 8-13 yr G-Sec ETF</t>
        </is>
      </c>
      <c r="C131" s="14" t="inlineStr">
        <is>
          <t>LIC Mutual Fund</t>
        </is>
      </c>
      <c r="D131" s="14" t="inlineStr">
        <is>
          <t>G-SEC</t>
        </is>
      </c>
      <c r="E131" s="15" t="n">
        <v>0.27</v>
      </c>
      <c r="F131" s="15" t="n">
        <v>3.4</v>
      </c>
      <c r="G131" s="15" t="n">
        <v>2.31</v>
      </c>
      <c r="H131" s="15" t="n">
        <v>4.04</v>
      </c>
      <c r="I131" s="15" t="n">
        <v>6.587991818966166</v>
      </c>
      <c r="J131" s="15" t="n">
        <v>23.86</v>
      </c>
      <c r="K131" s="17" t="n">
        <v>52.6</v>
      </c>
      <c r="L131" s="18" t="n">
        <v>0</v>
      </c>
      <c r="M131" s="19" t="n">
        <v>28.9</v>
      </c>
      <c r="N131" s="20" t="inlineStr">
        <is>
          <t>➡️ Neutral</t>
        </is>
      </c>
      <c r="O131" s="20" t="inlineStr">
        <is>
          <t>🔴 Not Qualified</t>
        </is>
      </c>
      <c r="P131" s="20" t="inlineStr">
        <is>
          <t>🔴 Avoid</t>
        </is>
      </c>
      <c r="Q131" s="83" t="inlineStr">
        <is>
          <t>FULL</t>
        </is>
      </c>
    </row>
    <row r="132" ht="16" customHeight="1">
      <c r="A132" s="92" t="n">
        <v>128</v>
      </c>
      <c r="B132" s="93" t="inlineStr">
        <is>
          <t>Kotak Nifty200 Quality 30 ETF</t>
        </is>
      </c>
      <c r="C132" s="93" t="inlineStr">
        <is>
          <t>Kotak Mahindra Mutual Fund</t>
        </is>
      </c>
      <c r="D132" s="93" t="inlineStr">
        <is>
          <t>Index Fund</t>
        </is>
      </c>
      <c r="E132" s="94" t="n">
        <v>2.43</v>
      </c>
      <c r="F132" s="94" t="n">
        <v>2.6</v>
      </c>
      <c r="G132" s="94" t="n">
        <v>0.51</v>
      </c>
      <c r="H132" s="94" t="n">
        <v>3.48</v>
      </c>
      <c r="I132" s="94" t="n">
        <v>0</v>
      </c>
      <c r="J132" s="94" t="n">
        <v>0</v>
      </c>
      <c r="K132" s="17" t="n">
        <v>52.4</v>
      </c>
      <c r="L132" s="18" t="n">
        <v>0</v>
      </c>
      <c r="M132" s="19" t="n">
        <v>28.8</v>
      </c>
      <c r="N132" s="95" t="inlineStr">
        <is>
          <t>➡️ Neutral</t>
        </is>
      </c>
      <c r="O132" s="95" t="inlineStr">
        <is>
          <t>⏳ New Fund</t>
        </is>
      </c>
      <c r="P132" s="95" t="inlineStr">
        <is>
          <t>⏳ New Fund</t>
        </is>
      </c>
      <c r="Q132" s="96" t="inlineStr">
        <is>
          <t>MOMENTUM_ONLY</t>
        </is>
      </c>
    </row>
    <row r="133" ht="16" customHeight="1">
      <c r="A133" s="13" t="n">
        <v>129</v>
      </c>
      <c r="B133" s="14" t="inlineStr">
        <is>
          <t>DSP Nifty 50 Equal Weight ETF</t>
        </is>
      </c>
      <c r="C133" s="14" t="inlineStr">
        <is>
          <t>DSP Mutual Fund</t>
        </is>
      </c>
      <c r="D133" s="14" t="inlineStr">
        <is>
          <t>Index Fund</t>
        </is>
      </c>
      <c r="E133" s="15" t="n">
        <v>0.65</v>
      </c>
      <c r="F133" s="15" t="n">
        <v>2.85</v>
      </c>
      <c r="G133" s="16" t="n">
        <v>-1.2</v>
      </c>
      <c r="H133" s="15" t="n">
        <v>7</v>
      </c>
      <c r="I133" s="15" t="n">
        <v>3.537432844358279</v>
      </c>
      <c r="J133" s="15" t="n">
        <v>48.92</v>
      </c>
      <c r="K133" s="17" t="n">
        <v>51.6</v>
      </c>
      <c r="L133" s="18" t="n">
        <v>0</v>
      </c>
      <c r="M133" s="19" t="n">
        <v>28.4</v>
      </c>
      <c r="N133" s="20" t="inlineStr">
        <is>
          <t>➡️ Neutral</t>
        </is>
      </c>
      <c r="O133" s="20" t="inlineStr">
        <is>
          <t>🔴 Not Qualified</t>
        </is>
      </c>
      <c r="P133" s="20" t="inlineStr">
        <is>
          <t>🔴 Avoid</t>
        </is>
      </c>
      <c r="Q133" s="83" t="inlineStr">
        <is>
          <t>FULL</t>
        </is>
      </c>
    </row>
    <row r="134" ht="16" customHeight="1">
      <c r="A134" s="92" t="n">
        <v>130</v>
      </c>
      <c r="B134" s="93" t="inlineStr">
        <is>
          <t>MOTILAL OSWAL NIFTY 50 EQUAL WEIGHT ETF</t>
        </is>
      </c>
      <c r="C134" s="93" t="inlineStr">
        <is>
          <t>Motilal Oswal Mutual Fund</t>
        </is>
      </c>
      <c r="D134" s="93" t="inlineStr">
        <is>
          <t>Index Fund</t>
        </is>
      </c>
      <c r="E134" s="94" t="n">
        <v>0.65</v>
      </c>
      <c r="F134" s="94" t="n">
        <v>2.81</v>
      </c>
      <c r="G134" s="97" t="n">
        <v>-1.24</v>
      </c>
      <c r="H134" s="94" t="n">
        <v>7.01</v>
      </c>
      <c r="I134" s="94" t="n">
        <v>0</v>
      </c>
      <c r="J134" s="94" t="n">
        <v>0</v>
      </c>
      <c r="K134" s="17" t="n">
        <v>51.5</v>
      </c>
      <c r="L134" s="18" t="n">
        <v>0</v>
      </c>
      <c r="M134" s="19" t="n">
        <v>28.3</v>
      </c>
      <c r="N134" s="95" t="inlineStr">
        <is>
          <t>➡️ Neutral</t>
        </is>
      </c>
      <c r="O134" s="95" t="inlineStr">
        <is>
          <t>⏳ New Fund</t>
        </is>
      </c>
      <c r="P134" s="95" t="inlineStr">
        <is>
          <t>⏳ New Fund</t>
        </is>
      </c>
      <c r="Q134" s="96" t="inlineStr">
        <is>
          <t>MOMENTUM_ONLY</t>
        </is>
      </c>
    </row>
    <row r="135" ht="16" customHeight="1">
      <c r="A135" s="92" t="n">
        <v>131</v>
      </c>
      <c r="B135" s="93" t="inlineStr">
        <is>
          <t>Shriram Nifty 1D Rate Liquid ETF - Growth</t>
        </is>
      </c>
      <c r="C135" s="93" t="inlineStr">
        <is>
          <t>Shriram Mutual Fund</t>
        </is>
      </c>
      <c r="D135" s="93" t="inlineStr">
        <is>
          <t>Index Fund</t>
        </is>
      </c>
      <c r="E135" s="94" t="n">
        <v>0.4</v>
      </c>
      <c r="F135" s="94" t="n">
        <v>1.17</v>
      </c>
      <c r="G135" s="94" t="n">
        <v>2.31</v>
      </c>
      <c r="H135" s="94" t="n">
        <v>4.82</v>
      </c>
      <c r="I135" s="94" t="n">
        <v>5.318564365452683</v>
      </c>
      <c r="J135" s="94" t="n">
        <v>0</v>
      </c>
      <c r="K135" s="17" t="n">
        <v>51.4</v>
      </c>
      <c r="L135" s="18" t="n">
        <v>0</v>
      </c>
      <c r="M135" s="19" t="n">
        <v>28.3</v>
      </c>
      <c r="N135" s="95" t="inlineStr">
        <is>
          <t>➡️ Neutral</t>
        </is>
      </c>
      <c r="O135" s="95" t="inlineStr">
        <is>
          <t>⏳ New Fund</t>
        </is>
      </c>
      <c r="P135" s="95" t="inlineStr">
        <is>
          <t>⏳ New Fund</t>
        </is>
      </c>
      <c r="Q135" s="96" t="inlineStr">
        <is>
          <t>MOMENTUM_ONLY</t>
        </is>
      </c>
    </row>
    <row r="136" ht="16" customHeight="1">
      <c r="A136" s="28" t="n">
        <v>132</v>
      </c>
      <c r="B136" s="29" t="inlineStr">
        <is>
          <t>ICICI Prudential Nifty 200 Quality 30 ETF</t>
        </is>
      </c>
      <c r="C136" s="29" t="inlineStr">
        <is>
          <t>ICICI Prudential Mutual Fund</t>
        </is>
      </c>
      <c r="D136" s="29" t="inlineStr">
        <is>
          <t>Index Fund</t>
        </is>
      </c>
      <c r="E136" s="30" t="n">
        <v>2.39</v>
      </c>
      <c r="F136" s="30" t="n">
        <v>2.46</v>
      </c>
      <c r="G136" s="30" t="n">
        <v>0.35</v>
      </c>
      <c r="H136" s="30" t="n">
        <v>3.29</v>
      </c>
      <c r="I136" s="91" t="n">
        <v>-2.378281105073754</v>
      </c>
      <c r="J136" s="91" t="n">
        <v>-86.5</v>
      </c>
      <c r="K136" s="17" t="n">
        <v>51.3</v>
      </c>
      <c r="L136" s="18" t="n">
        <v>0</v>
      </c>
      <c r="M136" s="19" t="n">
        <v>28.2</v>
      </c>
      <c r="N136" s="31" t="inlineStr">
        <is>
          <t>➡️ Neutral</t>
        </is>
      </c>
      <c r="O136" s="31" t="inlineStr">
        <is>
          <t>🔴 Not Qualified</t>
        </is>
      </c>
      <c r="P136" s="31" t="inlineStr">
        <is>
          <t>🔴 Avoid</t>
        </is>
      </c>
      <c r="Q136" s="83" t="inlineStr">
        <is>
          <t>FULL</t>
        </is>
      </c>
    </row>
    <row r="137" ht="16" customHeight="1">
      <c r="A137" s="92" t="n">
        <v>132</v>
      </c>
      <c r="B137" s="93" t="inlineStr">
        <is>
          <t>Nippon India Nifty 1D Rate Liquid ETF-Growth</t>
        </is>
      </c>
      <c r="C137" s="93" t="inlineStr">
        <is>
          <t>Nippon India Mutual Fund</t>
        </is>
      </c>
      <c r="D137" s="93" t="inlineStr">
        <is>
          <t>Index Fund</t>
        </is>
      </c>
      <c r="E137" s="94" t="n">
        <v>0.4</v>
      </c>
      <c r="F137" s="94" t="n">
        <v>1.17</v>
      </c>
      <c r="G137" s="94" t="n">
        <v>2.31</v>
      </c>
      <c r="H137" s="94" t="n">
        <v>4.8</v>
      </c>
      <c r="I137" s="94" t="n">
        <v>0</v>
      </c>
      <c r="J137" s="94" t="n">
        <v>0</v>
      </c>
      <c r="K137" s="17" t="n">
        <v>51.3</v>
      </c>
      <c r="L137" s="18" t="n">
        <v>0</v>
      </c>
      <c r="M137" s="19" t="n">
        <v>28.2</v>
      </c>
      <c r="N137" s="95" t="inlineStr">
        <is>
          <t>➡️ Neutral</t>
        </is>
      </c>
      <c r="O137" s="95" t="inlineStr">
        <is>
          <t>⏳ New Fund</t>
        </is>
      </c>
      <c r="P137" s="95" t="inlineStr">
        <is>
          <t>⏳ New Fund</t>
        </is>
      </c>
      <c r="Q137" s="96" t="inlineStr">
        <is>
          <t>MOMENTUM_ONLY</t>
        </is>
      </c>
    </row>
    <row r="138" ht="16" customHeight="1">
      <c r="A138" s="28" t="n">
        <v>134</v>
      </c>
      <c r="B138" s="29" t="inlineStr">
        <is>
          <t>Nippon India ETF Nifty 8-13 yr G-Sec Long Term Gilt</t>
        </is>
      </c>
      <c r="C138" s="29" t="inlineStr">
        <is>
          <t>Nippon India Mutual Fund</t>
        </is>
      </c>
      <c r="D138" s="29" t="inlineStr">
        <is>
          <t>G-SEC</t>
        </is>
      </c>
      <c r="E138" s="30" t="n">
        <v>0.26</v>
      </c>
      <c r="F138" s="30" t="n">
        <v>3.35</v>
      </c>
      <c r="G138" s="30" t="n">
        <v>2.29</v>
      </c>
      <c r="H138" s="30" t="n">
        <v>4.04</v>
      </c>
      <c r="I138" s="30" t="n">
        <v>6.616133863501172</v>
      </c>
      <c r="J138" s="30" t="n">
        <v>23.97</v>
      </c>
      <c r="K138" s="17" t="n">
        <v>51.3</v>
      </c>
      <c r="L138" s="18" t="n">
        <v>0</v>
      </c>
      <c r="M138" s="19" t="n">
        <v>28.2</v>
      </c>
      <c r="N138" s="31" t="inlineStr">
        <is>
          <t>➡️ Neutral</t>
        </is>
      </c>
      <c r="O138" s="31" t="inlineStr">
        <is>
          <t>🔴 Not Qualified</t>
        </is>
      </c>
      <c r="P138" s="31" t="inlineStr">
        <is>
          <t>🔴 Avoid</t>
        </is>
      </c>
      <c r="Q138" s="83" t="inlineStr">
        <is>
          <t>FULL</t>
        </is>
      </c>
    </row>
    <row r="139" ht="16" customHeight="1">
      <c r="A139" s="13" t="n">
        <v>135</v>
      </c>
      <c r="B139" s="14" t="inlineStr">
        <is>
          <t>SBI Nifty 200 Quality 30 ETF</t>
        </is>
      </c>
      <c r="C139" s="14" t="inlineStr">
        <is>
          <t>SBI Mutual Fund</t>
        </is>
      </c>
      <c r="D139" s="14" t="inlineStr">
        <is>
          <t>Index Fund</t>
        </is>
      </c>
      <c r="E139" s="15" t="n">
        <v>2.39</v>
      </c>
      <c r="F139" s="15" t="n">
        <v>2.46</v>
      </c>
      <c r="G139" s="15" t="n">
        <v>0.35</v>
      </c>
      <c r="H139" s="15" t="n">
        <v>3.28</v>
      </c>
      <c r="I139" s="16" t="n">
        <v>-2.475644067750948</v>
      </c>
      <c r="J139" s="15" t="n">
        <v>34.42</v>
      </c>
      <c r="K139" s="17" t="n">
        <v>51.2</v>
      </c>
      <c r="L139" s="18" t="n">
        <v>0</v>
      </c>
      <c r="M139" s="19" t="n">
        <v>28.2</v>
      </c>
      <c r="N139" s="20" t="inlineStr">
        <is>
          <t>➡️ Neutral</t>
        </is>
      </c>
      <c r="O139" s="20" t="inlineStr">
        <is>
          <t>🔴 Not Qualified</t>
        </is>
      </c>
      <c r="P139" s="20" t="inlineStr">
        <is>
          <t>🔴 Avoid</t>
        </is>
      </c>
      <c r="Q139" s="83" t="inlineStr">
        <is>
          <t>FULL</t>
        </is>
      </c>
    </row>
    <row r="140" ht="16" customHeight="1">
      <c r="A140" s="92" t="n">
        <v>136</v>
      </c>
      <c r="B140" s="93" t="inlineStr">
        <is>
          <t>Mirae Asset Nifty 50 Equal Weight ETF</t>
        </is>
      </c>
      <c r="C140" s="93" t="inlineStr">
        <is>
          <t>Mirae Asset Mutual Fund</t>
        </is>
      </c>
      <c r="D140" s="93" t="inlineStr">
        <is>
          <t>Index Fund</t>
        </is>
      </c>
      <c r="E140" s="94" t="n">
        <v>0.68</v>
      </c>
      <c r="F140" s="94" t="n">
        <v>2.9</v>
      </c>
      <c r="G140" s="97" t="n">
        <v>-1.46</v>
      </c>
      <c r="H140" s="94" t="n">
        <v>6.8</v>
      </c>
      <c r="I140" s="94" t="n">
        <v>0</v>
      </c>
      <c r="J140" s="94" t="n">
        <v>0</v>
      </c>
      <c r="K140" s="17" t="n">
        <v>51.2</v>
      </c>
      <c r="L140" s="18" t="n">
        <v>0</v>
      </c>
      <c r="M140" s="19" t="n">
        <v>28.2</v>
      </c>
      <c r="N140" s="95" t="inlineStr">
        <is>
          <t>➡️ Neutral</t>
        </is>
      </c>
      <c r="O140" s="95" t="inlineStr">
        <is>
          <t>⏳ New Fund</t>
        </is>
      </c>
      <c r="P140" s="95" t="inlineStr">
        <is>
          <t>⏳ New Fund</t>
        </is>
      </c>
      <c r="Q140" s="96" t="inlineStr">
        <is>
          <t>MOMENTUM_ONLY</t>
        </is>
      </c>
    </row>
    <row r="141" ht="16" customHeight="1">
      <c r="A141" s="92" t="n">
        <v>137</v>
      </c>
      <c r="B141" s="93" t="inlineStr">
        <is>
          <t>Mirae Asset Nifty India Infrastructure &amp; Logistics ETF</t>
        </is>
      </c>
      <c r="C141" s="93" t="inlineStr">
        <is>
          <t>Mirae Asset Mutual Fund</t>
        </is>
      </c>
      <c r="D141" s="93" t="inlineStr">
        <is>
          <t>Infrastructure</t>
        </is>
      </c>
      <c r="E141" s="94" t="n">
        <v>0.09</v>
      </c>
      <c r="F141" s="94" t="n">
        <v>3.68</v>
      </c>
      <c r="G141" s="94" t="n">
        <v>5.13</v>
      </c>
      <c r="H141" s="94" t="n">
        <v>0</v>
      </c>
      <c r="I141" s="94" t="n">
        <v>0</v>
      </c>
      <c r="J141" s="94" t="n">
        <v>0</v>
      </c>
      <c r="K141" s="17" t="n">
        <v>51</v>
      </c>
      <c r="L141" s="18" t="n">
        <v>0</v>
      </c>
      <c r="M141" s="19" t="n">
        <v>28.1</v>
      </c>
      <c r="N141" s="95" t="inlineStr">
        <is>
          <t>➡️ Neutral</t>
        </is>
      </c>
      <c r="O141" s="95" t="inlineStr">
        <is>
          <t>⏳ New Fund</t>
        </is>
      </c>
      <c r="P141" s="95" t="inlineStr">
        <is>
          <t>⏳ New Fund</t>
        </is>
      </c>
      <c r="Q141" s="96" t="inlineStr">
        <is>
          <t>MOMENTUM_ONLY</t>
        </is>
      </c>
    </row>
    <row r="142" ht="16" customHeight="1">
      <c r="A142" s="92" t="n">
        <v>138</v>
      </c>
      <c r="B142" s="93" t="inlineStr">
        <is>
          <t>Aditya Birla Sun Life Crisil 10 Year Gilt ETF</t>
        </is>
      </c>
      <c r="C142" s="93" t="inlineStr">
        <is>
          <t>Aditya Birla Sun Life Mutual Fund</t>
        </is>
      </c>
      <c r="D142" s="93" t="inlineStr">
        <is>
          <t>GILT</t>
        </is>
      </c>
      <c r="E142" s="94" t="n">
        <v>0.24</v>
      </c>
      <c r="F142" s="94" t="n">
        <v>3.51</v>
      </c>
      <c r="G142" s="94" t="n">
        <v>2.25</v>
      </c>
      <c r="H142" s="94" t="n">
        <v>3.33</v>
      </c>
      <c r="I142" s="94" t="n">
        <v>6.160256216721716</v>
      </c>
      <c r="J142" s="94" t="n">
        <v>0</v>
      </c>
      <c r="K142" s="17" t="n">
        <v>50.9</v>
      </c>
      <c r="L142" s="18" t="n">
        <v>0</v>
      </c>
      <c r="M142" s="19" t="n">
        <v>28</v>
      </c>
      <c r="N142" s="95" t="inlineStr">
        <is>
          <t>➡️ Neutral</t>
        </is>
      </c>
      <c r="O142" s="95" t="inlineStr">
        <is>
          <t>⏳ New Fund</t>
        </is>
      </c>
      <c r="P142" s="95" t="inlineStr">
        <is>
          <t>⏳ New Fund</t>
        </is>
      </c>
      <c r="Q142" s="96" t="inlineStr">
        <is>
          <t>MOMENTUM_ONLY</t>
        </is>
      </c>
    </row>
    <row r="143" ht="16" customHeight="1">
      <c r="A143" s="92" t="n">
        <v>139</v>
      </c>
      <c r="B143" s="93" t="inlineStr">
        <is>
          <t>SBI Nifty50 Equal Weight ETF</t>
        </is>
      </c>
      <c r="C143" s="93" t="inlineStr">
        <is>
          <t>SBI Mutual Fund</t>
        </is>
      </c>
      <c r="D143" s="93" t="inlineStr">
        <is>
          <t>Index Fund</t>
        </is>
      </c>
      <c r="E143" s="94" t="n">
        <v>0.64</v>
      </c>
      <c r="F143" s="94" t="n">
        <v>2.77</v>
      </c>
      <c r="G143" s="97" t="n">
        <v>-1.31</v>
      </c>
      <c r="H143" s="94" t="n">
        <v>6.86</v>
      </c>
      <c r="I143" s="94" t="n">
        <v>3.440804327886005</v>
      </c>
      <c r="J143" s="94" t="n">
        <v>0</v>
      </c>
      <c r="K143" s="17" t="n">
        <v>50.8</v>
      </c>
      <c r="L143" s="18" t="n">
        <v>0</v>
      </c>
      <c r="M143" s="19" t="n">
        <v>28</v>
      </c>
      <c r="N143" s="95" t="inlineStr">
        <is>
          <t>➡️ Neutral</t>
        </is>
      </c>
      <c r="O143" s="95" t="inlineStr">
        <is>
          <t>⏳ New Fund</t>
        </is>
      </c>
      <c r="P143" s="95" t="inlineStr">
        <is>
          <t>⏳ New Fund</t>
        </is>
      </c>
      <c r="Q143" s="96" t="inlineStr">
        <is>
          <t>MOMENTUM_ONLY</t>
        </is>
      </c>
    </row>
    <row r="144" ht="16" customHeight="1">
      <c r="A144" s="92" t="n">
        <v>140</v>
      </c>
      <c r="B144" s="93" t="inlineStr">
        <is>
          <t>Kotak MSCI India ETF</t>
        </is>
      </c>
      <c r="C144" s="93" t="inlineStr">
        <is>
          <t>Kotak Mahindra Mutual Fund</t>
        </is>
      </c>
      <c r="D144" s="93" t="inlineStr">
        <is>
          <t>Standard Equity/Debt</t>
        </is>
      </c>
      <c r="E144" s="94" t="n">
        <v>0.51</v>
      </c>
      <c r="F144" s="94" t="n">
        <v>3.88</v>
      </c>
      <c r="G144" s="97" t="n">
        <v>-2.34</v>
      </c>
      <c r="H144" s="94" t="n">
        <v>3.18</v>
      </c>
      <c r="I144" s="94" t="n">
        <v>0</v>
      </c>
      <c r="J144" s="94" t="n">
        <v>0</v>
      </c>
      <c r="K144" s="37" t="n">
        <v>49.6</v>
      </c>
      <c r="L144" s="18" t="n">
        <v>0</v>
      </c>
      <c r="M144" s="19" t="n">
        <v>27.3</v>
      </c>
      <c r="N144" s="95" t="inlineStr">
        <is>
          <t>➡️ Neutral</t>
        </is>
      </c>
      <c r="O144" s="95" t="inlineStr">
        <is>
          <t>⏳ New Fund</t>
        </is>
      </c>
      <c r="P144" s="95" t="inlineStr">
        <is>
          <t>⏳ New Fund</t>
        </is>
      </c>
      <c r="Q144" s="96" t="inlineStr">
        <is>
          <t>MOMENTUM_ONLY</t>
        </is>
      </c>
    </row>
    <row r="145" ht="16" customHeight="1">
      <c r="A145" s="92" t="n">
        <v>140</v>
      </c>
      <c r="B145" s="93" t="inlineStr">
        <is>
          <t>Edelweiss Nifty LargeMidcap 250 ETF - Growth</t>
        </is>
      </c>
      <c r="C145" s="93" t="inlineStr">
        <is>
          <t>Edelweiss Mutual Fund</t>
        </is>
      </c>
      <c r="D145" s="93" t="inlineStr">
        <is>
          <t>Index Fund</t>
        </is>
      </c>
      <c r="E145" s="94" t="n">
        <v>0.9399999999999999</v>
      </c>
      <c r="F145" s="94" t="n">
        <v>4.04</v>
      </c>
      <c r="G145" s="94" t="n">
        <v>0.49</v>
      </c>
      <c r="H145" s="94" t="n">
        <v>0</v>
      </c>
      <c r="I145" s="94" t="n">
        <v>0</v>
      </c>
      <c r="J145" s="94" t="n">
        <v>0</v>
      </c>
      <c r="K145" s="37" t="n">
        <v>49.6</v>
      </c>
      <c r="L145" s="18" t="n">
        <v>0</v>
      </c>
      <c r="M145" s="19" t="n">
        <v>27.3</v>
      </c>
      <c r="N145" s="95" t="inlineStr">
        <is>
          <t>➡️ Neutral</t>
        </is>
      </c>
      <c r="O145" s="95" t="inlineStr">
        <is>
          <t>⏳ New Fund</t>
        </is>
      </c>
      <c r="P145" s="95" t="inlineStr">
        <is>
          <t>⏳ New Fund</t>
        </is>
      </c>
      <c r="Q145" s="96" t="inlineStr">
        <is>
          <t>MOMENTUM_ONLY</t>
        </is>
      </c>
    </row>
    <row r="146" ht="16" customHeight="1">
      <c r="A146" s="92" t="n">
        <v>142</v>
      </c>
      <c r="B146" s="93" t="inlineStr">
        <is>
          <t>Kotak Nifty 200 Momentum 30 ETF</t>
        </is>
      </c>
      <c r="C146" s="93" t="inlineStr">
        <is>
          <t>Kotak Mahindra Mutual Fund</t>
        </is>
      </c>
      <c r="D146" s="93" t="inlineStr">
        <is>
          <t>Index Fund</t>
        </is>
      </c>
      <c r="E146" s="94" t="n">
        <v>3.05</v>
      </c>
      <c r="F146" s="94" t="n">
        <v>3.77</v>
      </c>
      <c r="G146" s="97" t="n">
        <v>-1.95</v>
      </c>
      <c r="H146" s="94" t="n">
        <v>0</v>
      </c>
      <c r="I146" s="94" t="n">
        <v>0</v>
      </c>
      <c r="J146" s="94" t="n">
        <v>0</v>
      </c>
      <c r="K146" s="37" t="n">
        <v>49.5</v>
      </c>
      <c r="L146" s="18" t="n">
        <v>0</v>
      </c>
      <c r="M146" s="19" t="n">
        <v>27.2</v>
      </c>
      <c r="N146" s="95" t="inlineStr">
        <is>
          <t>➡️ Neutral</t>
        </is>
      </c>
      <c r="O146" s="95" t="inlineStr">
        <is>
          <t>⏳ New Fund</t>
        </is>
      </c>
      <c r="P146" s="95" t="inlineStr">
        <is>
          <t>⏳ New Fund</t>
        </is>
      </c>
      <c r="Q146" s="96" t="inlineStr">
        <is>
          <t>MOMENTUM_ONLY</t>
        </is>
      </c>
    </row>
    <row r="147" ht="16" customHeight="1">
      <c r="A147" s="13" t="n">
        <v>143</v>
      </c>
      <c r="B147" s="14" t="inlineStr">
        <is>
          <t>Kotak Nifty 100 Low Volatility 30 ETF</t>
        </is>
      </c>
      <c r="C147" s="14" t="inlineStr">
        <is>
          <t>Kotak Mahindra Mutual Fund</t>
        </is>
      </c>
      <c r="D147" s="14" t="inlineStr">
        <is>
          <t>Index Fund</t>
        </is>
      </c>
      <c r="E147" s="15" t="n">
        <v>0.75</v>
      </c>
      <c r="F147" s="15" t="n">
        <v>3.9</v>
      </c>
      <c r="G147" s="16" t="n">
        <v>-2.19</v>
      </c>
      <c r="H147" s="15" t="n">
        <v>2.45</v>
      </c>
      <c r="I147" s="15" t="n">
        <v>1.479061879778931</v>
      </c>
      <c r="J147" s="15" t="n">
        <v>40.48</v>
      </c>
      <c r="K147" s="37" t="n">
        <v>49.3</v>
      </c>
      <c r="L147" s="18" t="n">
        <v>0</v>
      </c>
      <c r="M147" s="19" t="n">
        <v>27.1</v>
      </c>
      <c r="N147" s="20" t="inlineStr">
        <is>
          <t>➡️ Neutral</t>
        </is>
      </c>
      <c r="O147" s="20" t="inlineStr">
        <is>
          <t>🔴 Not Qualified</t>
        </is>
      </c>
      <c r="P147" s="20" t="inlineStr">
        <is>
          <t>🔴 Avoid</t>
        </is>
      </c>
      <c r="Q147" s="83" t="inlineStr">
        <is>
          <t>FULL</t>
        </is>
      </c>
    </row>
    <row r="148" ht="16" customHeight="1">
      <c r="A148" s="28" t="n">
        <v>144</v>
      </c>
      <c r="B148" s="29" t="inlineStr">
        <is>
          <t>ICICI Prudential Nifty Commodities ETF</t>
        </is>
      </c>
      <c r="C148" s="29" t="inlineStr">
        <is>
          <t>ICICI Prudential Mutual Fund</t>
        </is>
      </c>
      <c r="D148" s="29" t="inlineStr">
        <is>
          <t>Commodities</t>
        </is>
      </c>
      <c r="E148" s="91" t="n">
        <v>-0.07000000000000001</v>
      </c>
      <c r="F148" s="91" t="n">
        <v>-2.94</v>
      </c>
      <c r="G148" s="91" t="n">
        <v>-0.91</v>
      </c>
      <c r="H148" s="30" t="n">
        <v>13.82</v>
      </c>
      <c r="I148" s="30" t="n">
        <v>3.879738159084711</v>
      </c>
      <c r="J148" s="30" t="n">
        <v>61.38</v>
      </c>
      <c r="K148" s="37" t="n">
        <v>48.2</v>
      </c>
      <c r="L148" s="18" t="n">
        <v>0</v>
      </c>
      <c r="M148" s="19" t="n">
        <v>26.5</v>
      </c>
      <c r="N148" s="31" t="inlineStr">
        <is>
          <t>➡️ Neutral</t>
        </is>
      </c>
      <c r="O148" s="31" t="inlineStr">
        <is>
          <t>🔴 Not Qualified</t>
        </is>
      </c>
      <c r="P148" s="31" t="inlineStr">
        <is>
          <t>🔴 Avoid</t>
        </is>
      </c>
      <c r="Q148" s="83" t="inlineStr">
        <is>
          <t>FULL</t>
        </is>
      </c>
    </row>
    <row r="149" ht="16" customHeight="1">
      <c r="A149" s="13" t="n">
        <v>145</v>
      </c>
      <c r="B149" s="14" t="inlineStr">
        <is>
          <t>SBI Nifty 10 yr Benchmark G-Sec ETF</t>
        </is>
      </c>
      <c r="C149" s="14" t="inlineStr">
        <is>
          <t>SBI Mutual Fund</t>
        </is>
      </c>
      <c r="D149" s="14" t="inlineStr">
        <is>
          <t>G-SEC</t>
        </is>
      </c>
      <c r="E149" s="15" t="n">
        <v>0.23</v>
      </c>
      <c r="F149" s="15" t="n">
        <v>3.28</v>
      </c>
      <c r="G149" s="15" t="n">
        <v>2.11</v>
      </c>
      <c r="H149" s="15" t="n">
        <v>2.9</v>
      </c>
      <c r="I149" s="15" t="n">
        <v>6.042444332446428</v>
      </c>
      <c r="J149" s="15" t="n">
        <v>22.6</v>
      </c>
      <c r="K149" s="37" t="n">
        <v>47.7</v>
      </c>
      <c r="L149" s="18" t="n">
        <v>0</v>
      </c>
      <c r="M149" s="19" t="n">
        <v>26.3</v>
      </c>
      <c r="N149" s="20" t="inlineStr">
        <is>
          <t>➡️ Neutral</t>
        </is>
      </c>
      <c r="O149" s="20" t="inlineStr">
        <is>
          <t>🔴 Not Qualified</t>
        </is>
      </c>
      <c r="P149" s="20" t="inlineStr">
        <is>
          <t>🔴 Avoid</t>
        </is>
      </c>
      <c r="Q149" s="83" t="inlineStr">
        <is>
          <t>FULL</t>
        </is>
      </c>
    </row>
    <row r="150" ht="16" customHeight="1">
      <c r="A150" s="28" t="n">
        <v>146</v>
      </c>
      <c r="B150" s="29" t="inlineStr">
        <is>
          <t>ICICI Prudential Nifty 10 yr Benchmark G-sec ETF</t>
        </is>
      </c>
      <c r="C150" s="29" t="inlineStr">
        <is>
          <t>ICICI Prudential Mutual Fund</t>
        </is>
      </c>
      <c r="D150" s="29" t="inlineStr">
        <is>
          <t>G-SEC</t>
        </is>
      </c>
      <c r="E150" s="30" t="n">
        <v>0.23</v>
      </c>
      <c r="F150" s="30" t="n">
        <v>3.26</v>
      </c>
      <c r="G150" s="30" t="n">
        <v>2.1</v>
      </c>
      <c r="H150" s="30" t="n">
        <v>2.89</v>
      </c>
      <c r="I150" s="30" t="n">
        <v>5.981130395934153</v>
      </c>
      <c r="J150" s="30" t="n">
        <v>22.39</v>
      </c>
      <c r="K150" s="37" t="n">
        <v>47.4</v>
      </c>
      <c r="L150" s="18" t="n">
        <v>0</v>
      </c>
      <c r="M150" s="19" t="n">
        <v>26</v>
      </c>
      <c r="N150" s="31" t="inlineStr">
        <is>
          <t>➡️ Neutral</t>
        </is>
      </c>
      <c r="O150" s="31" t="inlineStr">
        <is>
          <t>🔴 Not Qualified</t>
        </is>
      </c>
      <c r="P150" s="31" t="inlineStr">
        <is>
          <t>🔴 Avoid</t>
        </is>
      </c>
      <c r="Q150" s="83" t="inlineStr">
        <is>
          <t>FULL</t>
        </is>
      </c>
    </row>
    <row r="151" ht="16" customHeight="1">
      <c r="A151" s="13" t="n">
        <v>147</v>
      </c>
      <c r="B151" s="14" t="inlineStr">
        <is>
          <t>HDFC NIFTY100 Low Volatility 30 ETF - Growth Option</t>
        </is>
      </c>
      <c r="C151" s="14" t="inlineStr">
        <is>
          <t>HDFC Mutual Fund</t>
        </is>
      </c>
      <c r="D151" s="14" t="inlineStr">
        <is>
          <t>Index Fund</t>
        </is>
      </c>
      <c r="E151" s="15" t="n">
        <v>0.72</v>
      </c>
      <c r="F151" s="15" t="n">
        <v>3.74</v>
      </c>
      <c r="G151" s="16" t="n">
        <v>-2.4</v>
      </c>
      <c r="H151" s="15" t="n">
        <v>2.13</v>
      </c>
      <c r="I151" s="15" t="n">
        <v>1.222527136996532</v>
      </c>
      <c r="J151" s="16" t="n">
        <v>-86.05</v>
      </c>
      <c r="K151" s="37" t="n">
        <v>46.8</v>
      </c>
      <c r="L151" s="18" t="n">
        <v>0</v>
      </c>
      <c r="M151" s="19" t="n">
        <v>25.7</v>
      </c>
      <c r="N151" s="20" t="inlineStr">
        <is>
          <t>➡️ Neutral</t>
        </is>
      </c>
      <c r="O151" s="20" t="inlineStr">
        <is>
          <t>🔴 Not Qualified</t>
        </is>
      </c>
      <c r="P151" s="20" t="inlineStr">
        <is>
          <t>🔴 Avoid</t>
        </is>
      </c>
      <c r="Q151" s="83" t="inlineStr">
        <is>
          <t>FULL</t>
        </is>
      </c>
    </row>
    <row r="152" ht="16" customHeight="1">
      <c r="A152" s="92" t="n">
        <v>148</v>
      </c>
      <c r="B152" s="93" t="inlineStr">
        <is>
          <t>Bandhan Silver ETF</t>
        </is>
      </c>
      <c r="C152" s="93" t="inlineStr">
        <is>
          <t>Bandhan Mutual Fund</t>
        </is>
      </c>
      <c r="D152" s="93" t="inlineStr">
        <is>
          <t>Silver</t>
        </is>
      </c>
      <c r="E152" s="94" t="n">
        <v>7.95</v>
      </c>
      <c r="F152" s="97" t="n">
        <v>-12.6</v>
      </c>
      <c r="G152" s="97" t="n">
        <v>-1.63</v>
      </c>
      <c r="H152" s="94" t="n">
        <v>0</v>
      </c>
      <c r="I152" s="94" t="n">
        <v>0</v>
      </c>
      <c r="J152" s="94" t="n">
        <v>0</v>
      </c>
      <c r="K152" s="37" t="n">
        <v>46.7</v>
      </c>
      <c r="L152" s="18" t="n">
        <v>0</v>
      </c>
      <c r="M152" s="19" t="n">
        <v>25.7</v>
      </c>
      <c r="N152" s="95" t="inlineStr">
        <is>
          <t>➡️ Neutral</t>
        </is>
      </c>
      <c r="O152" s="95" t="inlineStr">
        <is>
          <t>⏳ New Fund</t>
        </is>
      </c>
      <c r="P152" s="95" t="inlineStr">
        <is>
          <t>⏳ New Fund</t>
        </is>
      </c>
      <c r="Q152" s="96" t="inlineStr">
        <is>
          <t>MOMENTUM_ONLY</t>
        </is>
      </c>
    </row>
    <row r="153" ht="16" customHeight="1">
      <c r="A153" s="92" t="n">
        <v>149</v>
      </c>
      <c r="B153" s="93" t="inlineStr">
        <is>
          <t>Motilal Oswal Nifty India Tourism ETF</t>
        </is>
      </c>
      <c r="C153" s="93" t="inlineStr">
        <is>
          <t>Motilal Oswal Mutual Fund</t>
        </is>
      </c>
      <c r="D153" s="93" t="inlineStr">
        <is>
          <t>Index Fund</t>
        </is>
      </c>
      <c r="E153" s="94" t="n">
        <v>0.33</v>
      </c>
      <c r="F153" s="94" t="n">
        <v>10.78</v>
      </c>
      <c r="G153" s="97" t="n">
        <v>-0.93</v>
      </c>
      <c r="H153" s="97" t="n">
        <v>-13.3</v>
      </c>
      <c r="I153" s="94" t="n">
        <v>0</v>
      </c>
      <c r="J153" s="94" t="n">
        <v>0</v>
      </c>
      <c r="K153" s="37" t="n">
        <v>46.6</v>
      </c>
      <c r="L153" s="18" t="n">
        <v>0</v>
      </c>
      <c r="M153" s="19" t="n">
        <v>25.7</v>
      </c>
      <c r="N153" s="95" t="inlineStr">
        <is>
          <t>➡️ Neutral</t>
        </is>
      </c>
      <c r="O153" s="95" t="inlineStr">
        <is>
          <t>⏳ New Fund</t>
        </is>
      </c>
      <c r="P153" s="95" t="inlineStr">
        <is>
          <t>⏳ New Fund</t>
        </is>
      </c>
      <c r="Q153" s="96" t="inlineStr">
        <is>
          <t>MOMENTUM_ONLY</t>
        </is>
      </c>
    </row>
    <row r="154" ht="16" customHeight="1">
      <c r="A154" s="28" t="n">
        <v>150</v>
      </c>
      <c r="B154" s="29" t="inlineStr">
        <is>
          <t>ICICI Prudential Nifty 100 Low Volatility 30 ETF</t>
        </is>
      </c>
      <c r="C154" s="29" t="inlineStr">
        <is>
          <t>ICICI Prudential Mutual Fund</t>
        </is>
      </c>
      <c r="D154" s="29" t="inlineStr">
        <is>
          <t>Index Fund</t>
        </is>
      </c>
      <c r="E154" s="30" t="n">
        <v>0.73</v>
      </c>
      <c r="F154" s="30" t="n">
        <v>3.73</v>
      </c>
      <c r="G154" s="91" t="n">
        <v>-2.41</v>
      </c>
      <c r="H154" s="30" t="n">
        <v>2.05</v>
      </c>
      <c r="I154" s="30" t="n">
        <v>1.123686641656807</v>
      </c>
      <c r="J154" s="91" t="n">
        <v>-86.09999999999999</v>
      </c>
      <c r="K154" s="37" t="n">
        <v>46.4</v>
      </c>
      <c r="L154" s="18" t="n">
        <v>0</v>
      </c>
      <c r="M154" s="19" t="n">
        <v>25.5</v>
      </c>
      <c r="N154" s="31" t="inlineStr">
        <is>
          <t>➡️ Neutral</t>
        </is>
      </c>
      <c r="O154" s="31" t="inlineStr">
        <is>
          <t>🔴 Not Qualified</t>
        </is>
      </c>
      <c r="P154" s="31" t="inlineStr">
        <is>
          <t>🔴 Avoid</t>
        </is>
      </c>
      <c r="Q154" s="83" t="inlineStr">
        <is>
          <t>FULL</t>
        </is>
      </c>
    </row>
    <row r="155" ht="16" customHeight="1">
      <c r="A155" s="92" t="n">
        <v>151</v>
      </c>
      <c r="B155" s="93" t="inlineStr">
        <is>
          <t>UTI Nifty 10 yr Benchmark G-Sec ETF</t>
        </is>
      </c>
      <c r="C155" s="93" t="inlineStr">
        <is>
          <t>UTI Mutual Fund</t>
        </is>
      </c>
      <c r="D155" s="93" t="inlineStr">
        <is>
          <t>G-SEC</t>
        </is>
      </c>
      <c r="E155" s="94" t="n">
        <v>0.22</v>
      </c>
      <c r="F155" s="94" t="n">
        <v>3.24</v>
      </c>
      <c r="G155" s="94" t="n">
        <v>1.93</v>
      </c>
      <c r="H155" s="94" t="n">
        <v>2.67</v>
      </c>
      <c r="I155" s="94" t="n">
        <v>5.806427025960947</v>
      </c>
      <c r="J155" s="94" t="n">
        <v>0</v>
      </c>
      <c r="K155" s="37" t="n">
        <v>46.2</v>
      </c>
      <c r="L155" s="18" t="n">
        <v>0</v>
      </c>
      <c r="M155" s="19" t="n">
        <v>25.4</v>
      </c>
      <c r="N155" s="95" t="inlineStr">
        <is>
          <t>➡️ Neutral</t>
        </is>
      </c>
      <c r="O155" s="95" t="inlineStr">
        <is>
          <t>⏳ New Fund</t>
        </is>
      </c>
      <c r="P155" s="95" t="inlineStr">
        <is>
          <t>⏳ New Fund</t>
        </is>
      </c>
      <c r="Q155" s="96" t="inlineStr">
        <is>
          <t>MOMENTUM_ONLY</t>
        </is>
      </c>
    </row>
    <row r="156" ht="16" customHeight="1">
      <c r="A156" s="28" t="n">
        <v>152</v>
      </c>
      <c r="B156" s="29" t="inlineStr">
        <is>
          <t>Mirae Asset Nifty 100 Low Volatility 30 ETF</t>
        </is>
      </c>
      <c r="C156" s="29" t="inlineStr">
        <is>
          <t>Mirae Asset Mutual Fund</t>
        </is>
      </c>
      <c r="D156" s="29" t="inlineStr">
        <is>
          <t>Index Fund</t>
        </is>
      </c>
      <c r="E156" s="30" t="n">
        <v>0.72</v>
      </c>
      <c r="F156" s="30" t="n">
        <v>3.73</v>
      </c>
      <c r="G156" s="91" t="n">
        <v>-2.42</v>
      </c>
      <c r="H156" s="30" t="n">
        <v>2.07</v>
      </c>
      <c r="I156" s="30" t="n">
        <v>1.222527136996532</v>
      </c>
      <c r="J156" s="30" t="n">
        <v>39.54</v>
      </c>
      <c r="K156" s="37" t="n">
        <v>46.2</v>
      </c>
      <c r="L156" s="18" t="n">
        <v>0</v>
      </c>
      <c r="M156" s="19" t="n">
        <v>25.4</v>
      </c>
      <c r="N156" s="31" t="inlineStr">
        <is>
          <t>➡️ Neutral</t>
        </is>
      </c>
      <c r="O156" s="31" t="inlineStr">
        <is>
          <t>🔴 Not Qualified</t>
        </is>
      </c>
      <c r="P156" s="31" t="inlineStr">
        <is>
          <t>🔴 Avoid</t>
        </is>
      </c>
      <c r="Q156" s="83" t="inlineStr">
        <is>
          <t>FULL</t>
        </is>
      </c>
    </row>
    <row r="157" ht="16" customHeight="1">
      <c r="A157" s="92" t="n">
        <v>153</v>
      </c>
      <c r="B157" s="93" t="inlineStr">
        <is>
          <t>Edelweiss Nifty 1D Rate Liquid ETF - Growth</t>
        </is>
      </c>
      <c r="C157" s="93" t="inlineStr">
        <is>
          <t>Edelweiss Mutual Fund</t>
        </is>
      </c>
      <c r="D157" s="93" t="inlineStr">
        <is>
          <t>Index Fund</t>
        </is>
      </c>
      <c r="E157" s="94" t="n">
        <v>0.43</v>
      </c>
      <c r="F157" s="94" t="n">
        <v>1.24</v>
      </c>
      <c r="G157" s="94" t="n">
        <v>2.46</v>
      </c>
      <c r="H157" s="94" t="n">
        <v>0</v>
      </c>
      <c r="I157" s="94" t="n">
        <v>0</v>
      </c>
      <c r="J157" s="94" t="n">
        <v>0</v>
      </c>
      <c r="K157" s="37" t="n">
        <v>45</v>
      </c>
      <c r="L157" s="18" t="n">
        <v>0</v>
      </c>
      <c r="M157" s="19" t="n">
        <v>24.8</v>
      </c>
      <c r="N157" s="95" t="inlineStr">
        <is>
          <t>➡️ Neutral</t>
        </is>
      </c>
      <c r="O157" s="95" t="inlineStr">
        <is>
          <t>⏳ New Fund</t>
        </is>
      </c>
      <c r="P157" s="95" t="inlineStr">
        <is>
          <t>⏳ New Fund</t>
        </is>
      </c>
      <c r="Q157" s="96" t="inlineStr">
        <is>
          <t>MOMENTUM_ONLY</t>
        </is>
      </c>
    </row>
    <row r="158" ht="16" customHeight="1">
      <c r="A158" s="92" t="n">
        <v>154</v>
      </c>
      <c r="B158" s="93" t="inlineStr">
        <is>
          <t>Zerodha Nifty 8-13 Yr G-Sec ETF</t>
        </is>
      </c>
      <c r="C158" s="93" t="inlineStr">
        <is>
          <t>Zerodha Mutual Fund</t>
        </is>
      </c>
      <c r="D158" s="93" t="inlineStr">
        <is>
          <t>G-SEC</t>
        </is>
      </c>
      <c r="E158" s="94" t="n">
        <v>0.27</v>
      </c>
      <c r="F158" s="94" t="n">
        <v>3.39</v>
      </c>
      <c r="G158" s="94" t="n">
        <v>2.32</v>
      </c>
      <c r="H158" s="94" t="n">
        <v>0</v>
      </c>
      <c r="I158" s="94" t="n">
        <v>0</v>
      </c>
      <c r="J158" s="94" t="n">
        <v>0</v>
      </c>
      <c r="K158" s="37" t="n">
        <v>44.5</v>
      </c>
      <c r="L158" s="18" t="n">
        <v>0</v>
      </c>
      <c r="M158" s="19" t="n">
        <v>24.5</v>
      </c>
      <c r="N158" s="95" t="inlineStr">
        <is>
          <t>➡️ Neutral</t>
        </is>
      </c>
      <c r="O158" s="95" t="inlineStr">
        <is>
          <t>⏳ New Fund</t>
        </is>
      </c>
      <c r="P158" s="95" t="inlineStr">
        <is>
          <t>⏳ New Fund</t>
        </is>
      </c>
      <c r="Q158" s="96" t="inlineStr">
        <is>
          <t>MOMENTUM_ONLY</t>
        </is>
      </c>
    </row>
    <row r="159" ht="16" customHeight="1">
      <c r="A159" s="13" t="n">
        <v>155</v>
      </c>
      <c r="B159" s="14" t="inlineStr">
        <is>
          <t>SBI BSE 100 ETF</t>
        </is>
      </c>
      <c r="C159" s="14" t="inlineStr">
        <is>
          <t>SBI Mutual Fund</t>
        </is>
      </c>
      <c r="D159" s="14" t="inlineStr">
        <is>
          <t>Index Fund</t>
        </is>
      </c>
      <c r="E159" s="15" t="n">
        <v>0.4</v>
      </c>
      <c r="F159" s="15" t="n">
        <v>4.18</v>
      </c>
      <c r="G159" s="16" t="n">
        <v>-3.64</v>
      </c>
      <c r="H159" s="15" t="n">
        <v>1.43</v>
      </c>
      <c r="I159" s="15" t="n">
        <v>0.8811181539935209</v>
      </c>
      <c r="J159" s="15" t="n">
        <v>35.71</v>
      </c>
      <c r="K159" s="37" t="n">
        <v>44.2</v>
      </c>
      <c r="L159" s="18" t="n">
        <v>0</v>
      </c>
      <c r="M159" s="19" t="n">
        <v>24.3</v>
      </c>
      <c r="N159" s="20" t="inlineStr">
        <is>
          <t>➡️ Neutral</t>
        </is>
      </c>
      <c r="O159" s="20" t="inlineStr">
        <is>
          <t>🔴 Not Qualified</t>
        </is>
      </c>
      <c r="P159" s="20" t="inlineStr">
        <is>
          <t>🔴 Avoid</t>
        </is>
      </c>
      <c r="Q159" s="83" t="inlineStr">
        <is>
          <t>FULL</t>
        </is>
      </c>
    </row>
    <row r="160" ht="16" customHeight="1">
      <c r="A160" s="92" t="n">
        <v>156</v>
      </c>
      <c r="B160" s="93" t="inlineStr">
        <is>
          <t>Axis Nifty500 Value 50 ETF</t>
        </is>
      </c>
      <c r="C160" s="93" t="inlineStr">
        <is>
          <t>Axis Mutual Fund</t>
        </is>
      </c>
      <c r="D160" s="93" t="inlineStr">
        <is>
          <t>Index Fund</t>
        </is>
      </c>
      <c r="E160" s="94" t="n">
        <v>0.46</v>
      </c>
      <c r="F160" s="97" t="n">
        <v>-1.72</v>
      </c>
      <c r="G160" s="97" t="n">
        <v>-3.11</v>
      </c>
      <c r="H160" s="94" t="n">
        <v>17.28</v>
      </c>
      <c r="I160" s="94" t="n">
        <v>0</v>
      </c>
      <c r="J160" s="94" t="n">
        <v>0</v>
      </c>
      <c r="K160" s="37" t="n">
        <v>43.8</v>
      </c>
      <c r="L160" s="18" t="n">
        <v>0</v>
      </c>
      <c r="M160" s="19" t="n">
        <v>24.1</v>
      </c>
      <c r="N160" s="95" t="inlineStr">
        <is>
          <t>➡️ Neutral</t>
        </is>
      </c>
      <c r="O160" s="95" t="inlineStr">
        <is>
          <t>⏳ New Fund</t>
        </is>
      </c>
      <c r="P160" s="95" t="inlineStr">
        <is>
          <t>⏳ New Fund</t>
        </is>
      </c>
      <c r="Q160" s="96" t="inlineStr">
        <is>
          <t>MOMENTUM_ONLY</t>
        </is>
      </c>
    </row>
    <row r="161" ht="16" customHeight="1">
      <c r="A161" s="92" t="n">
        <v>157</v>
      </c>
      <c r="B161" s="93" t="inlineStr">
        <is>
          <t>Zerodha Nifty 100 ETF</t>
        </is>
      </c>
      <c r="C161" s="93" t="inlineStr">
        <is>
          <t>Zerodha Mutual Fund</t>
        </is>
      </c>
      <c r="D161" s="93" t="inlineStr">
        <is>
          <t>Index Fund</t>
        </is>
      </c>
      <c r="E161" s="94" t="n">
        <v>0.23</v>
      </c>
      <c r="F161" s="94" t="n">
        <v>3.95</v>
      </c>
      <c r="G161" s="97" t="n">
        <v>-3.6</v>
      </c>
      <c r="H161" s="94" t="n">
        <v>1.44</v>
      </c>
      <c r="I161" s="94" t="n">
        <v>0.5733563126934849</v>
      </c>
      <c r="J161" s="94" t="n">
        <v>0</v>
      </c>
      <c r="K161" s="37" t="n">
        <v>43.1</v>
      </c>
      <c r="L161" s="18" t="n">
        <v>0</v>
      </c>
      <c r="M161" s="19" t="n">
        <v>23.7</v>
      </c>
      <c r="N161" s="95" t="inlineStr">
        <is>
          <t>➡️ Neutral</t>
        </is>
      </c>
      <c r="O161" s="95" t="inlineStr">
        <is>
          <t>⏳ New Fund</t>
        </is>
      </c>
      <c r="P161" s="95" t="inlineStr">
        <is>
          <t>⏳ New Fund</t>
        </is>
      </c>
      <c r="Q161" s="96" t="inlineStr">
        <is>
          <t>MOMENTUM_ONLY</t>
        </is>
      </c>
    </row>
    <row r="162" ht="16" customHeight="1">
      <c r="A162" s="28" t="n">
        <v>158</v>
      </c>
      <c r="B162" s="29" t="inlineStr">
        <is>
          <t>LIC MF Nifty 100 ETF</t>
        </is>
      </c>
      <c r="C162" s="29" t="inlineStr">
        <is>
          <t>LIC Mutual Fund</t>
        </is>
      </c>
      <c r="D162" s="29" t="inlineStr">
        <is>
          <t>Index Fund</t>
        </is>
      </c>
      <c r="E162" s="30" t="n">
        <v>0.2</v>
      </c>
      <c r="F162" s="30" t="n">
        <v>3.91</v>
      </c>
      <c r="G162" s="91" t="n">
        <v>-3.72</v>
      </c>
      <c r="H162" s="30" t="n">
        <v>1.21</v>
      </c>
      <c r="I162" s="30" t="n">
        <v>0.3742994994236692</v>
      </c>
      <c r="J162" s="30" t="n">
        <v>35</v>
      </c>
      <c r="K162" s="37" t="n">
        <v>42.3</v>
      </c>
      <c r="L162" s="18" t="n">
        <v>0</v>
      </c>
      <c r="M162" s="19" t="n">
        <v>23.2</v>
      </c>
      <c r="N162" s="31" t="inlineStr">
        <is>
          <t>➡️ Neutral</t>
        </is>
      </c>
      <c r="O162" s="31" t="inlineStr">
        <is>
          <t>🔴 Not Qualified</t>
        </is>
      </c>
      <c r="P162" s="31" t="inlineStr">
        <is>
          <t>🔴 Avoid</t>
        </is>
      </c>
      <c r="Q162" s="83" t="inlineStr">
        <is>
          <t>FULL</t>
        </is>
      </c>
    </row>
    <row r="163" ht="16" customHeight="1">
      <c r="A163" s="92" t="n">
        <v>159</v>
      </c>
      <c r="B163" s="93" t="inlineStr">
        <is>
          <t>DSP MSCI INDIA ETF</t>
        </is>
      </c>
      <c r="C163" s="93" t="inlineStr">
        <is>
          <t>DSP Mutual Fund</t>
        </is>
      </c>
      <c r="D163" s="93" t="inlineStr">
        <is>
          <t>Standard Equity/Debt</t>
        </is>
      </c>
      <c r="E163" s="94" t="n">
        <v>0.49</v>
      </c>
      <c r="F163" s="94" t="n">
        <v>3.83</v>
      </c>
      <c r="G163" s="97" t="n">
        <v>-2.4</v>
      </c>
      <c r="H163" s="94" t="n">
        <v>0</v>
      </c>
      <c r="I163" s="94" t="n">
        <v>0</v>
      </c>
      <c r="J163" s="94" t="n">
        <v>0</v>
      </c>
      <c r="K163" s="37" t="n">
        <v>42.2</v>
      </c>
      <c r="L163" s="18" t="n">
        <v>0</v>
      </c>
      <c r="M163" s="19" t="n">
        <v>23.2</v>
      </c>
      <c r="N163" s="95" t="inlineStr">
        <is>
          <t>➡️ Neutral</t>
        </is>
      </c>
      <c r="O163" s="95" t="inlineStr">
        <is>
          <t>⏳ New Fund</t>
        </is>
      </c>
      <c r="P163" s="95" t="inlineStr">
        <is>
          <t>⏳ New Fund</t>
        </is>
      </c>
      <c r="Q163" s="96" t="inlineStr">
        <is>
          <t>MOMENTUM_ONLY</t>
        </is>
      </c>
    </row>
    <row r="164" ht="16" customHeight="1">
      <c r="A164" s="28" t="n">
        <v>160</v>
      </c>
      <c r="B164" s="29" t="inlineStr">
        <is>
          <t>Mirae Asset Nifty Bank ETF</t>
        </is>
      </c>
      <c r="C164" s="29" t="inlineStr">
        <is>
          <t>Mirae Asset Mutual Fund</t>
        </is>
      </c>
      <c r="D164" s="29" t="inlineStr">
        <is>
          <t>Banking/Financial</t>
        </is>
      </c>
      <c r="E164" s="91" t="n">
        <v>-1.99</v>
      </c>
      <c r="F164" s="30" t="n">
        <v>7.68</v>
      </c>
      <c r="G164" s="91" t="n">
        <v>-6.43</v>
      </c>
      <c r="H164" s="30" t="n">
        <v>4.01</v>
      </c>
      <c r="I164" s="30" t="n">
        <v>7.102754399688527</v>
      </c>
      <c r="J164" s="30" t="n">
        <v>33.14</v>
      </c>
      <c r="K164" s="37" t="n">
        <v>42.2</v>
      </c>
      <c r="L164" s="18" t="n">
        <v>0</v>
      </c>
      <c r="M164" s="19" t="n">
        <v>23.2</v>
      </c>
      <c r="N164" s="31" t="inlineStr">
        <is>
          <t>➡️ Neutral</t>
        </is>
      </c>
      <c r="O164" s="31" t="inlineStr">
        <is>
          <t>🔴 Not Qualified</t>
        </is>
      </c>
      <c r="P164" s="31" t="inlineStr">
        <is>
          <t>🔴 Avoid</t>
        </is>
      </c>
      <c r="Q164" s="83" t="inlineStr">
        <is>
          <t>FULL</t>
        </is>
      </c>
    </row>
    <row r="165" ht="16" customHeight="1">
      <c r="A165" s="92" t="n">
        <v>161</v>
      </c>
      <c r="B165" s="93" t="inlineStr">
        <is>
          <t>Mirae Asset Nifty Top 20 Equal Weight ETF</t>
        </is>
      </c>
      <c r="C165" s="93" t="inlineStr">
        <is>
          <t>Mirae Asset Mutual Fund</t>
        </is>
      </c>
      <c r="D165" s="93" t="inlineStr">
        <is>
          <t>Index Fund</t>
        </is>
      </c>
      <c r="E165" s="94" t="n">
        <v>0.92</v>
      </c>
      <c r="F165" s="94" t="n">
        <v>4.89</v>
      </c>
      <c r="G165" s="97" t="n">
        <v>-6.14</v>
      </c>
      <c r="H165" s="94" t="n">
        <v>0</v>
      </c>
      <c r="I165" s="94" t="n">
        <v>0</v>
      </c>
      <c r="J165" s="94" t="n">
        <v>0</v>
      </c>
      <c r="K165" s="37" t="n">
        <v>41.9</v>
      </c>
      <c r="L165" s="18" t="n">
        <v>0</v>
      </c>
      <c r="M165" s="19" t="n">
        <v>23</v>
      </c>
      <c r="N165" s="95" t="inlineStr">
        <is>
          <t>➡️ Neutral</t>
        </is>
      </c>
      <c r="O165" s="95" t="inlineStr">
        <is>
          <t>⏳ New Fund</t>
        </is>
      </c>
      <c r="P165" s="95" t="inlineStr">
        <is>
          <t>⏳ New Fund</t>
        </is>
      </c>
      <c r="Q165" s="96" t="inlineStr">
        <is>
          <t>MOMENTUM_ONLY</t>
        </is>
      </c>
    </row>
    <row r="166" ht="16" customHeight="1">
      <c r="A166" s="28" t="n">
        <v>162</v>
      </c>
      <c r="B166" s="29" t="inlineStr">
        <is>
          <t>HDFC NIFTY 100 ETF - Growth Option</t>
        </is>
      </c>
      <c r="C166" s="29" t="inlineStr">
        <is>
          <t>HDFC Mutual Fund</t>
        </is>
      </c>
      <c r="D166" s="29" t="inlineStr">
        <is>
          <t>Index Fund</t>
        </is>
      </c>
      <c r="E166" s="30" t="n">
        <v>0.2</v>
      </c>
      <c r="F166" s="30" t="n">
        <v>3.85</v>
      </c>
      <c r="G166" s="91" t="n">
        <v>-3.77</v>
      </c>
      <c r="H166" s="30" t="n">
        <v>1.17</v>
      </c>
      <c r="I166" s="30" t="n">
        <v>0.3194896318756246</v>
      </c>
      <c r="J166" s="91" t="n">
        <v>-86.5</v>
      </c>
      <c r="K166" s="37" t="n">
        <v>41.6</v>
      </c>
      <c r="L166" s="18" t="n">
        <v>0</v>
      </c>
      <c r="M166" s="19" t="n">
        <v>22.9</v>
      </c>
      <c r="N166" s="31" t="inlineStr">
        <is>
          <t>➡️ Neutral</t>
        </is>
      </c>
      <c r="O166" s="31" t="inlineStr">
        <is>
          <t>🔴 Not Qualified</t>
        </is>
      </c>
      <c r="P166" s="31" t="inlineStr">
        <is>
          <t>🔴 Avoid</t>
        </is>
      </c>
      <c r="Q166" s="83" t="inlineStr">
        <is>
          <t>FULL</t>
        </is>
      </c>
    </row>
    <row r="167" ht="16" customHeight="1">
      <c r="A167" s="92" t="n">
        <v>163</v>
      </c>
      <c r="B167" s="93" t="inlineStr">
        <is>
          <t>Bajaj Finserv Nifty Bank ETF</t>
        </is>
      </c>
      <c r="C167" s="93" t="inlineStr">
        <is>
          <t>Bajaj Finserv Mutual Fund</t>
        </is>
      </c>
      <c r="D167" s="93" t="inlineStr">
        <is>
          <t>Banking/Financial</t>
        </is>
      </c>
      <c r="E167" s="97" t="n">
        <v>-1.99</v>
      </c>
      <c r="F167" s="94" t="n">
        <v>7.67</v>
      </c>
      <c r="G167" s="97" t="n">
        <v>-6.46</v>
      </c>
      <c r="H167" s="94" t="n">
        <v>3.97</v>
      </c>
      <c r="I167" s="94" t="n">
        <v>7.079409785448476</v>
      </c>
      <c r="J167" s="94" t="n">
        <v>0</v>
      </c>
      <c r="K167" s="37" t="n">
        <v>41.3</v>
      </c>
      <c r="L167" s="18" t="n">
        <v>0</v>
      </c>
      <c r="M167" s="19" t="n">
        <v>22.7</v>
      </c>
      <c r="N167" s="95" t="inlineStr">
        <is>
          <t>➡️ Neutral</t>
        </is>
      </c>
      <c r="O167" s="95" t="inlineStr">
        <is>
          <t>⏳ New Fund</t>
        </is>
      </c>
      <c r="P167" s="95" t="inlineStr">
        <is>
          <t>⏳ New Fund</t>
        </is>
      </c>
      <c r="Q167" s="96" t="inlineStr">
        <is>
          <t>MOMENTUM_ONLY</t>
        </is>
      </c>
    </row>
    <row r="168" ht="16" customHeight="1">
      <c r="A168" s="28" t="n">
        <v>164</v>
      </c>
      <c r="B168" s="29" t="inlineStr">
        <is>
          <t>Kotak Nifty IT ETF</t>
        </is>
      </c>
      <c r="C168" s="29" t="inlineStr">
        <is>
          <t>Kotak Mahindra Mutual Fund</t>
        </is>
      </c>
      <c r="D168" s="29" t="inlineStr">
        <is>
          <t>Index Fund</t>
        </is>
      </c>
      <c r="E168" s="30" t="n">
        <v>3.43</v>
      </c>
      <c r="F168" s="30" t="n">
        <v>3.87</v>
      </c>
      <c r="G168" s="91" t="n">
        <v>-6.59</v>
      </c>
      <c r="H168" s="91" t="n">
        <v>-11.22</v>
      </c>
      <c r="I168" s="91" t="n">
        <v>-12.09664397760459</v>
      </c>
      <c r="J168" s="30" t="n">
        <v>5.12</v>
      </c>
      <c r="K168" s="37" t="n">
        <v>41</v>
      </c>
      <c r="L168" s="18" t="n">
        <v>0</v>
      </c>
      <c r="M168" s="19" t="n">
        <v>22.6</v>
      </c>
      <c r="N168" s="31" t="inlineStr">
        <is>
          <t>➡️ Neutral</t>
        </is>
      </c>
      <c r="O168" s="31" t="inlineStr">
        <is>
          <t>🔴 Not Qualified</t>
        </is>
      </c>
      <c r="P168" s="31" t="inlineStr">
        <is>
          <t>🔴 Avoid</t>
        </is>
      </c>
      <c r="Q168" s="83" t="inlineStr">
        <is>
          <t>FULL</t>
        </is>
      </c>
    </row>
    <row r="169" ht="16" customHeight="1">
      <c r="A169" s="13" t="n">
        <v>165</v>
      </c>
      <c r="B169" s="14" t="inlineStr">
        <is>
          <t>ICICI Prudential Nifty Infrastructure ETF</t>
        </is>
      </c>
      <c r="C169" s="14" t="inlineStr">
        <is>
          <t>ICICI Prudential Mutual Fund</t>
        </is>
      </c>
      <c r="D169" s="14" t="inlineStr">
        <is>
          <t>Infrastructure</t>
        </is>
      </c>
      <c r="E169" s="15" t="n">
        <v>0.19</v>
      </c>
      <c r="F169" s="15" t="n">
        <v>1.48</v>
      </c>
      <c r="G169" s="16" t="n">
        <v>-3.37</v>
      </c>
      <c r="H169" s="15" t="n">
        <v>4.61</v>
      </c>
      <c r="I169" s="15" t="n">
        <v>1.528321171976432</v>
      </c>
      <c r="J169" s="15" t="n">
        <v>58.4</v>
      </c>
      <c r="K169" s="37" t="n">
        <v>40.7</v>
      </c>
      <c r="L169" s="18" t="n">
        <v>0</v>
      </c>
      <c r="M169" s="19" t="n">
        <v>22.4</v>
      </c>
      <c r="N169" s="20" t="inlineStr">
        <is>
          <t>➡️ Neutral</t>
        </is>
      </c>
      <c r="O169" s="20" t="inlineStr">
        <is>
          <t>🔴 Not Qualified</t>
        </is>
      </c>
      <c r="P169" s="20" t="inlineStr">
        <is>
          <t>🔴 Avoid</t>
        </is>
      </c>
      <c r="Q169" s="83" t="inlineStr">
        <is>
          <t>FULL</t>
        </is>
      </c>
    </row>
    <row r="170" ht="16" customHeight="1">
      <c r="A170" s="28" t="n">
        <v>166</v>
      </c>
      <c r="B170" s="29" t="inlineStr">
        <is>
          <t>Nippon India ETF Nifty Infrastructure BeES</t>
        </is>
      </c>
      <c r="C170" s="29" t="inlineStr">
        <is>
          <t>Nippon India Mutual Fund</t>
        </is>
      </c>
      <c r="D170" s="29" t="inlineStr">
        <is>
          <t>Infrastructure</t>
        </is>
      </c>
      <c r="E170" s="30" t="n">
        <v>0.19</v>
      </c>
      <c r="F170" s="30" t="n">
        <v>1.49</v>
      </c>
      <c r="G170" s="91" t="n">
        <v>-3.37</v>
      </c>
      <c r="H170" s="30" t="n">
        <v>4.4</v>
      </c>
      <c r="I170" s="30" t="n">
        <v>1.178060863015173</v>
      </c>
      <c r="J170" s="30" t="n">
        <v>56.3</v>
      </c>
      <c r="K170" s="37" t="n">
        <v>40.5</v>
      </c>
      <c r="L170" s="18" t="n">
        <v>0</v>
      </c>
      <c r="M170" s="19" t="n">
        <v>22.3</v>
      </c>
      <c r="N170" s="31" t="inlineStr">
        <is>
          <t>➡️ Neutral</t>
        </is>
      </c>
      <c r="O170" s="31" t="inlineStr">
        <is>
          <t>🔴 Not Qualified</t>
        </is>
      </c>
      <c r="P170" s="31" t="inlineStr">
        <is>
          <t>🔴 Avoid</t>
        </is>
      </c>
      <c r="Q170" s="83" t="inlineStr">
        <is>
          <t>FULL</t>
        </is>
      </c>
    </row>
    <row r="171" ht="16" customHeight="1">
      <c r="A171" s="13" t="n">
        <v>167</v>
      </c>
      <c r="B171" s="14" t="inlineStr">
        <is>
          <t>ICICI Prudential Nifty Bank ETF</t>
        </is>
      </c>
      <c r="C171" s="14" t="inlineStr">
        <is>
          <t>ICICI Prudential Mutual Fund</t>
        </is>
      </c>
      <c r="D171" s="14" t="inlineStr">
        <is>
          <t>Banking/Financial</t>
        </is>
      </c>
      <c r="E171" s="16" t="n">
        <v>-2</v>
      </c>
      <c r="F171" s="15" t="n">
        <v>7.67</v>
      </c>
      <c r="G171" s="16" t="n">
        <v>-6.46</v>
      </c>
      <c r="H171" s="15" t="n">
        <v>3.95</v>
      </c>
      <c r="I171" s="15" t="n">
        <v>7.065400573668068</v>
      </c>
      <c r="J171" s="15" t="n">
        <v>32.99</v>
      </c>
      <c r="K171" s="37" t="n">
        <v>40.3</v>
      </c>
      <c r="L171" s="18" t="n">
        <v>0</v>
      </c>
      <c r="M171" s="19" t="n">
        <v>22.2</v>
      </c>
      <c r="N171" s="20" t="inlineStr">
        <is>
          <t>➡️ Neutral</t>
        </is>
      </c>
      <c r="O171" s="20" t="inlineStr">
        <is>
          <t>🔴 Not Qualified</t>
        </is>
      </c>
      <c r="P171" s="20" t="inlineStr">
        <is>
          <t>🔴 Avoid</t>
        </is>
      </c>
      <c r="Q171" s="83" t="inlineStr">
        <is>
          <t>FULL</t>
        </is>
      </c>
    </row>
    <row r="172" ht="16" customHeight="1">
      <c r="A172" s="28" t="n">
        <v>168</v>
      </c>
      <c r="B172" s="29" t="inlineStr">
        <is>
          <t>Nippon India ETF Nifty 100</t>
        </is>
      </c>
      <c r="C172" s="29" t="inlineStr">
        <is>
          <t>Nippon India Mutual Fund</t>
        </is>
      </c>
      <c r="D172" s="29" t="inlineStr">
        <is>
          <t>Index Fund</t>
        </is>
      </c>
      <c r="E172" s="30" t="n">
        <v>0.18</v>
      </c>
      <c r="F172" s="30" t="n">
        <v>3.79</v>
      </c>
      <c r="G172" s="91" t="n">
        <v>-3.85</v>
      </c>
      <c r="H172" s="30" t="n">
        <v>0.96</v>
      </c>
      <c r="I172" s="30" t="n">
        <v>0.124921972503933</v>
      </c>
      <c r="J172" s="30" t="n">
        <v>34.15</v>
      </c>
      <c r="K172" s="37" t="n">
        <v>40.2</v>
      </c>
      <c r="L172" s="18" t="n">
        <v>0</v>
      </c>
      <c r="M172" s="19" t="n">
        <v>22.1</v>
      </c>
      <c r="N172" s="31" t="inlineStr">
        <is>
          <t>➡️ Neutral</t>
        </is>
      </c>
      <c r="O172" s="31" t="inlineStr">
        <is>
          <t>🔴 Not Qualified</t>
        </is>
      </c>
      <c r="P172" s="31" t="inlineStr">
        <is>
          <t>🔴 Avoid</t>
        </is>
      </c>
      <c r="Q172" s="83" t="inlineStr">
        <is>
          <t>FULL</t>
        </is>
      </c>
    </row>
    <row r="173" ht="16" customHeight="1">
      <c r="A173" s="92" t="n">
        <v>169</v>
      </c>
      <c r="B173" s="93" t="inlineStr">
        <is>
          <t>Mirae Asset Nifty IT ETF</t>
        </is>
      </c>
      <c r="C173" s="93" t="inlineStr">
        <is>
          <t>Mirae Asset Mutual Fund</t>
        </is>
      </c>
      <c r="D173" s="93" t="inlineStr">
        <is>
          <t>Index Fund</t>
        </is>
      </c>
      <c r="E173" s="94" t="n">
        <v>3.47</v>
      </c>
      <c r="F173" s="94" t="n">
        <v>3.77</v>
      </c>
      <c r="G173" s="97" t="n">
        <v>-6.71</v>
      </c>
      <c r="H173" s="97" t="n">
        <v>-11.43</v>
      </c>
      <c r="I173" s="97" t="n">
        <v>-12.21047898524563</v>
      </c>
      <c r="J173" s="94" t="n">
        <v>0</v>
      </c>
      <c r="K173" s="37" t="n">
        <v>40.1</v>
      </c>
      <c r="L173" s="18" t="n">
        <v>0</v>
      </c>
      <c r="M173" s="19" t="n">
        <v>22</v>
      </c>
      <c r="N173" s="95" t="inlineStr">
        <is>
          <t>➡️ Neutral</t>
        </is>
      </c>
      <c r="O173" s="95" t="inlineStr">
        <is>
          <t>⏳ New Fund</t>
        </is>
      </c>
      <c r="P173" s="95" t="inlineStr">
        <is>
          <t>⏳ New Fund</t>
        </is>
      </c>
      <c r="Q173" s="96" t="inlineStr">
        <is>
          <t>MOMENTUM_ONLY</t>
        </is>
      </c>
    </row>
    <row r="174" ht="16" customHeight="1">
      <c r="A174" s="28" t="n">
        <v>170</v>
      </c>
      <c r="B174" s="29" t="inlineStr">
        <is>
          <t>ICICI Prudential Nifty 100 ETF</t>
        </is>
      </c>
      <c r="C174" s="29" t="inlineStr">
        <is>
          <t>ICICI Prudential Mutual Fund</t>
        </is>
      </c>
      <c r="D174" s="29" t="inlineStr">
        <is>
          <t>Index Fund</t>
        </is>
      </c>
      <c r="E174" s="30" t="n">
        <v>0.18</v>
      </c>
      <c r="F174" s="30" t="n">
        <v>3.78</v>
      </c>
      <c r="G174" s="91" t="n">
        <v>-3.87</v>
      </c>
      <c r="H174" s="30" t="n">
        <v>0.97</v>
      </c>
      <c r="I174" s="30" t="n">
        <v>0.1448950271555338</v>
      </c>
      <c r="J174" s="91" t="n">
        <v>-86.56999999999999</v>
      </c>
      <c r="K174" s="37" t="n">
        <v>40</v>
      </c>
      <c r="L174" s="18" t="n">
        <v>0</v>
      </c>
      <c r="M174" s="19" t="n">
        <v>22</v>
      </c>
      <c r="N174" s="31" t="inlineStr">
        <is>
          <t>➡️ Neutral</t>
        </is>
      </c>
      <c r="O174" s="31" t="inlineStr">
        <is>
          <t>🔴 Not Qualified</t>
        </is>
      </c>
      <c r="P174" s="31" t="inlineStr">
        <is>
          <t>🔴 Avoid</t>
        </is>
      </c>
      <c r="Q174" s="83" t="inlineStr">
        <is>
          <t>FULL</t>
        </is>
      </c>
    </row>
    <row r="175" ht="16" customHeight="1">
      <c r="A175" s="13" t="n">
        <v>171</v>
      </c>
      <c r="B175" s="14" t="inlineStr">
        <is>
          <t>DSP Nifty Bank ETF</t>
        </is>
      </c>
      <c r="C175" s="14" t="inlineStr">
        <is>
          <t>DSP Mutual Fund</t>
        </is>
      </c>
      <c r="D175" s="14" t="inlineStr">
        <is>
          <t>Banking/Financial</t>
        </is>
      </c>
      <c r="E175" s="16" t="n">
        <v>-2</v>
      </c>
      <c r="F175" s="15" t="n">
        <v>7.66</v>
      </c>
      <c r="G175" s="16" t="n">
        <v>-6.46</v>
      </c>
      <c r="H175" s="15" t="n">
        <v>3.94</v>
      </c>
      <c r="I175" s="15" t="n">
        <v>7.037376649467642</v>
      </c>
      <c r="J175" s="15" t="n">
        <v>32.92</v>
      </c>
      <c r="K175" s="37" t="n">
        <v>39.9</v>
      </c>
      <c r="L175" s="18" t="n">
        <v>0</v>
      </c>
      <c r="M175" s="19" t="n">
        <v>22</v>
      </c>
      <c r="N175" s="20" t="inlineStr">
        <is>
          <t>📉 Weak</t>
        </is>
      </c>
      <c r="O175" s="20" t="inlineStr">
        <is>
          <t>🔴 Not Qualified</t>
        </is>
      </c>
      <c r="P175" s="20" t="inlineStr">
        <is>
          <t>🔴 Avoid</t>
        </is>
      </c>
      <c r="Q175" s="83" t="inlineStr">
        <is>
          <t>FULL</t>
        </is>
      </c>
    </row>
    <row r="176" ht="16" customHeight="1">
      <c r="A176" s="28" t="n">
        <v>172</v>
      </c>
      <c r="B176" s="29" t="inlineStr">
        <is>
          <t>HDFC NIFTY Bank ETF - GROWTH</t>
        </is>
      </c>
      <c r="C176" s="29" t="inlineStr">
        <is>
          <t>HDFC Mutual Fund</t>
        </is>
      </c>
      <c r="D176" s="29" t="inlineStr">
        <is>
          <t>Banking/Financial</t>
        </is>
      </c>
      <c r="E176" s="91" t="n">
        <v>-2</v>
      </c>
      <c r="F176" s="30" t="n">
        <v>7.67</v>
      </c>
      <c r="G176" s="91" t="n">
        <v>-6.47</v>
      </c>
      <c r="H176" s="30" t="n">
        <v>3.93</v>
      </c>
      <c r="I176" s="30" t="n">
        <v>7.042047812997287</v>
      </c>
      <c r="J176" s="91" t="n">
        <v>-86.70999999999999</v>
      </c>
      <c r="K176" s="37" t="n">
        <v>39.8</v>
      </c>
      <c r="L176" s="18" t="n">
        <v>0</v>
      </c>
      <c r="M176" s="19" t="n">
        <v>21.9</v>
      </c>
      <c r="N176" s="31" t="inlineStr">
        <is>
          <t>📉 Weak</t>
        </is>
      </c>
      <c r="O176" s="31" t="inlineStr">
        <is>
          <t>🔴 Not Qualified</t>
        </is>
      </c>
      <c r="P176" s="31" t="inlineStr">
        <is>
          <t>🔴 Avoid</t>
        </is>
      </c>
      <c r="Q176" s="83" t="inlineStr">
        <is>
          <t>FULL</t>
        </is>
      </c>
    </row>
    <row r="177" ht="16" customHeight="1">
      <c r="A177" s="13" t="n">
        <v>172</v>
      </c>
      <c r="B177" s="14" t="inlineStr">
        <is>
          <t>UTI Nifty Bank ETF</t>
        </is>
      </c>
      <c r="C177" s="14" t="inlineStr">
        <is>
          <t>UTI Mutual Fund</t>
        </is>
      </c>
      <c r="D177" s="14" t="inlineStr">
        <is>
          <t>Banking/Financial</t>
        </is>
      </c>
      <c r="E177" s="16" t="n">
        <v>-2</v>
      </c>
      <c r="F177" s="15" t="n">
        <v>7.67</v>
      </c>
      <c r="G177" s="16" t="n">
        <v>-6.47</v>
      </c>
      <c r="H177" s="15" t="n">
        <v>3.93</v>
      </c>
      <c r="I177" s="15" t="n">
        <v>7.074740251844647</v>
      </c>
      <c r="J177" s="15" t="n">
        <v>33.05</v>
      </c>
      <c r="K177" s="37" t="n">
        <v>39.8</v>
      </c>
      <c r="L177" s="18" t="n">
        <v>0</v>
      </c>
      <c r="M177" s="19" t="n">
        <v>21.9</v>
      </c>
      <c r="N177" s="20" t="inlineStr">
        <is>
          <t>📉 Weak</t>
        </is>
      </c>
      <c r="O177" s="20" t="inlineStr">
        <is>
          <t>🔴 Not Qualified</t>
        </is>
      </c>
      <c r="P177" s="20" t="inlineStr">
        <is>
          <t>🔴 Avoid</t>
        </is>
      </c>
      <c r="Q177" s="83" t="inlineStr">
        <is>
          <t>FULL</t>
        </is>
      </c>
    </row>
    <row r="178" ht="16" customHeight="1">
      <c r="A178" s="28" t="n">
        <v>174</v>
      </c>
      <c r="B178" s="29" t="inlineStr">
        <is>
          <t>DSP Nifty IT ETF</t>
        </is>
      </c>
      <c r="C178" s="29" t="inlineStr">
        <is>
          <t>DSP Mutual Fund</t>
        </is>
      </c>
      <c r="D178" s="29" t="inlineStr">
        <is>
          <t>Index Fund</t>
        </is>
      </c>
      <c r="E178" s="30" t="n">
        <v>3.42</v>
      </c>
      <c r="F178" s="30" t="n">
        <v>3.81</v>
      </c>
      <c r="G178" s="91" t="n">
        <v>-6.72</v>
      </c>
      <c r="H178" s="91" t="n">
        <v>-11.33</v>
      </c>
      <c r="I178" s="91" t="n">
        <v>-12.19908884299662</v>
      </c>
      <c r="J178" s="30" t="n">
        <v>4.7</v>
      </c>
      <c r="K178" s="37" t="n">
        <v>39.5</v>
      </c>
      <c r="L178" s="18" t="n">
        <v>0</v>
      </c>
      <c r="M178" s="19" t="n">
        <v>21.7</v>
      </c>
      <c r="N178" s="31" t="inlineStr">
        <is>
          <t>📉 Weak</t>
        </is>
      </c>
      <c r="O178" s="31" t="inlineStr">
        <is>
          <t>🔴 Not Qualified</t>
        </is>
      </c>
      <c r="P178" s="31" t="inlineStr">
        <is>
          <t>🔴 Avoid</t>
        </is>
      </c>
      <c r="Q178" s="83" t="inlineStr">
        <is>
          <t>FULL</t>
        </is>
      </c>
    </row>
    <row r="179" ht="16" customHeight="1">
      <c r="A179" s="13" t="n">
        <v>175</v>
      </c>
      <c r="B179" s="14" t="inlineStr">
        <is>
          <t>ICICI Prudential Nifty IT ETF</t>
        </is>
      </c>
      <c r="C179" s="14" t="inlineStr">
        <is>
          <t>ICICI Prudential Mutual Fund</t>
        </is>
      </c>
      <c r="D179" s="14" t="inlineStr">
        <is>
          <t>Index Fund</t>
        </is>
      </c>
      <c r="E179" s="15" t="n">
        <v>3.45</v>
      </c>
      <c r="F179" s="15" t="n">
        <v>3.76</v>
      </c>
      <c r="G179" s="16" t="n">
        <v>-6.72</v>
      </c>
      <c r="H179" s="16" t="n">
        <v>-11.45</v>
      </c>
      <c r="I179" s="16" t="n">
        <v>-12.25605433991471</v>
      </c>
      <c r="J179" s="15" t="n">
        <v>4.72</v>
      </c>
      <c r="K179" s="37" t="n">
        <v>39.5</v>
      </c>
      <c r="L179" s="18" t="n">
        <v>0</v>
      </c>
      <c r="M179" s="19" t="n">
        <v>21.7</v>
      </c>
      <c r="N179" s="20" t="inlineStr">
        <is>
          <t>📉 Weak</t>
        </is>
      </c>
      <c r="O179" s="20" t="inlineStr">
        <is>
          <t>🔴 Not Qualified</t>
        </is>
      </c>
      <c r="P179" s="20" t="inlineStr">
        <is>
          <t>🔴 Avoid</t>
        </is>
      </c>
      <c r="Q179" s="83" t="inlineStr">
        <is>
          <t>FULL</t>
        </is>
      </c>
    </row>
    <row r="180" ht="16" customHeight="1">
      <c r="A180" s="28" t="n">
        <v>176</v>
      </c>
      <c r="B180" s="29" t="inlineStr">
        <is>
          <t>Nippon India ETF Nifty Bank BeES</t>
        </is>
      </c>
      <c r="C180" s="29" t="inlineStr">
        <is>
          <t>Nippon India Mutual Fund</t>
        </is>
      </c>
      <c r="D180" s="29" t="inlineStr">
        <is>
          <t>Banking/Financial</t>
        </is>
      </c>
      <c r="E180" s="91" t="n">
        <v>-2</v>
      </c>
      <c r="F180" s="30" t="n">
        <v>7.66</v>
      </c>
      <c r="G180" s="91" t="n">
        <v>-6.49</v>
      </c>
      <c r="H180" s="30" t="n">
        <v>3.9</v>
      </c>
      <c r="I180" s="30" t="n">
        <v>6.990653797422897</v>
      </c>
      <c r="J180" s="30" t="n">
        <v>32.78</v>
      </c>
      <c r="K180" s="37" t="n">
        <v>39</v>
      </c>
      <c r="L180" s="18" t="n">
        <v>0</v>
      </c>
      <c r="M180" s="19" t="n">
        <v>21.5</v>
      </c>
      <c r="N180" s="31" t="inlineStr">
        <is>
          <t>📉 Weak</t>
        </is>
      </c>
      <c r="O180" s="31" t="inlineStr">
        <is>
          <t>🔴 Not Qualified</t>
        </is>
      </c>
      <c r="P180" s="31" t="inlineStr">
        <is>
          <t>🔴 Avoid</t>
        </is>
      </c>
      <c r="Q180" s="83" t="inlineStr">
        <is>
          <t>FULL</t>
        </is>
      </c>
    </row>
    <row r="181" ht="16" customHeight="1">
      <c r="A181" s="13" t="n">
        <v>176</v>
      </c>
      <c r="B181" s="14" t="inlineStr">
        <is>
          <t>SBI Nifty Bank ETF</t>
        </is>
      </c>
      <c r="C181" s="14" t="inlineStr">
        <is>
          <t>SBI Mutual Fund</t>
        </is>
      </c>
      <c r="D181" s="14" t="inlineStr">
        <is>
          <t>Banking/Financial</t>
        </is>
      </c>
      <c r="E181" s="16" t="n">
        <v>-2</v>
      </c>
      <c r="F181" s="15" t="n">
        <v>7.66</v>
      </c>
      <c r="G181" s="16" t="n">
        <v>-6.49</v>
      </c>
      <c r="H181" s="15" t="n">
        <v>3.9</v>
      </c>
      <c r="I181" s="15" t="n">
        <v>7.023361935607308</v>
      </c>
      <c r="J181" s="15" t="n">
        <v>32.84</v>
      </c>
      <c r="K181" s="37" t="n">
        <v>39</v>
      </c>
      <c r="L181" s="18" t="n">
        <v>0</v>
      </c>
      <c r="M181" s="19" t="n">
        <v>21.5</v>
      </c>
      <c r="N181" s="20" t="inlineStr">
        <is>
          <t>📉 Weak</t>
        </is>
      </c>
      <c r="O181" s="20" t="inlineStr">
        <is>
          <t>🔴 Not Qualified</t>
        </is>
      </c>
      <c r="P181" s="20" t="inlineStr">
        <is>
          <t>🔴 Avoid</t>
        </is>
      </c>
      <c r="Q181" s="83" t="inlineStr">
        <is>
          <t>FULL</t>
        </is>
      </c>
    </row>
    <row r="182" ht="16" customHeight="1">
      <c r="A182" s="28" t="n">
        <v>178</v>
      </c>
      <c r="B182" s="29" t="inlineStr">
        <is>
          <t>HDFC NIFTY IT ETF - Growth option</t>
        </is>
      </c>
      <c r="C182" s="29" t="inlineStr">
        <is>
          <t>HDFC Mutual Fund</t>
        </is>
      </c>
      <c r="D182" s="29" t="inlineStr">
        <is>
          <t>Index Fund</t>
        </is>
      </c>
      <c r="E182" s="30" t="n">
        <v>3.44</v>
      </c>
      <c r="F182" s="30" t="n">
        <v>3.73</v>
      </c>
      <c r="G182" s="91" t="n">
        <v>-6.75</v>
      </c>
      <c r="H182" s="91" t="n">
        <v>-11.5</v>
      </c>
      <c r="I182" s="91" t="n">
        <v>-12.29025139700832</v>
      </c>
      <c r="J182" s="91" t="n">
        <v>-89.54000000000001</v>
      </c>
      <c r="K182" s="37" t="n">
        <v>38.7</v>
      </c>
      <c r="L182" s="18" t="n">
        <v>0</v>
      </c>
      <c r="M182" s="19" t="n">
        <v>21.3</v>
      </c>
      <c r="N182" s="31" t="inlineStr">
        <is>
          <t>📉 Weak</t>
        </is>
      </c>
      <c r="O182" s="31" t="inlineStr">
        <is>
          <t>🔴 Not Qualified</t>
        </is>
      </c>
      <c r="P182" s="31" t="inlineStr">
        <is>
          <t>🔴 Avoid</t>
        </is>
      </c>
      <c r="Q182" s="83" t="inlineStr">
        <is>
          <t>FULL</t>
        </is>
      </c>
    </row>
    <row r="183" ht="16" customHeight="1">
      <c r="A183" s="92" t="n">
        <v>179</v>
      </c>
      <c r="B183" s="93" t="inlineStr">
        <is>
          <t>ICICI Prudential Nifty200 Value 30 ETF</t>
        </is>
      </c>
      <c r="C183" s="93" t="inlineStr">
        <is>
          <t>ICICI Prudential Mutual Fund</t>
        </is>
      </c>
      <c r="D183" s="93" t="inlineStr">
        <is>
          <t>Index Fund</t>
        </is>
      </c>
      <c r="E183" s="97" t="n">
        <v>-0.25</v>
      </c>
      <c r="F183" s="97" t="n">
        <v>-1.79</v>
      </c>
      <c r="G183" s="97" t="n">
        <v>-5.55</v>
      </c>
      <c r="H183" s="94" t="n">
        <v>18.16</v>
      </c>
      <c r="I183" s="94" t="n">
        <v>0</v>
      </c>
      <c r="J183" s="94" t="n">
        <v>0</v>
      </c>
      <c r="K183" s="37" t="n">
        <v>38.6</v>
      </c>
      <c r="L183" s="18" t="n">
        <v>0</v>
      </c>
      <c r="M183" s="19" t="n">
        <v>21.2</v>
      </c>
      <c r="N183" s="95" t="inlineStr">
        <is>
          <t>📉 Weak</t>
        </is>
      </c>
      <c r="O183" s="95" t="inlineStr">
        <is>
          <t>⏳ New Fund</t>
        </is>
      </c>
      <c r="P183" s="95" t="inlineStr">
        <is>
          <t>⏳ New Fund</t>
        </is>
      </c>
      <c r="Q183" s="96" t="inlineStr">
        <is>
          <t>MOMENTUM_ONLY</t>
        </is>
      </c>
    </row>
    <row r="184" ht="16" customHeight="1">
      <c r="A184" s="28" t="n">
        <v>180</v>
      </c>
      <c r="B184" s="29" t="inlineStr">
        <is>
          <t>Axis NIFTY Bank ETF</t>
        </is>
      </c>
      <c r="C184" s="29" t="inlineStr">
        <is>
          <t>Axis Mutual Fund</t>
        </is>
      </c>
      <c r="D184" s="29" t="inlineStr">
        <is>
          <t>Banking/Financial</t>
        </is>
      </c>
      <c r="E184" s="91" t="n">
        <v>-2</v>
      </c>
      <c r="F184" s="30" t="n">
        <v>7.66</v>
      </c>
      <c r="G184" s="91" t="n">
        <v>-6.51</v>
      </c>
      <c r="H184" s="30" t="n">
        <v>3.86</v>
      </c>
      <c r="I184" s="30" t="n">
        <v>7.00467279516348</v>
      </c>
      <c r="J184" s="30" t="n">
        <v>32.77</v>
      </c>
      <c r="K184" s="37" t="n">
        <v>38.5</v>
      </c>
      <c r="L184" s="18" t="n">
        <v>0</v>
      </c>
      <c r="M184" s="19" t="n">
        <v>21.2</v>
      </c>
      <c r="N184" s="31" t="inlineStr">
        <is>
          <t>📉 Weak</t>
        </is>
      </c>
      <c r="O184" s="31" t="inlineStr">
        <is>
          <t>🔴 Not Qualified</t>
        </is>
      </c>
      <c r="P184" s="31" t="inlineStr">
        <is>
          <t>🔴 Avoid</t>
        </is>
      </c>
      <c r="Q184" s="83" t="inlineStr">
        <is>
          <t>FULL</t>
        </is>
      </c>
    </row>
    <row r="185" ht="16" customHeight="1">
      <c r="A185" s="92" t="n">
        <v>181</v>
      </c>
      <c r="B185" s="93" t="inlineStr">
        <is>
          <t>Baroda BNP Paribas Nifty Bank ETF</t>
        </is>
      </c>
      <c r="C185" s="93" t="inlineStr">
        <is>
          <t>Baroda BNP Paribas Mutual Fund</t>
        </is>
      </c>
      <c r="D185" s="93" t="inlineStr">
        <is>
          <t>Banking/Financial</t>
        </is>
      </c>
      <c r="E185" s="97" t="n">
        <v>-2.03</v>
      </c>
      <c r="F185" s="94" t="n">
        <v>7.59</v>
      </c>
      <c r="G185" s="97" t="n">
        <v>-6.5</v>
      </c>
      <c r="H185" s="94" t="n">
        <v>3.88</v>
      </c>
      <c r="I185" s="94" t="n">
        <v>6.981306778333951</v>
      </c>
      <c r="J185" s="94" t="n">
        <v>0</v>
      </c>
      <c r="K185" s="37" t="n">
        <v>38.5</v>
      </c>
      <c r="L185" s="18" t="n">
        <v>0</v>
      </c>
      <c r="M185" s="19" t="n">
        <v>21.2</v>
      </c>
      <c r="N185" s="95" t="inlineStr">
        <is>
          <t>📉 Weak</t>
        </is>
      </c>
      <c r="O185" s="95" t="inlineStr">
        <is>
          <t>⏳ New Fund</t>
        </is>
      </c>
      <c r="P185" s="95" t="inlineStr">
        <is>
          <t>⏳ New Fund</t>
        </is>
      </c>
      <c r="Q185" s="96" t="inlineStr">
        <is>
          <t>MOMENTUM_ONLY</t>
        </is>
      </c>
    </row>
    <row r="186" ht="16" customHeight="1">
      <c r="A186" s="92" t="n">
        <v>182</v>
      </c>
      <c r="B186" s="93" t="inlineStr">
        <is>
          <t>UTI Nifty IT ETF</t>
        </is>
      </c>
      <c r="C186" s="93" t="inlineStr">
        <is>
          <t>UTI Mutual Fund</t>
        </is>
      </c>
      <c r="D186" s="93" t="inlineStr">
        <is>
          <t>Index Fund</t>
        </is>
      </c>
      <c r="E186" s="94" t="n">
        <v>3.43</v>
      </c>
      <c r="F186" s="94" t="n">
        <v>3.72</v>
      </c>
      <c r="G186" s="97" t="n">
        <v>-6.76</v>
      </c>
      <c r="H186" s="97" t="n">
        <v>-11.42</v>
      </c>
      <c r="I186" s="97" t="n">
        <v>-12.23326370429398</v>
      </c>
      <c r="J186" s="94" t="n">
        <v>0</v>
      </c>
      <c r="K186" s="37" t="n">
        <v>38.4</v>
      </c>
      <c r="L186" s="18" t="n">
        <v>0</v>
      </c>
      <c r="M186" s="19" t="n">
        <v>21.1</v>
      </c>
      <c r="N186" s="95" t="inlineStr">
        <is>
          <t>📉 Weak</t>
        </is>
      </c>
      <c r="O186" s="95" t="inlineStr">
        <is>
          <t>⏳ New Fund</t>
        </is>
      </c>
      <c r="P186" s="95" t="inlineStr">
        <is>
          <t>⏳ New Fund</t>
        </is>
      </c>
      <c r="Q186" s="96" t="inlineStr">
        <is>
          <t>MOMENTUM_ONLY</t>
        </is>
      </c>
    </row>
    <row r="187" ht="16" customHeight="1">
      <c r="A187" s="92" t="n">
        <v>183</v>
      </c>
      <c r="B187" s="93" t="inlineStr">
        <is>
          <t>Edelweiss Nifty Bank ETF - Growth</t>
        </is>
      </c>
      <c r="C187" s="93" t="inlineStr">
        <is>
          <t>Edelweiss Mutual Fund</t>
        </is>
      </c>
      <c r="D187" s="93" t="inlineStr">
        <is>
          <t>Banking/Financial</t>
        </is>
      </c>
      <c r="E187" s="97" t="n">
        <v>-2</v>
      </c>
      <c r="F187" s="94" t="n">
        <v>7.63</v>
      </c>
      <c r="G187" s="97" t="n">
        <v>-6.53</v>
      </c>
      <c r="H187" s="94" t="n">
        <v>3.84</v>
      </c>
      <c r="I187" s="94" t="n">
        <v>0</v>
      </c>
      <c r="J187" s="94" t="n">
        <v>0</v>
      </c>
      <c r="K187" s="37" t="n">
        <v>38.1</v>
      </c>
      <c r="L187" s="18" t="n">
        <v>0</v>
      </c>
      <c r="M187" s="19" t="n">
        <v>21</v>
      </c>
      <c r="N187" s="95" t="inlineStr">
        <is>
          <t>📉 Weak</t>
        </is>
      </c>
      <c r="O187" s="95" t="inlineStr">
        <is>
          <t>⏳ New Fund</t>
        </is>
      </c>
      <c r="P187" s="95" t="inlineStr">
        <is>
          <t>⏳ New Fund</t>
        </is>
      </c>
      <c r="Q187" s="96" t="inlineStr">
        <is>
          <t>MOMENTUM_ONLY</t>
        </is>
      </c>
    </row>
    <row r="188" ht="16" customHeight="1">
      <c r="A188" s="92" t="n">
        <v>184</v>
      </c>
      <c r="B188" s="93" t="inlineStr">
        <is>
          <t>Mirae Asset Nifty Energy ETF</t>
        </is>
      </c>
      <c r="C188" s="93" t="inlineStr">
        <is>
          <t>Mirae Asset Mutual Fund</t>
        </is>
      </c>
      <c r="D188" s="93" t="inlineStr">
        <is>
          <t>Commodities</t>
        </is>
      </c>
      <c r="E188" s="97" t="n">
        <v>-1.59</v>
      </c>
      <c r="F188" s="97" t="n">
        <v>-2.24</v>
      </c>
      <c r="G188" s="94" t="n">
        <v>5.9</v>
      </c>
      <c r="H188" s="94" t="n">
        <v>0</v>
      </c>
      <c r="I188" s="94" t="n">
        <v>0</v>
      </c>
      <c r="J188" s="94" t="n">
        <v>0</v>
      </c>
      <c r="K188" s="37" t="n">
        <v>38.1</v>
      </c>
      <c r="L188" s="18" t="n">
        <v>0</v>
      </c>
      <c r="M188" s="19" t="n">
        <v>21</v>
      </c>
      <c r="N188" s="95" t="inlineStr">
        <is>
          <t>📉 Weak</t>
        </is>
      </c>
      <c r="O188" s="95" t="inlineStr">
        <is>
          <t>⏳ New Fund</t>
        </is>
      </c>
      <c r="P188" s="95" t="inlineStr">
        <is>
          <t>⏳ New Fund</t>
        </is>
      </c>
      <c r="Q188" s="96" t="inlineStr">
        <is>
          <t>MOMENTUM_ONLY</t>
        </is>
      </c>
    </row>
    <row r="189" ht="16" customHeight="1">
      <c r="A189" s="13" t="n">
        <v>185</v>
      </c>
      <c r="B189" s="14" t="inlineStr">
        <is>
          <t>Nippon India ETF Nifty IT</t>
        </is>
      </c>
      <c r="C189" s="14" t="inlineStr">
        <is>
          <t>Nippon India Mutual Fund</t>
        </is>
      </c>
      <c r="D189" s="14" t="inlineStr">
        <is>
          <t>Index Fund</t>
        </is>
      </c>
      <c r="E189" s="15" t="n">
        <v>3.43</v>
      </c>
      <c r="F189" s="15" t="n">
        <v>3.67</v>
      </c>
      <c r="G189" s="16" t="n">
        <v>-6.82</v>
      </c>
      <c r="H189" s="16" t="n">
        <v>-11.6</v>
      </c>
      <c r="I189" s="16" t="n">
        <v>-12.3415719967555</v>
      </c>
      <c r="J189" s="15" t="n">
        <v>4.44</v>
      </c>
      <c r="K189" s="37" t="n">
        <v>37.6</v>
      </c>
      <c r="L189" s="18" t="n">
        <v>0</v>
      </c>
      <c r="M189" s="19" t="n">
        <v>20.7</v>
      </c>
      <c r="N189" s="20" t="inlineStr">
        <is>
          <t>📉 Weak</t>
        </is>
      </c>
      <c r="O189" s="20" t="inlineStr">
        <is>
          <t>🔴 Not Qualified</t>
        </is>
      </c>
      <c r="P189" s="20" t="inlineStr">
        <is>
          <t>🔴 Avoid</t>
        </is>
      </c>
      <c r="Q189" s="83" t="inlineStr">
        <is>
          <t>FULL</t>
        </is>
      </c>
    </row>
    <row r="190" ht="16" customHeight="1">
      <c r="A190" s="28" t="n">
        <v>186</v>
      </c>
      <c r="B190" s="29" t="inlineStr">
        <is>
          <t>Axis IT ETF</t>
        </is>
      </c>
      <c r="C190" s="29" t="inlineStr">
        <is>
          <t>Axis Mutual Fund</t>
        </is>
      </c>
      <c r="D190" s="29" t="inlineStr">
        <is>
          <t>Standard Equity/Debt</t>
        </is>
      </c>
      <c r="E190" s="30" t="n">
        <v>3.43</v>
      </c>
      <c r="F190" s="30" t="n">
        <v>3.67</v>
      </c>
      <c r="G190" s="91" t="n">
        <v>-6.84</v>
      </c>
      <c r="H190" s="91" t="n">
        <v>-11.59</v>
      </c>
      <c r="I190" s="91" t="n">
        <v>-12.34727614044159</v>
      </c>
      <c r="J190" s="30" t="n">
        <v>4.4</v>
      </c>
      <c r="K190" s="37" t="n">
        <v>37.4</v>
      </c>
      <c r="L190" s="18" t="n">
        <v>0</v>
      </c>
      <c r="M190" s="19" t="n">
        <v>20.6</v>
      </c>
      <c r="N190" s="31" t="inlineStr">
        <is>
          <t>📉 Weak</t>
        </is>
      </c>
      <c r="O190" s="31" t="inlineStr">
        <is>
          <t>🔴 Not Qualified</t>
        </is>
      </c>
      <c r="P190" s="31" t="inlineStr">
        <is>
          <t>🔴 Avoid</t>
        </is>
      </c>
      <c r="Q190" s="83" t="inlineStr">
        <is>
          <t>FULL</t>
        </is>
      </c>
    </row>
    <row r="191" ht="16" customHeight="1">
      <c r="A191" s="92" t="n">
        <v>187</v>
      </c>
      <c r="B191" s="93" t="inlineStr">
        <is>
          <t>Motilal Oswal Nifty Energy ETF</t>
        </is>
      </c>
      <c r="C191" s="93" t="inlineStr">
        <is>
          <t>Motilal Oswal Mutual Fund</t>
        </is>
      </c>
      <c r="D191" s="93" t="inlineStr">
        <is>
          <t>Commodities</t>
        </is>
      </c>
      <c r="E191" s="97" t="n">
        <v>-1.61</v>
      </c>
      <c r="F191" s="97" t="n">
        <v>-2.31</v>
      </c>
      <c r="G191" s="94" t="n">
        <v>5.72</v>
      </c>
      <c r="H191" s="94" t="n">
        <v>0</v>
      </c>
      <c r="I191" s="94" t="n">
        <v>0</v>
      </c>
      <c r="J191" s="94" t="n">
        <v>0</v>
      </c>
      <c r="K191" s="37" t="n">
        <v>37.3</v>
      </c>
      <c r="L191" s="18" t="n">
        <v>0</v>
      </c>
      <c r="M191" s="19" t="n">
        <v>20.5</v>
      </c>
      <c r="N191" s="95" t="inlineStr">
        <is>
          <t>📉 Weak</t>
        </is>
      </c>
      <c r="O191" s="95" t="inlineStr">
        <is>
          <t>⏳ New Fund</t>
        </is>
      </c>
      <c r="P191" s="95" t="inlineStr">
        <is>
          <t>⏳ New Fund</t>
        </is>
      </c>
      <c r="Q191" s="96" t="inlineStr">
        <is>
          <t>MOMENTUM_ONLY</t>
        </is>
      </c>
    </row>
    <row r="192" ht="16" customHeight="1">
      <c r="A192" s="28" t="n">
        <v>188</v>
      </c>
      <c r="B192" s="29" t="inlineStr">
        <is>
          <t>SBI Nifty IT ETF</t>
        </is>
      </c>
      <c r="C192" s="29" t="inlineStr">
        <is>
          <t>SBI Mutual Fund</t>
        </is>
      </c>
      <c r="D192" s="29" t="inlineStr">
        <is>
          <t>Index Fund</t>
        </is>
      </c>
      <c r="E192" s="30" t="n">
        <v>3.42</v>
      </c>
      <c r="F192" s="30" t="n">
        <v>3.65</v>
      </c>
      <c r="G192" s="91" t="n">
        <v>-6.85</v>
      </c>
      <c r="H192" s="91" t="n">
        <v>-11.61</v>
      </c>
      <c r="I192" s="91" t="n">
        <v>-12.34727614044159</v>
      </c>
      <c r="J192" s="30" t="n">
        <v>4.44</v>
      </c>
      <c r="K192" s="37" t="n">
        <v>36.8</v>
      </c>
      <c r="L192" s="18" t="n">
        <v>0</v>
      </c>
      <c r="M192" s="19" t="n">
        <v>20.3</v>
      </c>
      <c r="N192" s="31" t="inlineStr">
        <is>
          <t>📉 Weak</t>
        </is>
      </c>
      <c r="O192" s="31" t="inlineStr">
        <is>
          <t>🔴 Not Qualified</t>
        </is>
      </c>
      <c r="P192" s="31" t="inlineStr">
        <is>
          <t>🔴 Avoid</t>
        </is>
      </c>
      <c r="Q192" s="83" t="inlineStr">
        <is>
          <t>FULL</t>
        </is>
      </c>
    </row>
    <row r="193" ht="16" customHeight="1">
      <c r="A193" s="92" t="n">
        <v>189</v>
      </c>
      <c r="B193" s="93" t="inlineStr">
        <is>
          <t>Motilal Oswal Nifty 100 ETF</t>
        </is>
      </c>
      <c r="C193" s="93" t="inlineStr">
        <is>
          <t>Motilal Oswal Mutual Fund</t>
        </is>
      </c>
      <c r="D193" s="93" t="inlineStr">
        <is>
          <t>Index Fund</t>
        </is>
      </c>
      <c r="E193" s="94" t="n">
        <v>0.18</v>
      </c>
      <c r="F193" s="94" t="n">
        <v>3.76</v>
      </c>
      <c r="G193" s="97" t="n">
        <v>-3.9</v>
      </c>
      <c r="H193" s="94" t="n">
        <v>0</v>
      </c>
      <c r="I193" s="94" t="n">
        <v>0</v>
      </c>
      <c r="J193" s="94" t="n">
        <v>0</v>
      </c>
      <c r="K193" s="37" t="n">
        <v>36.5</v>
      </c>
      <c r="L193" s="18" t="n">
        <v>0</v>
      </c>
      <c r="M193" s="19" t="n">
        <v>20.1</v>
      </c>
      <c r="N193" s="95" t="inlineStr">
        <is>
          <t>📉 Weak</t>
        </is>
      </c>
      <c r="O193" s="95" t="inlineStr">
        <is>
          <t>⏳ New Fund</t>
        </is>
      </c>
      <c r="P193" s="95" t="inlineStr">
        <is>
          <t>⏳ New Fund</t>
        </is>
      </c>
      <c r="Q193" s="96" t="inlineStr">
        <is>
          <t>MOMENTUM_ONLY</t>
        </is>
      </c>
    </row>
    <row r="194" ht="16" customHeight="1">
      <c r="A194" s="28" t="n">
        <v>190</v>
      </c>
      <c r="B194" s="29" t="inlineStr">
        <is>
          <t>Kotak Nifty India Consumption ETF</t>
        </is>
      </c>
      <c r="C194" s="29" t="inlineStr">
        <is>
          <t>Kotak Mahindra Mutual Fund</t>
        </is>
      </c>
      <c r="D194" s="29" t="inlineStr">
        <is>
          <t>Index Fund</t>
        </is>
      </c>
      <c r="E194" s="30" t="n">
        <v>2.84</v>
      </c>
      <c r="F194" s="30" t="n">
        <v>6.74</v>
      </c>
      <c r="G194" s="91" t="n">
        <v>-89.86</v>
      </c>
      <c r="H194" s="91" t="n">
        <v>-89.79000000000001</v>
      </c>
      <c r="I194" s="91" t="n">
        <v>-67.87524319158197</v>
      </c>
      <c r="J194" s="91" t="n">
        <v>-85.03</v>
      </c>
      <c r="K194" s="37" t="n">
        <v>36</v>
      </c>
      <c r="L194" s="18" t="n">
        <v>0</v>
      </c>
      <c r="M194" s="19" t="n">
        <v>19.8</v>
      </c>
      <c r="N194" s="31" t="inlineStr">
        <is>
          <t>📉 Weak</t>
        </is>
      </c>
      <c r="O194" s="31" t="inlineStr">
        <is>
          <t>🔴 Not Qualified</t>
        </is>
      </c>
      <c r="P194" s="31" t="inlineStr">
        <is>
          <t>🔴 Avoid</t>
        </is>
      </c>
      <c r="Q194" s="83" t="inlineStr">
        <is>
          <t>FULL</t>
        </is>
      </c>
    </row>
    <row r="195" ht="16" customHeight="1">
      <c r="A195" s="13" t="n">
        <v>191</v>
      </c>
      <c r="B195" s="14" t="inlineStr">
        <is>
          <t>Mirae Asset Nifty 100 ESG Sector Leaders ETF</t>
        </is>
      </c>
      <c r="C195" s="14" t="inlineStr">
        <is>
          <t>Mirae Asset Mutual Fund</t>
        </is>
      </c>
      <c r="D195" s="14" t="inlineStr">
        <is>
          <t>Index Fund</t>
        </is>
      </c>
      <c r="E195" s="16" t="n">
        <v>-0.5</v>
      </c>
      <c r="F195" s="15" t="n">
        <v>3.78</v>
      </c>
      <c r="G195" s="16" t="n">
        <v>-4.11</v>
      </c>
      <c r="H195" s="16" t="n">
        <v>-0.8100000000000001</v>
      </c>
      <c r="I195" s="15" t="n">
        <v>0.279609093773403</v>
      </c>
      <c r="J195" s="15" t="n">
        <v>33.83</v>
      </c>
      <c r="K195" s="37" t="n">
        <v>35.4</v>
      </c>
      <c r="L195" s="18" t="n">
        <v>0</v>
      </c>
      <c r="M195" s="19" t="n">
        <v>19.4</v>
      </c>
      <c r="N195" s="20" t="inlineStr">
        <is>
          <t>📉 Weak</t>
        </is>
      </c>
      <c r="O195" s="20" t="inlineStr">
        <is>
          <t>🔴 Not Qualified</t>
        </is>
      </c>
      <c r="P195" s="20" t="inlineStr">
        <is>
          <t>🔴 Avoid</t>
        </is>
      </c>
      <c r="Q195" s="83" t="inlineStr">
        <is>
          <t>FULL</t>
        </is>
      </c>
    </row>
    <row r="196" ht="16" customHeight="1">
      <c r="A196" s="28" t="n">
        <v>192</v>
      </c>
      <c r="B196" s="29" t="inlineStr">
        <is>
          <t>DSP Nifty Private Bank ETF</t>
        </is>
      </c>
      <c r="C196" s="29" t="inlineStr">
        <is>
          <t>DSP Mutual Fund</t>
        </is>
      </c>
      <c r="D196" s="29" t="inlineStr">
        <is>
          <t>Banking/Financial</t>
        </is>
      </c>
      <c r="E196" s="91" t="n">
        <v>-4.2</v>
      </c>
      <c r="F196" s="30" t="n">
        <v>5.53</v>
      </c>
      <c r="G196" s="91" t="n">
        <v>-6.16</v>
      </c>
      <c r="H196" s="30" t="n">
        <v>2.71</v>
      </c>
      <c r="I196" s="30" t="n">
        <v>4.307238483242393</v>
      </c>
      <c r="J196" s="30" t="n">
        <v>22.24</v>
      </c>
      <c r="K196" s="37" t="n">
        <v>34.9</v>
      </c>
      <c r="L196" s="18" t="n">
        <v>0</v>
      </c>
      <c r="M196" s="19" t="n">
        <v>19.2</v>
      </c>
      <c r="N196" s="31" t="inlineStr">
        <is>
          <t>📉 Weak</t>
        </is>
      </c>
      <c r="O196" s="31" t="inlineStr">
        <is>
          <t>🔴 Not Qualified</t>
        </is>
      </c>
      <c r="P196" s="31" t="inlineStr">
        <is>
          <t>🔴 Avoid</t>
        </is>
      </c>
      <c r="Q196" s="83" t="inlineStr">
        <is>
          <t>FULL</t>
        </is>
      </c>
    </row>
    <row r="197" ht="16" customHeight="1">
      <c r="A197" s="13" t="n">
        <v>193</v>
      </c>
      <c r="B197" s="14" t="inlineStr">
        <is>
          <t>Tata Nifty Private Bank Exchange Traded Fund</t>
        </is>
      </c>
      <c r="C197" s="14" t="inlineStr">
        <is>
          <t>Tata Mutual Fund</t>
        </is>
      </c>
      <c r="D197" s="14" t="inlineStr">
        <is>
          <t>Banking/Financial</t>
        </is>
      </c>
      <c r="E197" s="16" t="n">
        <v>-4.22</v>
      </c>
      <c r="F197" s="15" t="n">
        <v>5.49</v>
      </c>
      <c r="G197" s="16" t="n">
        <v>-6.17</v>
      </c>
      <c r="H197" s="15" t="n">
        <v>2.79</v>
      </c>
      <c r="I197" s="15" t="n">
        <v>4.31682510506155</v>
      </c>
      <c r="J197" s="15" t="n">
        <v>22.34</v>
      </c>
      <c r="K197" s="37" t="n">
        <v>34.7</v>
      </c>
      <c r="L197" s="18" t="n">
        <v>0</v>
      </c>
      <c r="M197" s="19" t="n">
        <v>19.1</v>
      </c>
      <c r="N197" s="20" t="inlineStr">
        <is>
          <t>📉 Weak</t>
        </is>
      </c>
      <c r="O197" s="20" t="inlineStr">
        <is>
          <t>🔴 Not Qualified</t>
        </is>
      </c>
      <c r="P197" s="20" t="inlineStr">
        <is>
          <t>🔴 Avoid</t>
        </is>
      </c>
      <c r="Q197" s="83" t="inlineStr">
        <is>
          <t>FULL</t>
        </is>
      </c>
    </row>
    <row r="198" ht="16" customHeight="1">
      <c r="A198" s="28" t="n">
        <v>194</v>
      </c>
      <c r="B198" s="29" t="inlineStr">
        <is>
          <t>ICICI Prudential Nifty Private Bank ETF</t>
        </is>
      </c>
      <c r="C198" s="29" t="inlineStr">
        <is>
          <t>ICICI Prudential Mutual Fund</t>
        </is>
      </c>
      <c r="D198" s="29" t="inlineStr">
        <is>
          <t>Banking/Financial</t>
        </is>
      </c>
      <c r="E198" s="91" t="n">
        <v>-4.21</v>
      </c>
      <c r="F198" s="30" t="n">
        <v>5.53</v>
      </c>
      <c r="G198" s="91" t="n">
        <v>-6.16</v>
      </c>
      <c r="H198" s="30" t="n">
        <v>2.71</v>
      </c>
      <c r="I198" s="30" t="n">
        <v>4.297650980259382</v>
      </c>
      <c r="J198" s="91" t="n">
        <v>-87.79000000000001</v>
      </c>
      <c r="K198" s="37" t="n">
        <v>34.6</v>
      </c>
      <c r="L198" s="18" t="n">
        <v>0</v>
      </c>
      <c r="M198" s="19" t="n">
        <v>19</v>
      </c>
      <c r="N198" s="31" t="inlineStr">
        <is>
          <t>📉 Weak</t>
        </is>
      </c>
      <c r="O198" s="31" t="inlineStr">
        <is>
          <t>🔴 Not Qualified</t>
        </is>
      </c>
      <c r="P198" s="31" t="inlineStr">
        <is>
          <t>🔴 Avoid</t>
        </is>
      </c>
      <c r="Q198" s="83" t="inlineStr">
        <is>
          <t>FULL</t>
        </is>
      </c>
    </row>
    <row r="199" ht="16" customHeight="1">
      <c r="A199" s="13" t="n">
        <v>194</v>
      </c>
      <c r="B199" s="14" t="inlineStr">
        <is>
          <t>SBI Nifty Private Bank ETF</t>
        </is>
      </c>
      <c r="C199" s="14" t="inlineStr">
        <is>
          <t>SBI Mutual Fund</t>
        </is>
      </c>
      <c r="D199" s="14" t="inlineStr">
        <is>
          <t>Banking/Financial</t>
        </is>
      </c>
      <c r="E199" s="16" t="n">
        <v>-4.21</v>
      </c>
      <c r="F199" s="15" t="n">
        <v>5.53</v>
      </c>
      <c r="G199" s="16" t="n">
        <v>-6.16</v>
      </c>
      <c r="H199" s="15" t="n">
        <v>2.71</v>
      </c>
      <c r="I199" s="15" t="n">
        <v>4.302444841911557</v>
      </c>
      <c r="J199" s="15" t="n">
        <v>22.11</v>
      </c>
      <c r="K199" s="37" t="n">
        <v>34.6</v>
      </c>
      <c r="L199" s="18" t="n">
        <v>0</v>
      </c>
      <c r="M199" s="19" t="n">
        <v>19</v>
      </c>
      <c r="N199" s="20" t="inlineStr">
        <is>
          <t>📉 Weak</t>
        </is>
      </c>
      <c r="O199" s="20" t="inlineStr">
        <is>
          <t>🔴 Not Qualified</t>
        </is>
      </c>
      <c r="P199" s="20" t="inlineStr">
        <is>
          <t>🔴 Avoid</t>
        </is>
      </c>
      <c r="Q199" s="83" t="inlineStr">
        <is>
          <t>FULL</t>
        </is>
      </c>
    </row>
    <row r="200" ht="16" customHeight="1">
      <c r="A200" s="28" t="n">
        <v>196</v>
      </c>
      <c r="B200" s="29" t="inlineStr">
        <is>
          <t>HDFC NIFTY Private Bank ETF - Growth Option</t>
        </is>
      </c>
      <c r="C200" s="29" t="inlineStr">
        <is>
          <t>HDFC Mutual Fund</t>
        </is>
      </c>
      <c r="D200" s="29" t="inlineStr">
        <is>
          <t>Banking/Financial</t>
        </is>
      </c>
      <c r="E200" s="91" t="n">
        <v>-4.21</v>
      </c>
      <c r="F200" s="30" t="n">
        <v>5.53</v>
      </c>
      <c r="G200" s="91" t="n">
        <v>-6.16</v>
      </c>
      <c r="H200" s="30" t="n">
        <v>2.7</v>
      </c>
      <c r="I200" s="30" t="n">
        <v>4.302444841911557</v>
      </c>
      <c r="J200" s="91" t="n">
        <v>-87.79000000000001</v>
      </c>
      <c r="K200" s="37" t="n">
        <v>34.5</v>
      </c>
      <c r="L200" s="18" t="n">
        <v>0</v>
      </c>
      <c r="M200" s="19" t="n">
        <v>19</v>
      </c>
      <c r="N200" s="31" t="inlineStr">
        <is>
          <t>📉 Weak</t>
        </is>
      </c>
      <c r="O200" s="31" t="inlineStr">
        <is>
          <t>🔴 Not Qualified</t>
        </is>
      </c>
      <c r="P200" s="31" t="inlineStr">
        <is>
          <t>🔴 Avoid</t>
        </is>
      </c>
      <c r="Q200" s="83" t="inlineStr">
        <is>
          <t>FULL</t>
        </is>
      </c>
    </row>
    <row r="201" ht="16" customHeight="1">
      <c r="A201" s="13" t="n">
        <v>197</v>
      </c>
      <c r="B201" s="14" t="inlineStr">
        <is>
          <t>DSP NIFTY 1D Rate Liquid ETF</t>
        </is>
      </c>
      <c r="C201" s="14" t="inlineStr">
        <is>
          <t>DSP Mutual Fund</t>
        </is>
      </c>
      <c r="D201" s="14" t="inlineStr">
        <is>
          <t>Index Fund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J201" s="15" t="n">
        <v>0</v>
      </c>
      <c r="K201" s="37" t="n">
        <v>32.4</v>
      </c>
      <c r="L201" s="18" t="n">
        <v>0</v>
      </c>
      <c r="M201" s="19" t="n">
        <v>17.8</v>
      </c>
      <c r="N201" s="20" t="inlineStr">
        <is>
          <t>📉 Weak</t>
        </is>
      </c>
      <c r="O201" s="20" t="inlineStr">
        <is>
          <t>🔴 Not Qualified</t>
        </is>
      </c>
      <c r="P201" s="20" t="inlineStr">
        <is>
          <t>🔴 Avoid</t>
        </is>
      </c>
      <c r="Q201" s="83" t="inlineStr">
        <is>
          <t>FULL</t>
        </is>
      </c>
    </row>
    <row r="202" ht="16" customHeight="1">
      <c r="A202" s="92" t="n">
        <v>198</v>
      </c>
      <c r="B202" s="93" t="inlineStr">
        <is>
          <t>Edelweiss BSE Capital Markets &amp; Insurance  ETF - Growth</t>
        </is>
      </c>
      <c r="C202" s="93" t="inlineStr">
        <is>
          <t>Edelweiss Mutual Fund</t>
        </is>
      </c>
      <c r="D202" s="93" t="inlineStr">
        <is>
          <t>Index Fund</t>
        </is>
      </c>
      <c r="E202" s="97" t="n">
        <v>-0.64</v>
      </c>
      <c r="F202" s="97" t="n">
        <v>-2.77</v>
      </c>
      <c r="G202" s="97" t="n">
        <v>-2.67</v>
      </c>
      <c r="H202" s="94" t="n">
        <v>3.08</v>
      </c>
      <c r="I202" s="94" t="n">
        <v>0</v>
      </c>
      <c r="J202" s="94" t="n">
        <v>0</v>
      </c>
      <c r="K202" s="37" t="n">
        <v>32.3</v>
      </c>
      <c r="L202" s="18" t="n">
        <v>0</v>
      </c>
      <c r="M202" s="19" t="n">
        <v>17.8</v>
      </c>
      <c r="N202" s="95" t="inlineStr">
        <is>
          <t>📉 Weak</t>
        </is>
      </c>
      <c r="O202" s="95" t="inlineStr">
        <is>
          <t>⏳ New Fund</t>
        </is>
      </c>
      <c r="P202" s="95" t="inlineStr">
        <is>
          <t>⏳ New Fund</t>
        </is>
      </c>
      <c r="Q202" s="96" t="inlineStr">
        <is>
          <t>MOMENTUM_ONLY</t>
        </is>
      </c>
    </row>
    <row r="203" ht="16" customHeight="1">
      <c r="A203" s="13" t="n">
        <v>199</v>
      </c>
      <c r="B203" s="14" t="inlineStr">
        <is>
          <t>Mirae Asset Hang Seng TECH ETF</t>
        </is>
      </c>
      <c r="C203" s="14" t="inlineStr">
        <is>
          <t>Mirae Asset Mutual Fund</t>
        </is>
      </c>
      <c r="D203" s="14" t="inlineStr">
        <is>
          <t>International</t>
        </is>
      </c>
      <c r="E203" s="15" t="n">
        <v>1.99</v>
      </c>
      <c r="F203" s="16" t="n">
        <v>-3.07</v>
      </c>
      <c r="G203" s="16" t="n">
        <v>-6.65</v>
      </c>
      <c r="H203" s="16" t="n">
        <v>-6.81</v>
      </c>
      <c r="I203" s="15" t="n">
        <v>24.95599225327292</v>
      </c>
      <c r="J203" s="15" t="n">
        <v>37.43</v>
      </c>
      <c r="K203" s="37" t="n">
        <v>21.5</v>
      </c>
      <c r="L203" s="18" t="n">
        <v>11.2</v>
      </c>
      <c r="M203" s="19" t="n">
        <v>16.9</v>
      </c>
      <c r="N203" s="20" t="inlineStr">
        <is>
          <t>📉 Weak</t>
        </is>
      </c>
      <c r="O203" s="20" t="inlineStr">
        <is>
          <t>⚠️ Below Avg</t>
        </is>
      </c>
      <c r="P203" s="20" t="inlineStr">
        <is>
          <t>🔴 Avoid</t>
        </is>
      </c>
      <c r="Q203" s="83" t="inlineStr">
        <is>
          <t>FULL</t>
        </is>
      </c>
    </row>
    <row r="204" ht="16" customHeight="1">
      <c r="A204" s="92" t="n">
        <v>200</v>
      </c>
      <c r="B204" s="93" t="inlineStr">
        <is>
          <t>Zerodha Nifty 50 ETF</t>
        </is>
      </c>
      <c r="C204" s="93" t="inlineStr">
        <is>
          <t>Zerodha Mutual Fund</t>
        </is>
      </c>
      <c r="D204" s="93" t="inlineStr">
        <is>
          <t>Index Fund</t>
        </is>
      </c>
      <c r="E204" s="97" t="n">
        <v>-0.54</v>
      </c>
      <c r="F204" s="94" t="n">
        <v>3.03</v>
      </c>
      <c r="G204" s="97" t="n">
        <v>-5.6</v>
      </c>
      <c r="H204" s="94" t="n">
        <v>0</v>
      </c>
      <c r="I204" s="94" t="n">
        <v>0</v>
      </c>
      <c r="J204" s="94" t="n">
        <v>0</v>
      </c>
      <c r="K204" s="37" t="n">
        <v>30.4</v>
      </c>
      <c r="L204" s="18" t="n">
        <v>0</v>
      </c>
      <c r="M204" s="19" t="n">
        <v>16.7</v>
      </c>
      <c r="N204" s="95" t="inlineStr">
        <is>
          <t>📉 Weak</t>
        </is>
      </c>
      <c r="O204" s="95" t="inlineStr">
        <is>
          <t>⏳ New Fund</t>
        </is>
      </c>
      <c r="P204" s="95" t="inlineStr">
        <is>
          <t>⏳ New Fund</t>
        </is>
      </c>
      <c r="Q204" s="96" t="inlineStr">
        <is>
          <t>MOMENTUM_ONLY</t>
        </is>
      </c>
    </row>
    <row r="205" ht="16" customHeight="1">
      <c r="A205" s="13" t="n">
        <v>201</v>
      </c>
      <c r="B205" s="14" t="inlineStr">
        <is>
          <t>Kotak Nifty Midcap 50 ETF</t>
        </is>
      </c>
      <c r="C205" s="14" t="inlineStr">
        <is>
          <t>Kotak Mahindra Mutual Fund</t>
        </is>
      </c>
      <c r="D205" s="14" t="inlineStr">
        <is>
          <t>Index Fund</t>
        </is>
      </c>
      <c r="E205" s="15" t="n">
        <v>1.69</v>
      </c>
      <c r="F205" s="15" t="n">
        <v>4.84</v>
      </c>
      <c r="G205" s="16" t="n">
        <v>-89.34</v>
      </c>
      <c r="H205" s="16" t="n">
        <v>-88.52</v>
      </c>
      <c r="I205" s="16" t="n">
        <v>-66.38452737205678</v>
      </c>
      <c r="J205" s="16" t="n">
        <v>-82.98</v>
      </c>
      <c r="K205" s="37" t="n">
        <v>30.3</v>
      </c>
      <c r="L205" s="18" t="n">
        <v>0</v>
      </c>
      <c r="M205" s="19" t="n">
        <v>16.7</v>
      </c>
      <c r="N205" s="20" t="inlineStr">
        <is>
          <t>📉 Weak</t>
        </is>
      </c>
      <c r="O205" s="20" t="inlineStr">
        <is>
          <t>🔴 Not Qualified</t>
        </is>
      </c>
      <c r="P205" s="20" t="inlineStr">
        <is>
          <t>🔴 Avoid</t>
        </is>
      </c>
      <c r="Q205" s="83" t="inlineStr">
        <is>
          <t>FULL</t>
        </is>
      </c>
    </row>
    <row r="206" ht="16" customHeight="1">
      <c r="A206" s="28" t="n">
        <v>202</v>
      </c>
      <c r="B206" s="29" t="inlineStr">
        <is>
          <t>Kotak Nifty 50 ETF</t>
        </is>
      </c>
      <c r="C206" s="29" t="inlineStr">
        <is>
          <t>Kotak Mahindra Mutual Fund</t>
        </is>
      </c>
      <c r="D206" s="29" t="inlineStr">
        <is>
          <t>Index Fund</t>
        </is>
      </c>
      <c r="E206" s="91" t="n">
        <v>-0.54</v>
      </c>
      <c r="F206" s="30" t="n">
        <v>3</v>
      </c>
      <c r="G206" s="91" t="n">
        <v>-5.69</v>
      </c>
      <c r="H206" s="91" t="n">
        <v>-0.86</v>
      </c>
      <c r="I206" s="30" t="n">
        <v>0.3493896344167968</v>
      </c>
      <c r="J206" s="30" t="n">
        <v>29.43</v>
      </c>
      <c r="K206" s="37" t="n">
        <v>29.6</v>
      </c>
      <c r="L206" s="18" t="n">
        <v>0</v>
      </c>
      <c r="M206" s="19" t="n">
        <v>16.3</v>
      </c>
      <c r="N206" s="31" t="inlineStr">
        <is>
          <t>📉 Weak</t>
        </is>
      </c>
      <c r="O206" s="31" t="inlineStr">
        <is>
          <t>🔴 Not Qualified</t>
        </is>
      </c>
      <c r="P206" s="31" t="inlineStr">
        <is>
          <t>🔴 Avoid</t>
        </is>
      </c>
      <c r="Q206" s="83" t="inlineStr">
        <is>
          <t>FULL</t>
        </is>
      </c>
    </row>
    <row r="207" ht="16" customHeight="1">
      <c r="A207" s="13" t="n">
        <v>203</v>
      </c>
      <c r="B207" s="14" t="inlineStr">
        <is>
          <t>Motilal Oswal BSE Enhanced Value ETF</t>
        </is>
      </c>
      <c r="C207" s="14" t="inlineStr">
        <is>
          <t>Motilal Oswal Mutual Fund</t>
        </is>
      </c>
      <c r="D207" s="14" t="inlineStr">
        <is>
          <t>Index Fund</t>
        </is>
      </c>
      <c r="E207" s="16" t="n">
        <v>-0.21</v>
      </c>
      <c r="F207" s="16" t="n">
        <v>-0.68</v>
      </c>
      <c r="G207" s="16" t="n">
        <v>-9</v>
      </c>
      <c r="H207" s="15" t="n">
        <v>12.4</v>
      </c>
      <c r="I207" s="15" t="n">
        <v>3.571231526906149</v>
      </c>
      <c r="J207" s="15" t="n">
        <v>96.04000000000001</v>
      </c>
      <c r="K207" s="37" t="n">
        <v>29.3</v>
      </c>
      <c r="L207" s="18" t="n">
        <v>0</v>
      </c>
      <c r="M207" s="19" t="n">
        <v>16.1</v>
      </c>
      <c r="N207" s="20" t="inlineStr">
        <is>
          <t>📉 Weak</t>
        </is>
      </c>
      <c r="O207" s="20" t="inlineStr">
        <is>
          <t>🔴 Not Qualified</t>
        </is>
      </c>
      <c r="P207" s="20" t="inlineStr">
        <is>
          <t>🔴 Avoid</t>
        </is>
      </c>
      <c r="Q207" s="83" t="inlineStr">
        <is>
          <t>FULL</t>
        </is>
      </c>
    </row>
    <row r="208" ht="16" customHeight="1">
      <c r="A208" s="92" t="n">
        <v>204</v>
      </c>
      <c r="B208" s="93" t="inlineStr">
        <is>
          <t>Edelweiss Nifty 50 ETF - Growth</t>
        </is>
      </c>
      <c r="C208" s="93" t="inlineStr">
        <is>
          <t>Edelweiss Mutual Fund</t>
        </is>
      </c>
      <c r="D208" s="93" t="inlineStr">
        <is>
          <t>Index Fund</t>
        </is>
      </c>
      <c r="E208" s="97" t="n">
        <v>-0.55</v>
      </c>
      <c r="F208" s="94" t="n">
        <v>2.98</v>
      </c>
      <c r="G208" s="97" t="n">
        <v>-5.7</v>
      </c>
      <c r="H208" s="94" t="n">
        <v>0</v>
      </c>
      <c r="I208" s="94" t="n">
        <v>0</v>
      </c>
      <c r="J208" s="94" t="n">
        <v>0</v>
      </c>
      <c r="K208" s="37" t="n">
        <v>28.5</v>
      </c>
      <c r="L208" s="18" t="n">
        <v>0</v>
      </c>
      <c r="M208" s="19" t="n">
        <v>15.7</v>
      </c>
      <c r="N208" s="95" t="inlineStr">
        <is>
          <t>📉 Weak</t>
        </is>
      </c>
      <c r="O208" s="95" t="inlineStr">
        <is>
          <t>⏳ New Fund</t>
        </is>
      </c>
      <c r="P208" s="95" t="inlineStr">
        <is>
          <t>⏳ New Fund</t>
        </is>
      </c>
      <c r="Q208" s="96" t="inlineStr">
        <is>
          <t>MOMENTUM_ONLY</t>
        </is>
      </c>
    </row>
    <row r="209" ht="16" customHeight="1">
      <c r="A209" s="13" t="n">
        <v>205</v>
      </c>
      <c r="B209" s="14" t="inlineStr">
        <is>
          <t>Nippon India ETF Nifty 50 BeES</t>
        </is>
      </c>
      <c r="C209" s="14" t="inlineStr">
        <is>
          <t>Nippon India Mutual Fund</t>
        </is>
      </c>
      <c r="D209" s="14" t="inlineStr">
        <is>
          <t>Index Fund</t>
        </is>
      </c>
      <c r="E209" s="16" t="n">
        <v>-0.54</v>
      </c>
      <c r="F209" s="15" t="n">
        <v>2.98</v>
      </c>
      <c r="G209" s="16" t="n">
        <v>-5.7</v>
      </c>
      <c r="H209" s="16" t="n">
        <v>-0.89</v>
      </c>
      <c r="I209" s="15" t="n">
        <v>0.3394239568874413</v>
      </c>
      <c r="J209" s="15" t="n">
        <v>29.38</v>
      </c>
      <c r="K209" s="37" t="n">
        <v>28.3</v>
      </c>
      <c r="L209" s="18" t="n">
        <v>0</v>
      </c>
      <c r="M209" s="19" t="n">
        <v>15.5</v>
      </c>
      <c r="N209" s="20" t="inlineStr">
        <is>
          <t>📉 Weak</t>
        </is>
      </c>
      <c r="O209" s="20" t="inlineStr">
        <is>
          <t>🔴 Not Qualified</t>
        </is>
      </c>
      <c r="P209" s="20" t="inlineStr">
        <is>
          <t>🔴 Avoid</t>
        </is>
      </c>
      <c r="Q209" s="83" t="inlineStr">
        <is>
          <t>FULL</t>
        </is>
      </c>
    </row>
    <row r="210" ht="16" customHeight="1">
      <c r="A210" s="28" t="n">
        <v>206</v>
      </c>
      <c r="B210" s="29" t="inlineStr">
        <is>
          <t>UTI Nifty 50 ETF</t>
        </is>
      </c>
      <c r="C210" s="29" t="inlineStr">
        <is>
          <t>UTI Mutual Fund</t>
        </is>
      </c>
      <c r="D210" s="29" t="inlineStr">
        <is>
          <t>Index Fund</t>
        </is>
      </c>
      <c r="E210" s="91" t="n">
        <v>-0.54</v>
      </c>
      <c r="F210" s="30" t="n">
        <v>2.98</v>
      </c>
      <c r="G210" s="91" t="n">
        <v>-5.71</v>
      </c>
      <c r="H210" s="91" t="n">
        <v>-0.88</v>
      </c>
      <c r="I210" s="30" t="n">
        <v>0.3444069193694554</v>
      </c>
      <c r="J210" s="91" t="n">
        <v>-87.06</v>
      </c>
      <c r="K210" s="37" t="n">
        <v>27.8</v>
      </c>
      <c r="L210" s="18" t="n">
        <v>0</v>
      </c>
      <c r="M210" s="19" t="n">
        <v>15.3</v>
      </c>
      <c r="N210" s="31" t="inlineStr">
        <is>
          <t>📉 Weak</t>
        </is>
      </c>
      <c r="O210" s="31" t="inlineStr">
        <is>
          <t>🔴 Not Qualified</t>
        </is>
      </c>
      <c r="P210" s="31" t="inlineStr">
        <is>
          <t>🔴 Avoid</t>
        </is>
      </c>
      <c r="Q210" s="83" t="inlineStr">
        <is>
          <t>FULL</t>
        </is>
      </c>
    </row>
    <row r="211" ht="16" customHeight="1">
      <c r="A211" s="13" t="n">
        <v>207</v>
      </c>
      <c r="B211" s="14" t="inlineStr">
        <is>
          <t>ICICI Prudential Nifty 50 ETF</t>
        </is>
      </c>
      <c r="C211" s="14" t="inlineStr">
        <is>
          <t>ICICI Prudential Mutual Fund</t>
        </is>
      </c>
      <c r="D211" s="14" t="inlineStr">
        <is>
          <t>Index Fund</t>
        </is>
      </c>
      <c r="E211" s="16" t="n">
        <v>-0.54</v>
      </c>
      <c r="F211" s="15" t="n">
        <v>2.98</v>
      </c>
      <c r="G211" s="16" t="n">
        <v>-5.71</v>
      </c>
      <c r="H211" s="16" t="n">
        <v>-0.89</v>
      </c>
      <c r="I211" s="15" t="n">
        <v>0.3543721020663915</v>
      </c>
      <c r="J211" s="15" t="n">
        <v>29.43</v>
      </c>
      <c r="K211" s="37" t="n">
        <v>27.5</v>
      </c>
      <c r="L211" s="18" t="n">
        <v>0</v>
      </c>
      <c r="M211" s="19" t="n">
        <v>15.1</v>
      </c>
      <c r="N211" s="20" t="inlineStr">
        <is>
          <t>📉 Weak</t>
        </is>
      </c>
      <c r="O211" s="20" t="inlineStr">
        <is>
          <t>🔴 Not Qualified</t>
        </is>
      </c>
      <c r="P211" s="20" t="inlineStr">
        <is>
          <t>🔴 Avoid</t>
        </is>
      </c>
      <c r="Q211" s="83" t="inlineStr">
        <is>
          <t>FULL</t>
        </is>
      </c>
    </row>
    <row r="212" ht="16" customHeight="1">
      <c r="A212" s="92" t="n">
        <v>208</v>
      </c>
      <c r="B212" s="93" t="inlineStr">
        <is>
          <t>Motilal Oswal Nifty PSE ETF</t>
        </is>
      </c>
      <c r="C212" s="93" t="inlineStr">
        <is>
          <t>Motilal Oswal Mutual Fund</t>
        </is>
      </c>
      <c r="D212" s="93" t="inlineStr">
        <is>
          <t>Index Fund</t>
        </is>
      </c>
      <c r="E212" s="97" t="n">
        <v>-0.71</v>
      </c>
      <c r="F212" s="97" t="n">
        <v>-4.78</v>
      </c>
      <c r="G212" s="97" t="n">
        <v>-5.09</v>
      </c>
      <c r="H212" s="94" t="n">
        <v>4.14</v>
      </c>
      <c r="I212" s="94" t="n">
        <v>0</v>
      </c>
      <c r="J212" s="94" t="n">
        <v>0</v>
      </c>
      <c r="K212" s="37" t="n">
        <v>27.5</v>
      </c>
      <c r="L212" s="18" t="n">
        <v>0</v>
      </c>
      <c r="M212" s="19" t="n">
        <v>15.1</v>
      </c>
      <c r="N212" s="95" t="inlineStr">
        <is>
          <t>📉 Weak</t>
        </is>
      </c>
      <c r="O212" s="95" t="inlineStr">
        <is>
          <t>⏳ New Fund</t>
        </is>
      </c>
      <c r="P212" s="95" t="inlineStr">
        <is>
          <t>⏳ New Fund</t>
        </is>
      </c>
      <c r="Q212" s="96" t="inlineStr">
        <is>
          <t>MOMENTUM_ONLY</t>
        </is>
      </c>
    </row>
    <row r="213" ht="16" customHeight="1">
      <c r="A213" s="13" t="n">
        <v>209</v>
      </c>
      <c r="B213" s="14" t="inlineStr">
        <is>
          <t>Mirae Asset Nifty 50 ETF</t>
        </is>
      </c>
      <c r="C213" s="14" t="inlineStr">
        <is>
          <t>Mirae Asset Mutual Fund</t>
        </is>
      </c>
      <c r="D213" s="14" t="inlineStr">
        <is>
          <t>Index Fund</t>
        </is>
      </c>
      <c r="E213" s="16" t="n">
        <v>-0.54</v>
      </c>
      <c r="F213" s="15" t="n">
        <v>2.98</v>
      </c>
      <c r="G213" s="16" t="n">
        <v>-5.71</v>
      </c>
      <c r="H213" s="16" t="n">
        <v>-0.91</v>
      </c>
      <c r="I213" s="15" t="n">
        <v>0.3294572894720682</v>
      </c>
      <c r="J213" s="15" t="n">
        <v>29.33</v>
      </c>
      <c r="K213" s="37" t="n">
        <v>27.1</v>
      </c>
      <c r="L213" s="18" t="n">
        <v>0</v>
      </c>
      <c r="M213" s="19" t="n">
        <v>14.9</v>
      </c>
      <c r="N213" s="20" t="inlineStr">
        <is>
          <t>📉 Weak</t>
        </is>
      </c>
      <c r="O213" s="20" t="inlineStr">
        <is>
          <t>🔴 Not Qualified</t>
        </is>
      </c>
      <c r="P213" s="20" t="inlineStr">
        <is>
          <t>🔴 Avoid</t>
        </is>
      </c>
      <c r="Q213" s="83" t="inlineStr">
        <is>
          <t>FULL</t>
        </is>
      </c>
    </row>
    <row r="214" ht="16" customHeight="1">
      <c r="A214" s="28" t="n">
        <v>209</v>
      </c>
      <c r="B214" s="29" t="inlineStr">
        <is>
          <t>SBI Nifty 50 ETF</t>
        </is>
      </c>
      <c r="C214" s="29" t="inlineStr">
        <is>
          <t>SBI Mutual Fund</t>
        </is>
      </c>
      <c r="D214" s="29" t="inlineStr">
        <is>
          <t>Index Fund</t>
        </is>
      </c>
      <c r="E214" s="91" t="n">
        <v>-0.54</v>
      </c>
      <c r="F214" s="30" t="n">
        <v>2.98</v>
      </c>
      <c r="G214" s="91" t="n">
        <v>-5.71</v>
      </c>
      <c r="H214" s="91" t="n">
        <v>-0.91</v>
      </c>
      <c r="I214" s="30" t="n">
        <v>0.3294572894720682</v>
      </c>
      <c r="J214" s="30" t="n">
        <v>29.33</v>
      </c>
      <c r="K214" s="37" t="n">
        <v>27.1</v>
      </c>
      <c r="L214" s="18" t="n">
        <v>0</v>
      </c>
      <c r="M214" s="19" t="n">
        <v>14.9</v>
      </c>
      <c r="N214" s="31" t="inlineStr">
        <is>
          <t>📉 Weak</t>
        </is>
      </c>
      <c r="O214" s="31" t="inlineStr">
        <is>
          <t>🔴 Not Qualified</t>
        </is>
      </c>
      <c r="P214" s="31" t="inlineStr">
        <is>
          <t>🔴 Avoid</t>
        </is>
      </c>
      <c r="Q214" s="83" t="inlineStr">
        <is>
          <t>FULL</t>
        </is>
      </c>
    </row>
    <row r="215" ht="16" customHeight="1">
      <c r="A215" s="13" t="n">
        <v>211</v>
      </c>
      <c r="B215" s="14" t="inlineStr">
        <is>
          <t>DSP Nifty 50 ETF</t>
        </is>
      </c>
      <c r="C215" s="14" t="inlineStr">
        <is>
          <t>DSP Mutual Fund</t>
        </is>
      </c>
      <c r="D215" s="14" t="inlineStr">
        <is>
          <t>Index Fund</t>
        </is>
      </c>
      <c r="E215" s="16" t="n">
        <v>-0.55</v>
      </c>
      <c r="F215" s="15" t="n">
        <v>2.98</v>
      </c>
      <c r="G215" s="16" t="n">
        <v>-5.71</v>
      </c>
      <c r="H215" s="16" t="n">
        <v>-0.88</v>
      </c>
      <c r="I215" s="15" t="n">
        <v>0.3344407469339394</v>
      </c>
      <c r="J215" s="15" t="n">
        <v>29.38</v>
      </c>
      <c r="K215" s="37" t="n">
        <v>26.9</v>
      </c>
      <c r="L215" s="18" t="n">
        <v>0</v>
      </c>
      <c r="M215" s="19" t="n">
        <v>14.8</v>
      </c>
      <c r="N215" s="20" t="inlineStr">
        <is>
          <t>📉 Weak</t>
        </is>
      </c>
      <c r="O215" s="20" t="inlineStr">
        <is>
          <t>🔴 Not Qualified</t>
        </is>
      </c>
      <c r="P215" s="20" t="inlineStr">
        <is>
          <t>🔴 Avoid</t>
        </is>
      </c>
      <c r="Q215" s="83" t="inlineStr">
        <is>
          <t>FULL</t>
        </is>
      </c>
    </row>
    <row r="216" ht="16" customHeight="1">
      <c r="A216" s="28" t="n">
        <v>212</v>
      </c>
      <c r="B216" s="29" t="inlineStr">
        <is>
          <t>Axis Nifty 50 ETF</t>
        </is>
      </c>
      <c r="C216" s="29" t="inlineStr">
        <is>
          <t>Axis Mutual Fund</t>
        </is>
      </c>
      <c r="D216" s="29" t="inlineStr">
        <is>
          <t>Index Fund</t>
        </is>
      </c>
      <c r="E216" s="91" t="n">
        <v>-0.54</v>
      </c>
      <c r="F216" s="30" t="n">
        <v>2.97</v>
      </c>
      <c r="G216" s="91" t="n">
        <v>-5.71</v>
      </c>
      <c r="H216" s="91" t="n">
        <v>-0.91</v>
      </c>
      <c r="I216" s="30" t="n">
        <v>0.3294572894720682</v>
      </c>
      <c r="J216" s="30" t="n">
        <v>29.35</v>
      </c>
      <c r="K216" s="37" t="n">
        <v>26.8</v>
      </c>
      <c r="L216" s="18" t="n">
        <v>0</v>
      </c>
      <c r="M216" s="19" t="n">
        <v>14.8</v>
      </c>
      <c r="N216" s="31" t="inlineStr">
        <is>
          <t>📉 Weak</t>
        </is>
      </c>
      <c r="O216" s="31" t="inlineStr">
        <is>
          <t>🔴 Not Qualified</t>
        </is>
      </c>
      <c r="P216" s="31" t="inlineStr">
        <is>
          <t>🔴 Avoid</t>
        </is>
      </c>
      <c r="Q216" s="83" t="inlineStr">
        <is>
          <t>FULL</t>
        </is>
      </c>
    </row>
    <row r="217" ht="16" customHeight="1">
      <c r="A217" s="92" t="n">
        <v>213</v>
      </c>
      <c r="B217" s="93" t="inlineStr">
        <is>
          <t>Motilal Oswal BSE India Infrastructure ETF</t>
        </is>
      </c>
      <c r="C217" s="93" t="inlineStr">
        <is>
          <t>Motilal Oswal Mutual Fund</t>
        </is>
      </c>
      <c r="D217" s="93" t="inlineStr">
        <is>
          <t>Infrastructure</t>
        </is>
      </c>
      <c r="E217" s="97" t="n">
        <v>-2.32</v>
      </c>
      <c r="F217" s="97" t="n">
        <v>-4.21</v>
      </c>
      <c r="G217" s="97" t="n">
        <v>-2.64</v>
      </c>
      <c r="H217" s="94" t="n">
        <v>2.18</v>
      </c>
      <c r="I217" s="94" t="n">
        <v>0</v>
      </c>
      <c r="J217" s="94" t="n">
        <v>0</v>
      </c>
      <c r="K217" s="37" t="n">
        <v>26.7</v>
      </c>
      <c r="L217" s="18" t="n">
        <v>0</v>
      </c>
      <c r="M217" s="19" t="n">
        <v>14.7</v>
      </c>
      <c r="N217" s="95" t="inlineStr">
        <is>
          <t>📉 Weak</t>
        </is>
      </c>
      <c r="O217" s="95" t="inlineStr">
        <is>
          <t>⏳ New Fund</t>
        </is>
      </c>
      <c r="P217" s="95" t="inlineStr">
        <is>
          <t>⏳ New Fund</t>
        </is>
      </c>
      <c r="Q217" s="96" t="inlineStr">
        <is>
          <t>MOMENTUM_ONLY</t>
        </is>
      </c>
    </row>
    <row r="218" ht="16" customHeight="1">
      <c r="A218" s="28" t="n">
        <v>214</v>
      </c>
      <c r="B218" s="29" t="inlineStr">
        <is>
          <t>HDFC NIFTY 50 ETF - Growth Plan</t>
        </is>
      </c>
      <c r="C218" s="29" t="inlineStr">
        <is>
          <t>HDFC Mutual Fund</t>
        </is>
      </c>
      <c r="D218" s="29" t="inlineStr">
        <is>
          <t>Index Fund</t>
        </is>
      </c>
      <c r="E218" s="91" t="n">
        <v>-0.54</v>
      </c>
      <c r="F218" s="30" t="n">
        <v>2.97</v>
      </c>
      <c r="G218" s="91" t="n">
        <v>-5.72</v>
      </c>
      <c r="H218" s="91" t="n">
        <v>-0.91</v>
      </c>
      <c r="I218" s="30" t="n">
        <v>0.3244735844649238</v>
      </c>
      <c r="J218" s="30" t="n">
        <v>29.32</v>
      </c>
      <c r="K218" s="37" t="n">
        <v>26.5</v>
      </c>
      <c r="L218" s="18" t="n">
        <v>0</v>
      </c>
      <c r="M218" s="19" t="n">
        <v>14.6</v>
      </c>
      <c r="N218" s="31" t="inlineStr">
        <is>
          <t>📉 Weak</t>
        </is>
      </c>
      <c r="O218" s="31" t="inlineStr">
        <is>
          <t>🔴 Not Qualified</t>
        </is>
      </c>
      <c r="P218" s="31" t="inlineStr">
        <is>
          <t>🔴 Avoid</t>
        </is>
      </c>
      <c r="Q218" s="83" t="inlineStr">
        <is>
          <t>FULL</t>
        </is>
      </c>
    </row>
    <row r="219" ht="16" customHeight="1">
      <c r="A219" s="13" t="n">
        <v>215</v>
      </c>
      <c r="B219" s="14" t="inlineStr">
        <is>
          <t>Motilal Oswal Nifty 50 ETF</t>
        </is>
      </c>
      <c r="C219" s="14" t="inlineStr">
        <is>
          <t>Motilal Oswal Mutual Fund</t>
        </is>
      </c>
      <c r="D219" s="14" t="inlineStr">
        <is>
          <t>Index Fund</t>
        </is>
      </c>
      <c r="E219" s="16" t="n">
        <v>-0.55</v>
      </c>
      <c r="F219" s="15" t="n">
        <v>2.97</v>
      </c>
      <c r="G219" s="16" t="n">
        <v>-5.72</v>
      </c>
      <c r="H219" s="16" t="n">
        <v>-0.89</v>
      </c>
      <c r="I219" s="15" t="n">
        <v>0.3294572894720682</v>
      </c>
      <c r="J219" s="15" t="n">
        <v>29.33</v>
      </c>
      <c r="K219" s="37" t="n">
        <v>26</v>
      </c>
      <c r="L219" s="18" t="n">
        <v>0</v>
      </c>
      <c r="M219" s="19" t="n">
        <v>14.3</v>
      </c>
      <c r="N219" s="20" t="inlineStr">
        <is>
          <t>📉 Weak</t>
        </is>
      </c>
      <c r="O219" s="20" t="inlineStr">
        <is>
          <t>🔴 Not Qualified</t>
        </is>
      </c>
      <c r="P219" s="20" t="inlineStr">
        <is>
          <t>🔴 Avoid</t>
        </is>
      </c>
      <c r="Q219" s="83" t="inlineStr">
        <is>
          <t>FULL</t>
        </is>
      </c>
    </row>
    <row r="220" ht="16" customHeight="1">
      <c r="A220" s="28" t="n">
        <v>216</v>
      </c>
      <c r="B220" s="29" t="inlineStr">
        <is>
          <t>Motilal Oswal BSE Low Volatility ETF</t>
        </is>
      </c>
      <c r="C220" s="29" t="inlineStr">
        <is>
          <t>Motilal Oswal Mutual Fund</t>
        </is>
      </c>
      <c r="D220" s="29" t="inlineStr">
        <is>
          <t>Index Fund</t>
        </is>
      </c>
      <c r="E220" s="91" t="n">
        <v>-0.57</v>
      </c>
      <c r="F220" s="30" t="n">
        <v>1.17</v>
      </c>
      <c r="G220" s="91" t="n">
        <v>-5.5</v>
      </c>
      <c r="H220" s="91" t="n">
        <v>-0.82</v>
      </c>
      <c r="I220" s="91" t="n">
        <v>-2.117417279681466</v>
      </c>
      <c r="J220" s="30" t="n">
        <v>30.37</v>
      </c>
      <c r="K220" s="37" t="n">
        <v>25.9</v>
      </c>
      <c r="L220" s="18" t="n">
        <v>0</v>
      </c>
      <c r="M220" s="19" t="n">
        <v>14.2</v>
      </c>
      <c r="N220" s="31" t="inlineStr">
        <is>
          <t>📉 Weak</t>
        </is>
      </c>
      <c r="O220" s="31" t="inlineStr">
        <is>
          <t>🔴 Not Qualified</t>
        </is>
      </c>
      <c r="P220" s="31" t="inlineStr">
        <is>
          <t>🔴 Avoid</t>
        </is>
      </c>
      <c r="Q220" s="83" t="inlineStr">
        <is>
          <t>FULL</t>
        </is>
      </c>
    </row>
    <row r="221" ht="16" customHeight="1">
      <c r="A221" s="13" t="n">
        <v>217</v>
      </c>
      <c r="B221" s="14" t="inlineStr">
        <is>
          <t>BHARAT 22 ETF</t>
        </is>
      </c>
      <c r="C221" s="14" t="inlineStr">
        <is>
          <t>ICICI Prudential Mutual Fund</t>
        </is>
      </c>
      <c r="D221" s="14" t="inlineStr">
        <is>
          <t>Standard Equity/Debt</t>
        </is>
      </c>
      <c r="E221" s="16" t="n">
        <v>-0.42</v>
      </c>
      <c r="F221" s="16" t="n">
        <v>-3.88</v>
      </c>
      <c r="G221" s="16" t="n">
        <v>-8.67</v>
      </c>
      <c r="H221" s="15" t="n">
        <v>6.87</v>
      </c>
      <c r="I221" s="16" t="n">
        <v>-0.1951904966499107</v>
      </c>
      <c r="J221" s="15" t="n">
        <v>66.93000000000001</v>
      </c>
      <c r="K221" s="37" t="n">
        <v>25.3</v>
      </c>
      <c r="L221" s="18" t="n">
        <v>0</v>
      </c>
      <c r="M221" s="19" t="n">
        <v>13.9</v>
      </c>
      <c r="N221" s="20" t="inlineStr">
        <is>
          <t>📉 Weak</t>
        </is>
      </c>
      <c r="O221" s="20" t="inlineStr">
        <is>
          <t>🔴 Not Qualified</t>
        </is>
      </c>
      <c r="P221" s="20" t="inlineStr">
        <is>
          <t>🔴 Avoid</t>
        </is>
      </c>
      <c r="Q221" s="83" t="inlineStr">
        <is>
          <t>FULL</t>
        </is>
      </c>
    </row>
    <row r="222" ht="16" customHeight="1">
      <c r="A222" s="92" t="n">
        <v>218</v>
      </c>
      <c r="B222" s="93" t="inlineStr">
        <is>
          <t>ANGEL ONE NIFTY 50 ETF</t>
        </is>
      </c>
      <c r="C222" s="93" t="inlineStr">
        <is>
          <t>Angel One Mutual Fund</t>
        </is>
      </c>
      <c r="D222" s="93" t="inlineStr">
        <is>
          <t>Index Fund</t>
        </is>
      </c>
      <c r="E222" s="97" t="n">
        <v>-0.55</v>
      </c>
      <c r="F222" s="94" t="n">
        <v>2.96</v>
      </c>
      <c r="G222" s="97" t="n">
        <v>-5.72</v>
      </c>
      <c r="H222" s="97" t="n">
        <v>-0.9399999999999999</v>
      </c>
      <c r="I222" s="94" t="n">
        <v>0</v>
      </c>
      <c r="J222" s="94" t="n">
        <v>0</v>
      </c>
      <c r="K222" s="37" t="n">
        <v>25</v>
      </c>
      <c r="L222" s="18" t="n">
        <v>0</v>
      </c>
      <c r="M222" s="19" t="n">
        <v>13.8</v>
      </c>
      <c r="N222" s="95" t="inlineStr">
        <is>
          <t>📉 Weak</t>
        </is>
      </c>
      <c r="O222" s="95" t="inlineStr">
        <is>
          <t>⏳ New Fund</t>
        </is>
      </c>
      <c r="P222" s="95" t="inlineStr">
        <is>
          <t>⏳ New Fund</t>
        </is>
      </c>
      <c r="Q222" s="96" t="inlineStr">
        <is>
          <t>MOMENTUM_ONLY</t>
        </is>
      </c>
    </row>
    <row r="223" ht="16" customHeight="1">
      <c r="A223" s="92" t="n">
        <v>219</v>
      </c>
      <c r="B223" s="93" t="inlineStr">
        <is>
          <t>Bajaj Finserv Nifty 50 ETF</t>
        </is>
      </c>
      <c r="C223" s="93" t="inlineStr">
        <is>
          <t>Bajaj Finserv Mutual Fund</t>
        </is>
      </c>
      <c r="D223" s="93" t="inlineStr">
        <is>
          <t>Index Fund</t>
        </is>
      </c>
      <c r="E223" s="97" t="n">
        <v>-0.55</v>
      </c>
      <c r="F223" s="94" t="n">
        <v>2.96</v>
      </c>
      <c r="G223" s="97" t="n">
        <v>-5.74</v>
      </c>
      <c r="H223" s="97" t="n">
        <v>-0.93</v>
      </c>
      <c r="I223" s="94" t="n">
        <v>0.3095209838029245</v>
      </c>
      <c r="J223" s="94" t="n">
        <v>0</v>
      </c>
      <c r="K223" s="37" t="n">
        <v>24.9</v>
      </c>
      <c r="L223" s="18" t="n">
        <v>0</v>
      </c>
      <c r="M223" s="19" t="n">
        <v>13.7</v>
      </c>
      <c r="N223" s="95" t="inlineStr">
        <is>
          <t>📉 Weak</t>
        </is>
      </c>
      <c r="O223" s="95" t="inlineStr">
        <is>
          <t>⏳ New Fund</t>
        </is>
      </c>
      <c r="P223" s="95" t="inlineStr">
        <is>
          <t>⏳ New Fund</t>
        </is>
      </c>
      <c r="Q223" s="96" t="inlineStr">
        <is>
          <t>MOMENTUM_ONLY</t>
        </is>
      </c>
    </row>
    <row r="224" ht="16" customHeight="1">
      <c r="A224" s="92" t="n">
        <v>220</v>
      </c>
      <c r="B224" s="93" t="inlineStr">
        <is>
          <t>ICICI Prudential Nifty Oil &amp; Gas ETF</t>
        </is>
      </c>
      <c r="C224" s="93" t="inlineStr">
        <is>
          <t>ICICI Prudential Mutual Fund</t>
        </is>
      </c>
      <c r="D224" s="93" t="inlineStr">
        <is>
          <t>Commodities</t>
        </is>
      </c>
      <c r="E224" s="97" t="n">
        <v>-0.54</v>
      </c>
      <c r="F224" s="94" t="n">
        <v>0.64</v>
      </c>
      <c r="G224" s="97" t="n">
        <v>-7.41</v>
      </c>
      <c r="H224" s="94" t="n">
        <v>2.5</v>
      </c>
      <c r="I224" s="97" t="n">
        <v>-6.421156237106662</v>
      </c>
      <c r="J224" s="94" t="n">
        <v>0</v>
      </c>
      <c r="K224" s="37" t="n">
        <v>24.5</v>
      </c>
      <c r="L224" s="18" t="n">
        <v>0</v>
      </c>
      <c r="M224" s="19" t="n">
        <v>13.5</v>
      </c>
      <c r="N224" s="95" t="inlineStr">
        <is>
          <t>📉 Weak</t>
        </is>
      </c>
      <c r="O224" s="95" t="inlineStr">
        <is>
          <t>⏳ New Fund</t>
        </is>
      </c>
      <c r="P224" s="95" t="inlineStr">
        <is>
          <t>⏳ New Fund</t>
        </is>
      </c>
      <c r="Q224" s="96" t="inlineStr">
        <is>
          <t>MOMENTUM_ONLY</t>
        </is>
      </c>
    </row>
    <row r="225" ht="16" customHeight="1">
      <c r="A225" s="13" t="n">
        <v>221</v>
      </c>
      <c r="B225" s="14" t="inlineStr">
        <is>
          <t>Tata Nifty 50 Exchange Traded Fund</t>
        </is>
      </c>
      <c r="C225" s="14" t="inlineStr">
        <is>
          <t>Tata Mutual Fund</t>
        </is>
      </c>
      <c r="D225" s="14" t="inlineStr">
        <is>
          <t>Index Fund</t>
        </is>
      </c>
      <c r="E225" s="16" t="n">
        <v>-0.55</v>
      </c>
      <c r="F225" s="15" t="n">
        <v>2.96</v>
      </c>
      <c r="G225" s="16" t="n">
        <v>-5.75</v>
      </c>
      <c r="H225" s="16" t="n">
        <v>-0.96</v>
      </c>
      <c r="I225" s="15" t="n">
        <v>0.2895807150473662</v>
      </c>
      <c r="J225" s="15" t="n">
        <v>29.13</v>
      </c>
      <c r="K225" s="37" t="n">
        <v>24.5</v>
      </c>
      <c r="L225" s="18" t="n">
        <v>0</v>
      </c>
      <c r="M225" s="19" t="n">
        <v>13.5</v>
      </c>
      <c r="N225" s="20" t="inlineStr">
        <is>
          <t>📉 Weak</t>
        </is>
      </c>
      <c r="O225" s="20" t="inlineStr">
        <is>
          <t>🔴 Not Qualified</t>
        </is>
      </c>
      <c r="P225" s="20" t="inlineStr">
        <is>
          <t>🔴 Avoid</t>
        </is>
      </c>
      <c r="Q225" s="83" t="inlineStr">
        <is>
          <t>FULL</t>
        </is>
      </c>
    </row>
    <row r="226" ht="16" customHeight="1">
      <c r="A226" s="28" t="n">
        <v>222</v>
      </c>
      <c r="B226" s="29" t="inlineStr">
        <is>
          <t>LIC MF Nifty 50 ETF</t>
        </is>
      </c>
      <c r="C226" s="29" t="inlineStr">
        <is>
          <t>LIC Mutual Fund</t>
        </is>
      </c>
      <c r="D226" s="29" t="inlineStr">
        <is>
          <t>Index Fund</t>
        </is>
      </c>
      <c r="E226" s="91" t="n">
        <v>-0.55</v>
      </c>
      <c r="F226" s="30" t="n">
        <v>2.96</v>
      </c>
      <c r="G226" s="91" t="n">
        <v>-5.76</v>
      </c>
      <c r="H226" s="91" t="n">
        <v>-0.97</v>
      </c>
      <c r="I226" s="30" t="n">
        <v>0.2895807150473662</v>
      </c>
      <c r="J226" s="30" t="n">
        <v>29.03</v>
      </c>
      <c r="K226" s="37" t="n">
        <v>24.2</v>
      </c>
      <c r="L226" s="18" t="n">
        <v>0</v>
      </c>
      <c r="M226" s="19" t="n">
        <v>13.3</v>
      </c>
      <c r="N226" s="31" t="inlineStr">
        <is>
          <t>📉 Weak</t>
        </is>
      </c>
      <c r="O226" s="31" t="inlineStr">
        <is>
          <t>🔴 Not Qualified</t>
        </is>
      </c>
      <c r="P226" s="31" t="inlineStr">
        <is>
          <t>🔴 Avoid</t>
        </is>
      </c>
      <c r="Q226" s="83" t="inlineStr">
        <is>
          <t>FULL</t>
        </is>
      </c>
    </row>
    <row r="227" ht="16" customHeight="1">
      <c r="A227" s="13" t="n">
        <v>223</v>
      </c>
      <c r="B227" s="14" t="inlineStr">
        <is>
          <t>BANDHAN Nifty 50 ETF</t>
        </is>
      </c>
      <c r="C227" s="14" t="inlineStr">
        <is>
          <t>Bandhan Mutual Fund</t>
        </is>
      </c>
      <c r="D227" s="14" t="inlineStr">
        <is>
          <t>Index Fund</t>
        </is>
      </c>
      <c r="E227" s="16" t="n">
        <v>-0.55</v>
      </c>
      <c r="F227" s="15" t="n">
        <v>2.95</v>
      </c>
      <c r="G227" s="16" t="n">
        <v>-5.75</v>
      </c>
      <c r="H227" s="16" t="n">
        <v>-0.98</v>
      </c>
      <c r="I227" s="15" t="n">
        <v>0.279609093773403</v>
      </c>
      <c r="J227" s="15" t="n">
        <v>29.14</v>
      </c>
      <c r="K227" s="37" t="n">
        <v>24.2</v>
      </c>
      <c r="L227" s="18" t="n">
        <v>0</v>
      </c>
      <c r="M227" s="19" t="n">
        <v>13.3</v>
      </c>
      <c r="N227" s="20" t="inlineStr">
        <is>
          <t>📉 Weak</t>
        </is>
      </c>
      <c r="O227" s="20" t="inlineStr">
        <is>
          <t>🔴 Not Qualified</t>
        </is>
      </c>
      <c r="P227" s="20" t="inlineStr">
        <is>
          <t>🔴 Avoid</t>
        </is>
      </c>
      <c r="Q227" s="83" t="inlineStr">
        <is>
          <t>FULL</t>
        </is>
      </c>
    </row>
    <row r="228" ht="16" customHeight="1">
      <c r="A228" s="28" t="n">
        <v>224</v>
      </c>
      <c r="B228" s="29" t="inlineStr">
        <is>
          <t>Kotak Silver ETF</t>
        </is>
      </c>
      <c r="C228" s="29" t="inlineStr">
        <is>
          <t>Kotak Mahindra Mutual Fund</t>
        </is>
      </c>
      <c r="D228" s="29" t="inlineStr">
        <is>
          <t>Silver</t>
        </is>
      </c>
      <c r="E228" s="30" t="n">
        <v>8.17</v>
      </c>
      <c r="F228" s="91" t="n">
        <v>-12.87</v>
      </c>
      <c r="G228" s="91" t="n">
        <v>-90.16</v>
      </c>
      <c r="H228" s="91" t="n">
        <v>-79.97</v>
      </c>
      <c r="I228" s="91" t="n">
        <v>-47.20795514473794</v>
      </c>
      <c r="J228" s="91" t="n">
        <v>-68.01000000000001</v>
      </c>
      <c r="K228" s="37" t="n">
        <v>23.5</v>
      </c>
      <c r="L228" s="18" t="n">
        <v>0</v>
      </c>
      <c r="M228" s="19" t="n">
        <v>12.9</v>
      </c>
      <c r="N228" s="31" t="inlineStr">
        <is>
          <t>📉 Weak</t>
        </is>
      </c>
      <c r="O228" s="31" t="inlineStr">
        <is>
          <t>🔴 Not Qualified</t>
        </is>
      </c>
      <c r="P228" s="31" t="inlineStr">
        <is>
          <t>🔴 Avoid</t>
        </is>
      </c>
      <c r="Q228" s="83" t="inlineStr">
        <is>
          <t>FULL</t>
        </is>
      </c>
    </row>
    <row r="229" ht="16" customHeight="1">
      <c r="A229" s="13" t="n">
        <v>225</v>
      </c>
      <c r="B229" s="14" t="inlineStr">
        <is>
          <t>CPSE ETF</t>
        </is>
      </c>
      <c r="C229" s="14" t="inlineStr">
        <is>
          <t>Nippon India Mutual Fund</t>
        </is>
      </c>
      <c r="D229" s="14" t="inlineStr">
        <is>
          <t>Standard Equity/Debt</t>
        </is>
      </c>
      <c r="E229" s="16" t="n">
        <v>-1.95</v>
      </c>
      <c r="F229" s="16" t="n">
        <v>-10.2</v>
      </c>
      <c r="G229" s="16" t="n">
        <v>-6.83</v>
      </c>
      <c r="H229" s="15" t="n">
        <v>3.73</v>
      </c>
      <c r="I229" s="16" t="n">
        <v>-3.958342371656243</v>
      </c>
      <c r="J229" s="15" t="n">
        <v>100.1</v>
      </c>
      <c r="K229" s="37" t="n">
        <v>23.3</v>
      </c>
      <c r="L229" s="18" t="n">
        <v>0</v>
      </c>
      <c r="M229" s="19" t="n">
        <v>12.8</v>
      </c>
      <c r="N229" s="20" t="inlineStr">
        <is>
          <t>📉 Weak</t>
        </is>
      </c>
      <c r="O229" s="20" t="inlineStr">
        <is>
          <t>🔴 Not Qualified</t>
        </is>
      </c>
      <c r="P229" s="20" t="inlineStr">
        <is>
          <t>🔴 Avoid</t>
        </is>
      </c>
      <c r="Q229" s="83" t="inlineStr">
        <is>
          <t>FULL</t>
        </is>
      </c>
    </row>
    <row r="230" ht="16" customHeight="1">
      <c r="A230" s="92" t="n">
        <v>226</v>
      </c>
      <c r="B230" s="93" t="inlineStr">
        <is>
          <t>Motilal Oswal Nifty Services Sector ETF</t>
        </is>
      </c>
      <c r="C230" s="93" t="inlineStr">
        <is>
          <t>Motilal Oswal Mutual Fund</t>
        </is>
      </c>
      <c r="D230" s="93" t="inlineStr">
        <is>
          <t>Index Fund</t>
        </is>
      </c>
      <c r="E230" s="97" t="n">
        <v>-1.96</v>
      </c>
      <c r="F230" s="94" t="n">
        <v>3.63</v>
      </c>
      <c r="G230" s="97" t="n">
        <v>-7.25</v>
      </c>
      <c r="H230" s="94" t="n">
        <v>0</v>
      </c>
      <c r="I230" s="94" t="n">
        <v>0</v>
      </c>
      <c r="J230" s="94" t="n">
        <v>0</v>
      </c>
      <c r="K230" s="37" t="n">
        <v>23</v>
      </c>
      <c r="L230" s="18" t="n">
        <v>0</v>
      </c>
      <c r="M230" s="19" t="n">
        <v>12.6</v>
      </c>
      <c r="N230" s="95" t="inlineStr">
        <is>
          <t>📉 Weak</t>
        </is>
      </c>
      <c r="O230" s="95" t="inlineStr">
        <is>
          <t>⏳ New Fund</t>
        </is>
      </c>
      <c r="P230" s="95" t="inlineStr">
        <is>
          <t>⏳ New Fund</t>
        </is>
      </c>
      <c r="Q230" s="96" t="inlineStr">
        <is>
          <t>MOMENTUM_ONLY</t>
        </is>
      </c>
    </row>
    <row r="231" ht="16" customHeight="1">
      <c r="A231" s="13" t="n">
        <v>227</v>
      </c>
      <c r="B231" s="14" t="inlineStr">
        <is>
          <t>ICICI Prudential BSE Sensex ETF</t>
        </is>
      </c>
      <c r="C231" s="14" t="inlineStr">
        <is>
          <t>ICICI Prudential Mutual Fund</t>
        </is>
      </c>
      <c r="D231" s="14" t="inlineStr">
        <is>
          <t>Index Fund</t>
        </is>
      </c>
      <c r="E231" s="16" t="n">
        <v>-0.97</v>
      </c>
      <c r="F231" s="15" t="n">
        <v>3.4</v>
      </c>
      <c r="G231" s="16" t="n">
        <v>-7.03</v>
      </c>
      <c r="H231" s="16" t="n">
        <v>-3.19</v>
      </c>
      <c r="I231" s="16" t="n">
        <v>-0.924271387993314</v>
      </c>
      <c r="J231" s="15" t="n">
        <v>23.04</v>
      </c>
      <c r="K231" s="37" t="n">
        <v>23</v>
      </c>
      <c r="L231" s="18" t="n">
        <v>0</v>
      </c>
      <c r="M231" s="19" t="n">
        <v>12.6</v>
      </c>
      <c r="N231" s="20" t="inlineStr">
        <is>
          <t>📉 Weak</t>
        </is>
      </c>
      <c r="O231" s="20" t="inlineStr">
        <is>
          <t>🔴 Not Qualified</t>
        </is>
      </c>
      <c r="P231" s="20" t="inlineStr">
        <is>
          <t>🔴 Avoid</t>
        </is>
      </c>
      <c r="Q231" s="83" t="inlineStr">
        <is>
          <t>FULL</t>
        </is>
      </c>
    </row>
    <row r="232" ht="16" customHeight="1">
      <c r="A232" s="92" t="n">
        <v>228</v>
      </c>
      <c r="B232" s="93" t="inlineStr">
        <is>
          <t>Edelweiss BSE Sensex ETF - Growth</t>
        </is>
      </c>
      <c r="C232" s="93" t="inlineStr">
        <is>
          <t>Edelweiss Mutual Fund</t>
        </is>
      </c>
      <c r="D232" s="93" t="inlineStr">
        <is>
          <t>Index Fund</t>
        </is>
      </c>
      <c r="E232" s="97" t="n">
        <v>-0.99</v>
      </c>
      <c r="F232" s="94" t="n">
        <v>3.36</v>
      </c>
      <c r="G232" s="97" t="n">
        <v>-7.06</v>
      </c>
      <c r="H232" s="94" t="n">
        <v>0</v>
      </c>
      <c r="I232" s="94" t="n">
        <v>0</v>
      </c>
      <c r="J232" s="94" t="n">
        <v>0</v>
      </c>
      <c r="K232" s="37" t="n">
        <v>22.5</v>
      </c>
      <c r="L232" s="18" t="n">
        <v>0</v>
      </c>
      <c r="M232" s="19" t="n">
        <v>12.4</v>
      </c>
      <c r="N232" s="95" t="inlineStr">
        <is>
          <t>📉 Weak</t>
        </is>
      </c>
      <c r="O232" s="95" t="inlineStr">
        <is>
          <t>⏳ New Fund</t>
        </is>
      </c>
      <c r="P232" s="95" t="inlineStr">
        <is>
          <t>⏳ New Fund</t>
        </is>
      </c>
      <c r="Q232" s="96" t="inlineStr">
        <is>
          <t>MOMENTUM_ONLY</t>
        </is>
      </c>
    </row>
    <row r="233" ht="16" customHeight="1">
      <c r="A233" s="13" t="n">
        <v>229</v>
      </c>
      <c r="B233" s="14" t="inlineStr">
        <is>
          <t>Mirae Asset Nifty Financial Services ETF</t>
        </is>
      </c>
      <c r="C233" s="14" t="inlineStr">
        <is>
          <t>Mirae Asset Mutual Fund</t>
        </is>
      </c>
      <c r="D233" s="14" t="inlineStr">
        <is>
          <t>Banking/Financial</t>
        </is>
      </c>
      <c r="E233" s="16" t="n">
        <v>-2.8</v>
      </c>
      <c r="F233" s="15" t="n">
        <v>3.84</v>
      </c>
      <c r="G233" s="16" t="n">
        <v>-7.59</v>
      </c>
      <c r="H233" s="16" t="n">
        <v>-0.16</v>
      </c>
      <c r="I233" s="15" t="n">
        <v>7.438354417777648</v>
      </c>
      <c r="J233" s="15" t="n">
        <v>37.23</v>
      </c>
      <c r="K233" s="37" t="n">
        <v>22.5</v>
      </c>
      <c r="L233" s="18" t="n">
        <v>0</v>
      </c>
      <c r="M233" s="19" t="n">
        <v>12.4</v>
      </c>
      <c r="N233" s="20" t="inlineStr">
        <is>
          <t>📉 Weak</t>
        </is>
      </c>
      <c r="O233" s="20" t="inlineStr">
        <is>
          <t>🔴 Not Qualified</t>
        </is>
      </c>
      <c r="P233" s="20" t="inlineStr">
        <is>
          <t>🔴 Avoid</t>
        </is>
      </c>
      <c r="Q233" s="83" t="inlineStr">
        <is>
          <t>FULL</t>
        </is>
      </c>
    </row>
    <row r="234" ht="16" customHeight="1">
      <c r="A234" s="92" t="n">
        <v>230</v>
      </c>
      <c r="B234" s="93" t="inlineStr">
        <is>
          <t>ICICI Prudential Nifty Top 15 Equal Weight ETF</t>
        </is>
      </c>
      <c r="C234" s="93" t="inlineStr">
        <is>
          <t>ICICI Prudential Mutual Fund</t>
        </is>
      </c>
      <c r="D234" s="93" t="inlineStr">
        <is>
          <t>Index Fund</t>
        </is>
      </c>
      <c r="E234" s="97" t="n">
        <v>-0.42</v>
      </c>
      <c r="F234" s="94" t="n">
        <v>3.17</v>
      </c>
      <c r="G234" s="97" t="n">
        <v>-8.5</v>
      </c>
      <c r="H234" s="97" t="n">
        <v>-1.6</v>
      </c>
      <c r="I234" s="94" t="n">
        <v>0</v>
      </c>
      <c r="J234" s="94" t="n">
        <v>0</v>
      </c>
      <c r="K234" s="37" t="n">
        <v>22</v>
      </c>
      <c r="L234" s="18" t="n">
        <v>0</v>
      </c>
      <c r="M234" s="19" t="n">
        <v>12.1</v>
      </c>
      <c r="N234" s="95" t="inlineStr">
        <is>
          <t>📉 Weak</t>
        </is>
      </c>
      <c r="O234" s="95" t="inlineStr">
        <is>
          <t>⏳ New Fund</t>
        </is>
      </c>
      <c r="P234" s="95" t="inlineStr">
        <is>
          <t>⏳ New Fund</t>
        </is>
      </c>
      <c r="Q234" s="96" t="inlineStr">
        <is>
          <t>MOMENTUM_ONLY</t>
        </is>
      </c>
    </row>
    <row r="235" ht="16" customHeight="1">
      <c r="A235" s="13" t="n">
        <v>231</v>
      </c>
      <c r="B235" s="14" t="inlineStr">
        <is>
          <t>DSP BSE Sensex ETF</t>
        </is>
      </c>
      <c r="C235" s="14" t="inlineStr">
        <is>
          <t>DSP Mutual Fund</t>
        </is>
      </c>
      <c r="D235" s="14" t="inlineStr">
        <is>
          <t>Index Fund</t>
        </is>
      </c>
      <c r="E235" s="16" t="n">
        <v>-0.98</v>
      </c>
      <c r="F235" s="15" t="n">
        <v>3.38</v>
      </c>
      <c r="G235" s="16" t="n">
        <v>-7.02</v>
      </c>
      <c r="H235" s="16" t="n">
        <v>-3.18</v>
      </c>
      <c r="I235" s="16" t="n">
        <v>-0.9949496237691924</v>
      </c>
      <c r="J235" s="15" t="n">
        <v>22.64</v>
      </c>
      <c r="K235" s="37" t="n">
        <v>21.8</v>
      </c>
      <c r="L235" s="18" t="n">
        <v>0</v>
      </c>
      <c r="M235" s="19" t="n">
        <v>12</v>
      </c>
      <c r="N235" s="20" t="inlineStr">
        <is>
          <t>📉 Weak</t>
        </is>
      </c>
      <c r="O235" s="20" t="inlineStr">
        <is>
          <t>🔴 Not Qualified</t>
        </is>
      </c>
      <c r="P235" s="20" t="inlineStr">
        <is>
          <t>🔴 Avoid</t>
        </is>
      </c>
      <c r="Q235" s="83" t="inlineStr">
        <is>
          <t>FULL</t>
        </is>
      </c>
    </row>
    <row r="236" ht="16" customHeight="1">
      <c r="A236" s="28" t="n">
        <v>232</v>
      </c>
      <c r="B236" s="29" t="inlineStr">
        <is>
          <t>Quantum Nifty 50 ETF</t>
        </is>
      </c>
      <c r="C236" s="29" t="inlineStr">
        <is>
          <t>Quantum Mutual Fund</t>
        </is>
      </c>
      <c r="D236" s="29" t="inlineStr">
        <is>
          <t>Index Fund</t>
        </is>
      </c>
      <c r="E236" s="91" t="n">
        <v>-0.55</v>
      </c>
      <c r="F236" s="30" t="n">
        <v>2.97</v>
      </c>
      <c r="G236" s="91" t="n">
        <v>-5.74</v>
      </c>
      <c r="H236" s="91" t="n">
        <v>-90.09999999999999</v>
      </c>
      <c r="I236" s="91" t="n">
        <v>-68.28249694569259</v>
      </c>
      <c r="J236" s="91" t="n">
        <v>-87.09</v>
      </c>
      <c r="K236" s="37" t="n">
        <v>21.1</v>
      </c>
      <c r="L236" s="18" t="n">
        <v>0</v>
      </c>
      <c r="M236" s="19" t="n">
        <v>11.6</v>
      </c>
      <c r="N236" s="31" t="inlineStr">
        <is>
          <t>📉 Weak</t>
        </is>
      </c>
      <c r="O236" s="31" t="inlineStr">
        <is>
          <t>🔴 Not Qualified</t>
        </is>
      </c>
      <c r="P236" s="31" t="inlineStr">
        <is>
          <t>🔴 Avoid</t>
        </is>
      </c>
      <c r="Q236" s="83" t="inlineStr">
        <is>
          <t>FULL</t>
        </is>
      </c>
    </row>
    <row r="237" ht="16" customHeight="1">
      <c r="A237" s="13" t="n">
        <v>233</v>
      </c>
      <c r="B237" s="14" t="inlineStr">
        <is>
          <t>UTI BSE Sensex ETF</t>
        </is>
      </c>
      <c r="C237" s="14" t="inlineStr">
        <is>
          <t>UTI Mutual Fund</t>
        </is>
      </c>
      <c r="D237" s="14" t="inlineStr">
        <is>
          <t>Index Fund</t>
        </is>
      </c>
      <c r="E237" s="16" t="n">
        <v>-0.98</v>
      </c>
      <c r="F237" s="15" t="n">
        <v>3.39</v>
      </c>
      <c r="G237" s="16" t="n">
        <v>-7.04</v>
      </c>
      <c r="H237" s="16" t="n">
        <v>-3.19</v>
      </c>
      <c r="I237" s="16" t="n">
        <v>-0.9343651915559525</v>
      </c>
      <c r="J237" s="15" t="n">
        <v>22.94</v>
      </c>
      <c r="K237" s="37" t="n">
        <v>21.1</v>
      </c>
      <c r="L237" s="18" t="n">
        <v>0</v>
      </c>
      <c r="M237" s="19" t="n">
        <v>11.6</v>
      </c>
      <c r="N237" s="20" t="inlineStr">
        <is>
          <t>📉 Weak</t>
        </is>
      </c>
      <c r="O237" s="20" t="inlineStr">
        <is>
          <t>🔴 Not Qualified</t>
        </is>
      </c>
      <c r="P237" s="20" t="inlineStr">
        <is>
          <t>🔴 Avoid</t>
        </is>
      </c>
      <c r="Q237" s="83" t="inlineStr">
        <is>
          <t>FULL</t>
        </is>
      </c>
    </row>
    <row r="238" ht="16" customHeight="1">
      <c r="A238" s="28" t="n">
        <v>234</v>
      </c>
      <c r="B238" s="29" t="inlineStr">
        <is>
          <t>Axis BSE Sensex ETF</t>
        </is>
      </c>
      <c r="C238" s="29" t="inlineStr">
        <is>
          <t>Axis Mutual Fund</t>
        </is>
      </c>
      <c r="D238" s="29" t="inlineStr">
        <is>
          <t>Index Fund</t>
        </is>
      </c>
      <c r="E238" s="91" t="n">
        <v>-0.98</v>
      </c>
      <c r="F238" s="30" t="n">
        <v>3.39</v>
      </c>
      <c r="G238" s="91" t="n">
        <v>-7.04</v>
      </c>
      <c r="H238" s="91" t="n">
        <v>-3.2</v>
      </c>
      <c r="I238" s="91" t="n">
        <v>-0.9293181612239021</v>
      </c>
      <c r="J238" s="30" t="n">
        <v>22.82</v>
      </c>
      <c r="K238" s="37" t="n">
        <v>21</v>
      </c>
      <c r="L238" s="18" t="n">
        <v>0</v>
      </c>
      <c r="M238" s="19" t="n">
        <v>11.5</v>
      </c>
      <c r="N238" s="31" t="inlineStr">
        <is>
          <t>📉 Weak</t>
        </is>
      </c>
      <c r="O238" s="31" t="inlineStr">
        <is>
          <t>🔴 Not Qualified</t>
        </is>
      </c>
      <c r="P238" s="31" t="inlineStr">
        <is>
          <t>🔴 Avoid</t>
        </is>
      </c>
      <c r="Q238" s="83" t="inlineStr">
        <is>
          <t>FULL</t>
        </is>
      </c>
    </row>
    <row r="239" ht="16" customHeight="1">
      <c r="A239" s="13" t="n">
        <v>235</v>
      </c>
      <c r="B239" s="14" t="inlineStr">
        <is>
          <t>Kotak Nifty Bank ETF</t>
        </is>
      </c>
      <c r="C239" s="14" t="inlineStr">
        <is>
          <t>Kotak Mahindra Mutual Fund</t>
        </is>
      </c>
      <c r="D239" s="14" t="inlineStr">
        <is>
          <t>Banking/Financial</t>
        </is>
      </c>
      <c r="E239" s="16" t="n">
        <v>-2</v>
      </c>
      <c r="F239" s="15" t="n">
        <v>7.67</v>
      </c>
      <c r="G239" s="16" t="n">
        <v>-90.65000000000001</v>
      </c>
      <c r="H239" s="16" t="n">
        <v>-89.59999999999999</v>
      </c>
      <c r="I239" s="16" t="n">
        <v>-66.1473782403785</v>
      </c>
      <c r="J239" s="16" t="n">
        <v>-86.70999999999999</v>
      </c>
      <c r="K239" s="37" t="n">
        <v>20.8</v>
      </c>
      <c r="L239" s="18" t="n">
        <v>0</v>
      </c>
      <c r="M239" s="19" t="n">
        <v>11.4</v>
      </c>
      <c r="N239" s="20" t="inlineStr">
        <is>
          <t>📉 Weak</t>
        </is>
      </c>
      <c r="O239" s="20" t="inlineStr">
        <is>
          <t>🔴 Not Qualified</t>
        </is>
      </c>
      <c r="P239" s="20" t="inlineStr">
        <is>
          <t>🔴 Avoid</t>
        </is>
      </c>
      <c r="Q239" s="83" t="inlineStr">
        <is>
          <t>FULL</t>
        </is>
      </c>
    </row>
    <row r="240" ht="16" customHeight="1">
      <c r="A240" s="28" t="n">
        <v>235</v>
      </c>
      <c r="B240" s="29" t="inlineStr">
        <is>
          <t>HDFC BSE Sensex ETF - Growth Plan</t>
        </is>
      </c>
      <c r="C240" s="29" t="inlineStr">
        <is>
          <t>HDFC Mutual Fund</t>
        </is>
      </c>
      <c r="D240" s="29" t="inlineStr">
        <is>
          <t>Index Fund</t>
        </is>
      </c>
      <c r="E240" s="91" t="n">
        <v>-0.98</v>
      </c>
      <c r="F240" s="30" t="n">
        <v>3.39</v>
      </c>
      <c r="G240" s="91" t="n">
        <v>-7.04</v>
      </c>
      <c r="H240" s="91" t="n">
        <v>-3.21</v>
      </c>
      <c r="I240" s="91" t="n">
        <v>-0.9444600236816703</v>
      </c>
      <c r="J240" s="91" t="n">
        <v>-87.70999999999999</v>
      </c>
      <c r="K240" s="37" t="n">
        <v>20.8</v>
      </c>
      <c r="L240" s="18" t="n">
        <v>0</v>
      </c>
      <c r="M240" s="19" t="n">
        <v>11.4</v>
      </c>
      <c r="N240" s="31" t="inlineStr">
        <is>
          <t>📉 Weak</t>
        </is>
      </c>
      <c r="O240" s="31" t="inlineStr">
        <is>
          <t>🔴 Not Qualified</t>
        </is>
      </c>
      <c r="P240" s="31" t="inlineStr">
        <is>
          <t>🔴 Avoid</t>
        </is>
      </c>
      <c r="Q240" s="83" t="inlineStr">
        <is>
          <t>FULL</t>
        </is>
      </c>
    </row>
    <row r="241" ht="16" customHeight="1">
      <c r="A241" s="13" t="n">
        <v>235</v>
      </c>
      <c r="B241" s="14" t="inlineStr">
        <is>
          <t>Nippon India ETF BSE Sensex</t>
        </is>
      </c>
      <c r="C241" s="14" t="inlineStr">
        <is>
          <t>Nippon India Mutual Fund</t>
        </is>
      </c>
      <c r="D241" s="14" t="inlineStr">
        <is>
          <t>Index Fund</t>
        </is>
      </c>
      <c r="E241" s="16" t="n">
        <v>-0.98</v>
      </c>
      <c r="F241" s="15" t="n">
        <v>3.39</v>
      </c>
      <c r="G241" s="16" t="n">
        <v>-7.04</v>
      </c>
      <c r="H241" s="16" t="n">
        <v>-3.21</v>
      </c>
      <c r="I241" s="16" t="n">
        <v>-0.9394124790287783</v>
      </c>
      <c r="J241" s="15" t="n">
        <v>23.02</v>
      </c>
      <c r="K241" s="37" t="n">
        <v>20.8</v>
      </c>
      <c r="L241" s="18" t="n">
        <v>0</v>
      </c>
      <c r="M241" s="19" t="n">
        <v>11.4</v>
      </c>
      <c r="N241" s="20" t="inlineStr">
        <is>
          <t>📉 Weak</t>
        </is>
      </c>
      <c r="O241" s="20" t="inlineStr">
        <is>
          <t>🔴 Not Qualified</t>
        </is>
      </c>
      <c r="P241" s="20" t="inlineStr">
        <is>
          <t>🔴 Avoid</t>
        </is>
      </c>
      <c r="Q241" s="83" t="inlineStr">
        <is>
          <t>FULL</t>
        </is>
      </c>
    </row>
    <row r="242" ht="16" customHeight="1">
      <c r="A242" s="28" t="n">
        <v>238</v>
      </c>
      <c r="B242" s="29" t="inlineStr">
        <is>
          <t>SBI BSE SENSEX ETF</t>
        </is>
      </c>
      <c r="C242" s="29" t="inlineStr">
        <is>
          <t>SBI Mutual Fund</t>
        </is>
      </c>
      <c r="D242" s="29" t="inlineStr">
        <is>
          <t>Index Fund</t>
        </is>
      </c>
      <c r="E242" s="91" t="n">
        <v>-0.98</v>
      </c>
      <c r="F242" s="30" t="n">
        <v>3.39</v>
      </c>
      <c r="G242" s="91" t="n">
        <v>-7.04</v>
      </c>
      <c r="H242" s="91" t="n">
        <v>-3.22</v>
      </c>
      <c r="I242" s="91" t="n">
        <v>-0.9495078255539413</v>
      </c>
      <c r="J242" s="30" t="n">
        <v>22.91</v>
      </c>
      <c r="K242" s="37" t="n">
        <v>20.7</v>
      </c>
      <c r="L242" s="18" t="n">
        <v>0</v>
      </c>
      <c r="M242" s="19" t="n">
        <v>11.4</v>
      </c>
      <c r="N242" s="31" t="inlineStr">
        <is>
          <t>📉 Weak</t>
        </is>
      </c>
      <c r="O242" s="31" t="inlineStr">
        <is>
          <t>🔴 Not Qualified</t>
        </is>
      </c>
      <c r="P242" s="31" t="inlineStr">
        <is>
          <t>🔴 Avoid</t>
        </is>
      </c>
      <c r="Q242" s="83" t="inlineStr">
        <is>
          <t>FULL</t>
        </is>
      </c>
    </row>
    <row r="243" ht="16" customHeight="1">
      <c r="A243" s="92" t="n">
        <v>239</v>
      </c>
      <c r="B243" s="93" t="inlineStr">
        <is>
          <t>Mirae Asset BSE Sensex ETF</t>
        </is>
      </c>
      <c r="C243" s="93" t="inlineStr">
        <is>
          <t>Mirae Asset Mutual Fund</t>
        </is>
      </c>
      <c r="D243" s="93" t="inlineStr">
        <is>
          <t>Index Fund</t>
        </is>
      </c>
      <c r="E243" s="97" t="n">
        <v>-0.98</v>
      </c>
      <c r="F243" s="94" t="n">
        <v>3.38</v>
      </c>
      <c r="G243" s="97" t="n">
        <v>-7.05</v>
      </c>
      <c r="H243" s="97" t="n">
        <v>-3.23</v>
      </c>
      <c r="I243" s="97" t="n">
        <v>-0.9596042011139838</v>
      </c>
      <c r="J243" s="94" t="n">
        <v>0</v>
      </c>
      <c r="K243" s="37" t="n">
        <v>20.2</v>
      </c>
      <c r="L243" s="18" t="n">
        <v>0</v>
      </c>
      <c r="M243" s="19" t="n">
        <v>11.1</v>
      </c>
      <c r="N243" s="95" t="inlineStr">
        <is>
          <t>📉 Weak</t>
        </is>
      </c>
      <c r="O243" s="95" t="inlineStr">
        <is>
          <t>⏳ New Fund</t>
        </is>
      </c>
      <c r="P243" s="95" t="inlineStr">
        <is>
          <t>⏳ New Fund</t>
        </is>
      </c>
      <c r="Q243" s="96" t="inlineStr">
        <is>
          <t>MOMENTUM_ONLY</t>
        </is>
      </c>
    </row>
    <row r="244" ht="16" customHeight="1">
      <c r="A244" s="28" t="n">
        <v>240</v>
      </c>
      <c r="B244" s="29" t="inlineStr">
        <is>
          <t>LIC MF BSE Sensex ETF</t>
        </is>
      </c>
      <c r="C244" s="29" t="inlineStr">
        <is>
          <t>LIC Mutual Fund</t>
        </is>
      </c>
      <c r="D244" s="29" t="inlineStr">
        <is>
          <t>Index Fund</t>
        </is>
      </c>
      <c r="E244" s="91" t="n">
        <v>-0.98</v>
      </c>
      <c r="F244" s="30" t="n">
        <v>3.38</v>
      </c>
      <c r="G244" s="91" t="n">
        <v>-7.06</v>
      </c>
      <c r="H244" s="91" t="n">
        <v>-3.27</v>
      </c>
      <c r="I244" s="91" t="n">
        <v>-1.015152674765418</v>
      </c>
      <c r="J244" s="30" t="n">
        <v>22.66</v>
      </c>
      <c r="K244" s="37" t="n">
        <v>19.9</v>
      </c>
      <c r="L244" s="18" t="n">
        <v>0</v>
      </c>
      <c r="M244" s="19" t="n">
        <v>10.9</v>
      </c>
      <c r="N244" s="31" t="inlineStr">
        <is>
          <t>📉 Weak</t>
        </is>
      </c>
      <c r="O244" s="31" t="inlineStr">
        <is>
          <t>🔴 Not Qualified</t>
        </is>
      </c>
      <c r="P244" s="31" t="inlineStr">
        <is>
          <t>🔴 Avoid</t>
        </is>
      </c>
      <c r="Q244" s="83" t="inlineStr">
        <is>
          <t>FULL</t>
        </is>
      </c>
    </row>
    <row r="245" ht="16" customHeight="1">
      <c r="A245" s="13" t="n">
        <v>241</v>
      </c>
      <c r="B245" s="14" t="inlineStr">
        <is>
          <t>Kotak BSE Sensex ETF</t>
        </is>
      </c>
      <c r="C245" s="14" t="inlineStr">
        <is>
          <t>Kotak Mahindra Mutual Fund</t>
        </is>
      </c>
      <c r="D245" s="14" t="inlineStr">
        <is>
          <t>Index Fund</t>
        </is>
      </c>
      <c r="E245" s="16" t="n">
        <v>-0.99</v>
      </c>
      <c r="F245" s="15" t="n">
        <v>3.35</v>
      </c>
      <c r="G245" s="16" t="n">
        <v>-7.11</v>
      </c>
      <c r="H245" s="16" t="n">
        <v>-3.32</v>
      </c>
      <c r="I245" s="16" t="n">
        <v>-1.070732338705749</v>
      </c>
      <c r="J245" s="15" t="n">
        <v>22.44</v>
      </c>
      <c r="K245" s="37" t="n">
        <v>19.1</v>
      </c>
      <c r="L245" s="18" t="n">
        <v>0</v>
      </c>
      <c r="M245" s="19" t="n">
        <v>10.5</v>
      </c>
      <c r="N245" s="20" t="inlineStr">
        <is>
          <t>📉 Weak</t>
        </is>
      </c>
      <c r="O245" s="20" t="inlineStr">
        <is>
          <t>🔴 Not Qualified</t>
        </is>
      </c>
      <c r="P245" s="20" t="inlineStr">
        <is>
          <t>🔴 Avoid</t>
        </is>
      </c>
      <c r="Q245" s="83" t="inlineStr">
        <is>
          <t>FULL</t>
        </is>
      </c>
    </row>
    <row r="246" ht="16" customHeight="1">
      <c r="A246" s="28" t="n">
        <v>242</v>
      </c>
      <c r="B246" s="29" t="inlineStr">
        <is>
          <t>BANDHAN BSE Sensex ETF</t>
        </is>
      </c>
      <c r="C246" s="29" t="inlineStr">
        <is>
          <t>Bandhan Mutual Fund</t>
        </is>
      </c>
      <c r="D246" s="29" t="inlineStr">
        <is>
          <t>Index Fund</t>
        </is>
      </c>
      <c r="E246" s="91" t="n">
        <v>-1.01</v>
      </c>
      <c r="F246" s="30" t="n">
        <v>3.31</v>
      </c>
      <c r="G246" s="91" t="n">
        <v>-7.18</v>
      </c>
      <c r="H246" s="91" t="n">
        <v>-3.52</v>
      </c>
      <c r="I246" s="91" t="n">
        <v>-1.262975536022959</v>
      </c>
      <c r="J246" s="30" t="n">
        <v>21.69</v>
      </c>
      <c r="K246" s="37" t="n">
        <v>18.7</v>
      </c>
      <c r="L246" s="18" t="n">
        <v>0</v>
      </c>
      <c r="M246" s="19" t="n">
        <v>10.3</v>
      </c>
      <c r="N246" s="31" t="inlineStr">
        <is>
          <t>📉 Weak</t>
        </is>
      </c>
      <c r="O246" s="31" t="inlineStr">
        <is>
          <t>🔴 Not Qualified</t>
        </is>
      </c>
      <c r="P246" s="31" t="inlineStr">
        <is>
          <t>🔴 Avoid</t>
        </is>
      </c>
      <c r="Q246" s="83" t="inlineStr">
        <is>
          <t>FULL</t>
        </is>
      </c>
    </row>
    <row r="247" ht="16" customHeight="1">
      <c r="A247" s="92" t="n">
        <v>243</v>
      </c>
      <c r="B247" s="93" t="inlineStr">
        <is>
          <t>DSP Nifty Healthcare ETF</t>
        </is>
      </c>
      <c r="C247" s="93" t="inlineStr">
        <is>
          <t>DSP Mutual Fund</t>
        </is>
      </c>
      <c r="D247" s="93" t="inlineStr">
        <is>
          <t>Pharma/Healthcare</t>
        </is>
      </c>
      <c r="E247" s="94" t="n">
        <v>1.15</v>
      </c>
      <c r="F247" s="97" t="n">
        <v>-89.58</v>
      </c>
      <c r="G247" s="97" t="n">
        <v>-88.7</v>
      </c>
      <c r="H247" s="97" t="n">
        <v>-88.73</v>
      </c>
      <c r="I247" s="97" t="n">
        <v>-65.44569491365802</v>
      </c>
      <c r="J247" s="94" t="n">
        <v>0</v>
      </c>
      <c r="K247" s="37" t="n">
        <v>16.8</v>
      </c>
      <c r="L247" s="18" t="n">
        <v>0</v>
      </c>
      <c r="M247" s="19" t="n">
        <v>9.300000000000001</v>
      </c>
      <c r="N247" s="95" t="inlineStr">
        <is>
          <t>📉 Weak</t>
        </is>
      </c>
      <c r="O247" s="95" t="inlineStr">
        <is>
          <t>⏳ New Fund</t>
        </is>
      </c>
      <c r="P247" s="95" t="inlineStr">
        <is>
          <t>⏳ New Fund</t>
        </is>
      </c>
      <c r="Q247" s="96" t="inlineStr">
        <is>
          <t>MOMENTUM_ONLY</t>
        </is>
      </c>
    </row>
    <row r="248" ht="16" customHeight="1">
      <c r="A248" s="28" t="n">
        <v>243</v>
      </c>
      <c r="B248" s="29" t="inlineStr">
        <is>
          <t>Nippon India ETF Nifty 50 Shariah BeES</t>
        </is>
      </c>
      <c r="C248" s="29" t="inlineStr">
        <is>
          <t>Nippon India Mutual Fund</t>
        </is>
      </c>
      <c r="D248" s="29" t="inlineStr">
        <is>
          <t>Index Fund</t>
        </is>
      </c>
      <c r="E248" s="30" t="n">
        <v>0.17</v>
      </c>
      <c r="F248" s="91" t="n">
        <v>-2.11</v>
      </c>
      <c r="G248" s="91" t="n">
        <v>-5.86</v>
      </c>
      <c r="H248" s="91" t="n">
        <v>-6.49</v>
      </c>
      <c r="I248" s="91" t="n">
        <v>-10.91015770583046</v>
      </c>
      <c r="J248" s="30" t="n">
        <v>7.38</v>
      </c>
      <c r="K248" s="37" t="n">
        <v>16.8</v>
      </c>
      <c r="L248" s="18" t="n">
        <v>0</v>
      </c>
      <c r="M248" s="19" t="n">
        <v>9.300000000000001</v>
      </c>
      <c r="N248" s="31" t="inlineStr">
        <is>
          <t>📉 Weak</t>
        </is>
      </c>
      <c r="O248" s="31" t="inlineStr">
        <is>
          <t>🔴 Not Qualified</t>
        </is>
      </c>
      <c r="P248" s="31" t="inlineStr">
        <is>
          <t>🔴 Avoid</t>
        </is>
      </c>
      <c r="Q248" s="83" t="inlineStr">
        <is>
          <t>FULL</t>
        </is>
      </c>
    </row>
    <row r="249" ht="16" customHeight="1">
      <c r="A249" s="13" t="n">
        <v>245</v>
      </c>
      <c r="B249" s="14" t="inlineStr">
        <is>
          <t>DSP Nifty Midcap 150 Quality 50 ETF</t>
        </is>
      </c>
      <c r="C249" s="14" t="inlineStr">
        <is>
          <t>DSP Mutual Fund</t>
        </is>
      </c>
      <c r="D249" s="14" t="inlineStr">
        <is>
          <t>Index Fund</t>
        </is>
      </c>
      <c r="E249" s="15" t="n">
        <v>3</v>
      </c>
      <c r="F249" s="16" t="n">
        <v>-89.48</v>
      </c>
      <c r="G249" s="16" t="n">
        <v>-89.51000000000001</v>
      </c>
      <c r="H249" s="16" t="n">
        <v>-89.58</v>
      </c>
      <c r="I249" s="16" t="n">
        <v>-68.26673669475515</v>
      </c>
      <c r="J249" s="16" t="n">
        <v>-86.17</v>
      </c>
      <c r="K249" s="37" t="n">
        <v>16.4</v>
      </c>
      <c r="L249" s="18" t="n">
        <v>0</v>
      </c>
      <c r="M249" s="19" t="n">
        <v>9</v>
      </c>
      <c r="N249" s="20" t="inlineStr">
        <is>
          <t>📉 Weak</t>
        </is>
      </c>
      <c r="O249" s="20" t="inlineStr">
        <is>
          <t>🔴 Not Qualified</t>
        </is>
      </c>
      <c r="P249" s="20" t="inlineStr">
        <is>
          <t>🔴 Avoid</t>
        </is>
      </c>
      <c r="Q249" s="83" t="inlineStr">
        <is>
          <t>FULL</t>
        </is>
      </c>
    </row>
    <row r="250" ht="16" customHeight="1">
      <c r="A250" s="92" t="n">
        <v>246</v>
      </c>
      <c r="B250" s="93" t="inlineStr">
        <is>
          <t>DSP Nifty Top 10 Equal Weight ETF</t>
        </is>
      </c>
      <c r="C250" s="93" t="inlineStr">
        <is>
          <t>DSP Mutual Fund</t>
        </is>
      </c>
      <c r="D250" s="93" t="inlineStr">
        <is>
          <t>Index Fund</t>
        </is>
      </c>
      <c r="E250" s="97" t="n">
        <v>-1.38</v>
      </c>
      <c r="F250" s="94" t="n">
        <v>0.91</v>
      </c>
      <c r="G250" s="97" t="n">
        <v>-9.859999999999999</v>
      </c>
      <c r="H250" s="97" t="n">
        <v>-7.5</v>
      </c>
      <c r="I250" s="94" t="n">
        <v>0</v>
      </c>
      <c r="J250" s="94" t="n">
        <v>0</v>
      </c>
      <c r="K250" s="37" t="n">
        <v>12.2</v>
      </c>
      <c r="L250" s="18" t="n">
        <v>0</v>
      </c>
      <c r="M250" s="19" t="n">
        <v>6.7</v>
      </c>
      <c r="N250" s="95" t="inlineStr">
        <is>
          <t>📉 Weak</t>
        </is>
      </c>
      <c r="O250" s="95" t="inlineStr">
        <is>
          <t>⏳ New Fund</t>
        </is>
      </c>
      <c r="P250" s="95" t="inlineStr">
        <is>
          <t>⏳ New Fund</t>
        </is>
      </c>
      <c r="Q250" s="96" t="inlineStr">
        <is>
          <t>MOMENTUM_ONLY</t>
        </is>
      </c>
    </row>
    <row r="251" ht="16" customHeight="1">
      <c r="A251" s="13" t="n">
        <v>247</v>
      </c>
      <c r="B251" s="14" t="inlineStr">
        <is>
          <t>HDFC NIFTY 50 VALUE 20 ETF - Growth Option</t>
        </is>
      </c>
      <c r="C251" s="14" t="inlineStr">
        <is>
          <t>HDFC Mutual Fund</t>
        </is>
      </c>
      <c r="D251" s="14" t="inlineStr">
        <is>
          <t>Index Fund</t>
        </is>
      </c>
      <c r="E251" s="16" t="n">
        <v>-2.24</v>
      </c>
      <c r="F251" s="16" t="n">
        <v>-0.74</v>
      </c>
      <c r="G251" s="16" t="n">
        <v>-9.390000000000001</v>
      </c>
      <c r="H251" s="16" t="n">
        <v>-3.95</v>
      </c>
      <c r="I251" s="16" t="n">
        <v>-6.351721852454761</v>
      </c>
      <c r="J251" s="15" t="n">
        <v>24.75</v>
      </c>
      <c r="K251" s="37" t="n">
        <v>10.4</v>
      </c>
      <c r="L251" s="18" t="n">
        <v>0</v>
      </c>
      <c r="M251" s="19" t="n">
        <v>5.7</v>
      </c>
      <c r="N251" s="20" t="inlineStr">
        <is>
          <t>📉 Weak</t>
        </is>
      </c>
      <c r="O251" s="20" t="inlineStr">
        <is>
          <t>🔴 Not Qualified</t>
        </is>
      </c>
      <c r="P251" s="20" t="inlineStr">
        <is>
          <t>🔴 Avoid</t>
        </is>
      </c>
      <c r="Q251" s="83" t="inlineStr">
        <is>
          <t>FULL</t>
        </is>
      </c>
    </row>
    <row r="252" ht="16" customHeight="1">
      <c r="A252" s="28" t="n">
        <v>248</v>
      </c>
      <c r="B252" s="29" t="inlineStr">
        <is>
          <t>ICICI Prudential Nifty50 Value 20 ETF</t>
        </is>
      </c>
      <c r="C252" s="29" t="inlineStr">
        <is>
          <t>ICICI Prudential Mutual Fund</t>
        </is>
      </c>
      <c r="D252" s="29" t="inlineStr">
        <is>
          <t>Index Fund</t>
        </is>
      </c>
      <c r="E252" s="91" t="n">
        <v>-2.24</v>
      </c>
      <c r="F252" s="91" t="n">
        <v>-0.76</v>
      </c>
      <c r="G252" s="91" t="n">
        <v>-9.4</v>
      </c>
      <c r="H252" s="91" t="n">
        <v>-4</v>
      </c>
      <c r="I252" s="91" t="n">
        <v>-6.415813301605278</v>
      </c>
      <c r="J252" s="91" t="n">
        <v>-87.55</v>
      </c>
      <c r="K252" s="37" t="n">
        <v>10</v>
      </c>
      <c r="L252" s="18" t="n">
        <v>0</v>
      </c>
      <c r="M252" s="19" t="n">
        <v>5.5</v>
      </c>
      <c r="N252" s="31" t="inlineStr">
        <is>
          <t>📉 Weak</t>
        </is>
      </c>
      <c r="O252" s="31" t="inlineStr">
        <is>
          <t>🔴 Not Qualified</t>
        </is>
      </c>
      <c r="P252" s="31" t="inlineStr">
        <is>
          <t>🔴 Avoid</t>
        </is>
      </c>
      <c r="Q252" s="83" t="inlineStr">
        <is>
          <t>FULL</t>
        </is>
      </c>
    </row>
    <row r="253" ht="16" customHeight="1">
      <c r="A253" s="13" t="n">
        <v>249</v>
      </c>
      <c r="B253" s="14" t="inlineStr">
        <is>
          <t>Nippon India ETF Nifty 50 Value 20</t>
        </is>
      </c>
      <c r="C253" s="14" t="inlineStr">
        <is>
          <t>Nippon India Mutual Fund</t>
        </is>
      </c>
      <c r="D253" s="14" t="inlineStr">
        <is>
          <t>Index Fund</t>
        </is>
      </c>
      <c r="E253" s="16" t="n">
        <v>-2.24</v>
      </c>
      <c r="F253" s="16" t="n">
        <v>-0.77</v>
      </c>
      <c r="G253" s="16" t="n">
        <v>-9.42</v>
      </c>
      <c r="H253" s="16" t="n">
        <v>-4</v>
      </c>
      <c r="I253" s="16" t="n">
        <v>-6.410470671126889</v>
      </c>
      <c r="J253" s="15" t="n">
        <v>24.33</v>
      </c>
      <c r="K253" s="37" t="n">
        <v>9.800000000000001</v>
      </c>
      <c r="L253" s="18" t="n">
        <v>0</v>
      </c>
      <c r="M253" s="19" t="n">
        <v>5.4</v>
      </c>
      <c r="N253" s="20" t="inlineStr">
        <is>
          <t>📉 Weak</t>
        </is>
      </c>
      <c r="O253" s="20" t="inlineStr">
        <is>
          <t>🔴 Not Qualified</t>
        </is>
      </c>
      <c r="P253" s="20" t="inlineStr">
        <is>
          <t>🔴 Avoid</t>
        </is>
      </c>
      <c r="Q253" s="83" t="inlineStr">
        <is>
          <t>FULL</t>
        </is>
      </c>
    </row>
    <row r="254" ht="16" customHeight="1">
      <c r="A254" s="28" t="n">
        <v>250</v>
      </c>
      <c r="B254" s="29" t="inlineStr">
        <is>
          <t>Kotak Nifty 50 Value 20 ETF - Payout of Income Distribution cum capital withdrawal option</t>
        </is>
      </c>
      <c r="C254" s="29" t="inlineStr">
        <is>
          <t>Kotak Mahindra Mutual Fund</t>
        </is>
      </c>
      <c r="D254" s="29" t="inlineStr">
        <is>
          <t>Index Fund</t>
        </is>
      </c>
      <c r="E254" s="91" t="n">
        <v>-2.23</v>
      </c>
      <c r="F254" s="91" t="n">
        <v>-0.71</v>
      </c>
      <c r="G254" s="91" t="n">
        <v>-90.93000000000001</v>
      </c>
      <c r="H254" s="91" t="n">
        <v>-90.38</v>
      </c>
      <c r="I254" s="91" t="n">
        <v>-70.3520658392528</v>
      </c>
      <c r="J254" s="91" t="n">
        <v>-87.48999999999999</v>
      </c>
      <c r="K254" s="37" t="n">
        <v>6.5</v>
      </c>
      <c r="L254" s="18" t="n">
        <v>0</v>
      </c>
      <c r="M254" s="19" t="n">
        <v>3.6</v>
      </c>
      <c r="N254" s="31" t="inlineStr">
        <is>
          <t>📉 Weak</t>
        </is>
      </c>
      <c r="O254" s="31" t="inlineStr">
        <is>
          <t>🔴 Not Qualified</t>
        </is>
      </c>
      <c r="P254" s="31" t="inlineStr">
        <is>
          <t>🔴 Avoid</t>
        </is>
      </c>
      <c r="Q254" s="83" t="inlineStr">
        <is>
          <t>FULL</t>
        </is>
      </c>
    </row>
    <row r="255" ht="16" customHeight="1">
      <c r="A255" s="13" t="n">
        <v>251</v>
      </c>
      <c r="B255" s="14" t="inlineStr">
        <is>
          <t>ICICI Prudential Nifty FMCG ETF</t>
        </is>
      </c>
      <c r="C255" s="14" t="inlineStr">
        <is>
          <t>ICICI Prudential Mutual Fund</t>
        </is>
      </c>
      <c r="D255" s="14" t="inlineStr">
        <is>
          <t>Index Fund</t>
        </is>
      </c>
      <c r="E255" s="16" t="n">
        <v>-1.93</v>
      </c>
      <c r="F255" s="16" t="n">
        <v>-5.68</v>
      </c>
      <c r="G255" s="16" t="n">
        <v>-8.42</v>
      </c>
      <c r="H255" s="16" t="n">
        <v>-12.01</v>
      </c>
      <c r="I255" s="16" t="n">
        <v>-11.27007269246752</v>
      </c>
      <c r="J255" s="16" t="n">
        <v>-90.31999999999999</v>
      </c>
      <c r="K255" s="37" t="n">
        <v>4.8</v>
      </c>
      <c r="L255" s="18" t="n">
        <v>0</v>
      </c>
      <c r="M255" s="19" t="n">
        <v>2.7</v>
      </c>
      <c r="N255" s="20" t="inlineStr">
        <is>
          <t>📉 Weak</t>
        </is>
      </c>
      <c r="O255" s="20" t="inlineStr">
        <is>
          <t>🔴 Not Qualified</t>
        </is>
      </c>
      <c r="P255" s="20" t="inlineStr">
        <is>
          <t>🔴 Avoid</t>
        </is>
      </c>
      <c r="Q255" s="83" t="inlineStr">
        <is>
          <t>FULL</t>
        </is>
      </c>
    </row>
    <row r="256" ht="16" customHeight="1">
      <c r="A256" s="98" t="n">
        <v>0</v>
      </c>
      <c r="B256" s="99" t="inlineStr">
        <is>
          <t>SBI Nifty Midcap 150 Momentum 50 ETF</t>
        </is>
      </c>
      <c r="C256" s="99" t="inlineStr">
        <is>
          <t>SBI Mutual Fund</t>
        </is>
      </c>
      <c r="D256" s="99" t="inlineStr">
        <is>
          <t>Index Fund</t>
        </is>
      </c>
      <c r="E256" s="100" t="n">
        <v>3.24</v>
      </c>
      <c r="F256" s="100" t="n">
        <v>3.29</v>
      </c>
      <c r="G256" s="100" t="n">
        <v>0</v>
      </c>
      <c r="H256" s="100" t="n">
        <v>0</v>
      </c>
      <c r="I256" s="100" t="n">
        <v>0</v>
      </c>
      <c r="J256" s="100" t="n">
        <v>0</v>
      </c>
      <c r="K256" s="37" t="n">
        <v>0</v>
      </c>
      <c r="L256" s="18" t="n">
        <v>0</v>
      </c>
      <c r="M256" s="19" t="n">
        <v>0</v>
      </c>
      <c r="N256" s="101" t="inlineStr">
        <is>
          <t>❌ N/A</t>
        </is>
      </c>
      <c r="O256" s="101" t="inlineStr">
        <is>
          <t>❌ N/A</t>
        </is>
      </c>
      <c r="P256" s="101" t="inlineStr">
        <is>
          <t>❌ Missing Data</t>
        </is>
      </c>
      <c r="Q256" s="102" t="inlineStr">
        <is>
          <t>MISSING</t>
        </is>
      </c>
    </row>
    <row r="257" ht="16" customHeight="1">
      <c r="A257" s="98" t="n">
        <v>0</v>
      </c>
      <c r="B257" s="99" t="inlineStr">
        <is>
          <t>SBI Nifty Smallcap 250 ETF</t>
        </is>
      </c>
      <c r="C257" s="99" t="inlineStr">
        <is>
          <t>SBI Mutual Fund</t>
        </is>
      </c>
      <c r="D257" s="99" t="inlineStr">
        <is>
          <t>Index Fund</t>
        </is>
      </c>
      <c r="E257" s="100" t="n">
        <v>2.04</v>
      </c>
      <c r="F257" s="100" t="n">
        <v>0</v>
      </c>
      <c r="G257" s="100" t="n">
        <v>0</v>
      </c>
      <c r="H257" s="100" t="n">
        <v>0</v>
      </c>
      <c r="I257" s="100" t="n">
        <v>0</v>
      </c>
      <c r="J257" s="100" t="n">
        <v>0</v>
      </c>
      <c r="K257" s="37" t="n">
        <v>0</v>
      </c>
      <c r="L257" s="18" t="n">
        <v>0</v>
      </c>
      <c r="M257" s="19" t="n">
        <v>0</v>
      </c>
      <c r="N257" s="101" t="inlineStr">
        <is>
          <t>❌ N/A</t>
        </is>
      </c>
      <c r="O257" s="101" t="inlineStr">
        <is>
          <t>❌ N/A</t>
        </is>
      </c>
      <c r="P257" s="101" t="inlineStr">
        <is>
          <t>❌ Missing Data</t>
        </is>
      </c>
      <c r="Q257" s="102" t="inlineStr">
        <is>
          <t>MISSING</t>
        </is>
      </c>
    </row>
    <row r="258" ht="16" customHeight="1">
      <c r="A258" s="98" t="n">
        <v>0</v>
      </c>
      <c r="B258" s="99" t="inlineStr">
        <is>
          <t>ICICI Prudential Nifty Smallcap 250 ETF</t>
        </is>
      </c>
      <c r="C258" s="99" t="inlineStr">
        <is>
          <t>ICICI Prudential Mutual Fund</t>
        </is>
      </c>
      <c r="D258" s="99" t="inlineStr">
        <is>
          <t>Index Fund</t>
        </is>
      </c>
      <c r="E258" s="100" t="n">
        <v>2.04</v>
      </c>
      <c r="F258" s="100" t="n">
        <v>0</v>
      </c>
      <c r="G258" s="100" t="n">
        <v>0</v>
      </c>
      <c r="H258" s="100" t="n">
        <v>0</v>
      </c>
      <c r="I258" s="100" t="n">
        <v>0</v>
      </c>
      <c r="J258" s="100" t="n">
        <v>0</v>
      </c>
      <c r="K258" s="37" t="n">
        <v>0</v>
      </c>
      <c r="L258" s="18" t="n">
        <v>0</v>
      </c>
      <c r="M258" s="19" t="n">
        <v>0</v>
      </c>
      <c r="N258" s="101" t="inlineStr">
        <is>
          <t>❌ N/A</t>
        </is>
      </c>
      <c r="O258" s="101" t="inlineStr">
        <is>
          <t>❌ N/A</t>
        </is>
      </c>
      <c r="P258" s="101" t="inlineStr">
        <is>
          <t>❌ Missing Data</t>
        </is>
      </c>
      <c r="Q258" s="102" t="inlineStr">
        <is>
          <t>MISSING</t>
        </is>
      </c>
    </row>
    <row r="259" ht="16" customHeight="1">
      <c r="A259" s="98" t="n">
        <v>0</v>
      </c>
      <c r="B259" s="99" t="inlineStr">
        <is>
          <t>DSP BSE Top 10 Banks ETF</t>
        </is>
      </c>
      <c r="C259" s="99" t="inlineStr">
        <is>
          <t>DSP Mutual Fund</t>
        </is>
      </c>
      <c r="D259" s="99" t="inlineStr">
        <is>
          <t>Banking/Financial</t>
        </is>
      </c>
      <c r="E259" s="103" t="n">
        <v>-4.38</v>
      </c>
      <c r="F259" s="100" t="n">
        <v>5.69</v>
      </c>
      <c r="G259" s="100" t="n">
        <v>0</v>
      </c>
      <c r="H259" s="100" t="n">
        <v>0</v>
      </c>
      <c r="I259" s="100" t="n">
        <v>0</v>
      </c>
      <c r="J259" s="100" t="n">
        <v>0</v>
      </c>
      <c r="K259" s="37" t="n">
        <v>0</v>
      </c>
      <c r="L259" s="18" t="n">
        <v>0</v>
      </c>
      <c r="M259" s="19" t="n">
        <v>0</v>
      </c>
      <c r="N259" s="101" t="inlineStr">
        <is>
          <t>❌ N/A</t>
        </is>
      </c>
      <c r="O259" s="101" t="inlineStr">
        <is>
          <t>❌ N/A</t>
        </is>
      </c>
      <c r="P259" s="101" t="inlineStr">
        <is>
          <t>❌ Missing Data</t>
        </is>
      </c>
      <c r="Q259" s="102" t="inlineStr">
        <is>
          <t>MISSING</t>
        </is>
      </c>
    </row>
    <row r="260" ht="16" customHeight="1">
      <c r="A260" s="98" t="n">
        <v>0</v>
      </c>
      <c r="B260" s="99" t="inlineStr">
        <is>
          <t>Motilal Oswal BSE Top 10 Banks ETF</t>
        </is>
      </c>
      <c r="C260" s="99" t="inlineStr">
        <is>
          <t>Motilal Oswal Mutual Fund</t>
        </is>
      </c>
      <c r="D260" s="99" t="inlineStr">
        <is>
          <t>Banking/Financial</t>
        </is>
      </c>
      <c r="E260" s="103" t="n">
        <v>-4.38</v>
      </c>
      <c r="F260" s="100" t="n">
        <v>5.7</v>
      </c>
      <c r="G260" s="100" t="n">
        <v>0</v>
      </c>
      <c r="H260" s="100" t="n">
        <v>0</v>
      </c>
      <c r="I260" s="100" t="n">
        <v>0</v>
      </c>
      <c r="J260" s="100" t="n">
        <v>0</v>
      </c>
      <c r="K260" s="37" t="n">
        <v>0</v>
      </c>
      <c r="L260" s="18" t="n">
        <v>0</v>
      </c>
      <c r="M260" s="19" t="n">
        <v>0</v>
      </c>
      <c r="N260" s="101" t="inlineStr">
        <is>
          <t>❌ N/A</t>
        </is>
      </c>
      <c r="O260" s="101" t="inlineStr">
        <is>
          <t>❌ N/A</t>
        </is>
      </c>
      <c r="P260" s="101" t="inlineStr">
        <is>
          <t>❌ Missing Data</t>
        </is>
      </c>
      <c r="Q260" s="102" t="inlineStr">
        <is>
          <t>MISSING</t>
        </is>
      </c>
    </row>
    <row r="261" ht="16" customHeight="1">
      <c r="A261" s="98" t="n">
        <v>0</v>
      </c>
      <c r="B261" s="99" t="inlineStr">
        <is>
          <t>SBI Nifty200 Value 30 ETF</t>
        </is>
      </c>
      <c r="C261" s="99" t="inlineStr">
        <is>
          <t>SBI Mutual Fund</t>
        </is>
      </c>
      <c r="D261" s="99" t="inlineStr">
        <is>
          <t>Index Fund</t>
        </is>
      </c>
      <c r="E261" s="103" t="n">
        <v>-0.25</v>
      </c>
      <c r="F261" s="100" t="n">
        <v>0</v>
      </c>
      <c r="G261" s="100" t="n">
        <v>0</v>
      </c>
      <c r="H261" s="100" t="n">
        <v>0</v>
      </c>
      <c r="I261" s="100" t="n">
        <v>0</v>
      </c>
      <c r="J261" s="100" t="n">
        <v>0</v>
      </c>
      <c r="K261" s="37" t="n">
        <v>0</v>
      </c>
      <c r="L261" s="18" t="n">
        <v>0</v>
      </c>
      <c r="M261" s="19" t="n">
        <v>0</v>
      </c>
      <c r="N261" s="101" t="inlineStr">
        <is>
          <t>❌ N/A</t>
        </is>
      </c>
      <c r="O261" s="101" t="inlineStr">
        <is>
          <t>❌ N/A</t>
        </is>
      </c>
      <c r="P261" s="101" t="inlineStr">
        <is>
          <t>❌ Missing Data</t>
        </is>
      </c>
      <c r="Q261" s="102" t="inlineStr">
        <is>
          <t>MISSING</t>
        </is>
      </c>
    </row>
    <row r="262" ht="16" customHeight="1">
      <c r="A262" s="98" t="n">
        <v>0</v>
      </c>
      <c r="B262" s="99" t="inlineStr">
        <is>
          <t>DSP Nifty FMCG ETF</t>
        </is>
      </c>
      <c r="C262" s="99" t="inlineStr">
        <is>
          <t>DSP Mutual Fund</t>
        </is>
      </c>
      <c r="D262" s="99" t="inlineStr">
        <is>
          <t>Index Fund</t>
        </is>
      </c>
      <c r="E262" s="103" t="n">
        <v>-1.94</v>
      </c>
      <c r="F262" s="103" t="n">
        <v>-5.66</v>
      </c>
      <c r="G262" s="100" t="n">
        <v>0</v>
      </c>
      <c r="H262" s="100" t="n">
        <v>0</v>
      </c>
      <c r="I262" s="100" t="n">
        <v>0</v>
      </c>
      <c r="J262" s="100" t="n">
        <v>0</v>
      </c>
      <c r="K262" s="37" t="n">
        <v>0</v>
      </c>
      <c r="L262" s="18" t="n">
        <v>0</v>
      </c>
      <c r="M262" s="19" t="n">
        <v>0</v>
      </c>
      <c r="N262" s="101" t="inlineStr">
        <is>
          <t>❌ N/A</t>
        </is>
      </c>
      <c r="O262" s="101" t="inlineStr">
        <is>
          <t>❌ N/A</t>
        </is>
      </c>
      <c r="P262" s="101" t="inlineStr">
        <is>
          <t>❌ Missing Data</t>
        </is>
      </c>
      <c r="Q262" s="102" t="inlineStr">
        <is>
          <t>MISSING</t>
        </is>
      </c>
    </row>
    <row r="263" ht="16" customHeight="1">
      <c r="A263" s="98" t="n">
        <v>0</v>
      </c>
      <c r="B263" s="99" t="inlineStr">
        <is>
          <t>360 ONE MSCI India ETF</t>
        </is>
      </c>
      <c r="C263" s="99" t="inlineStr">
        <is>
          <t>360 ONE Mutual Fund</t>
        </is>
      </c>
      <c r="D263" s="99" t="inlineStr">
        <is>
          <t>Standard Equity/Debt</t>
        </is>
      </c>
      <c r="E263" s="100" t="n">
        <v>0.46</v>
      </c>
      <c r="F263" s="100" t="n">
        <v>0</v>
      </c>
      <c r="G263" s="100" t="n">
        <v>0</v>
      </c>
      <c r="H263" s="100" t="n">
        <v>0</v>
      </c>
      <c r="I263" s="100" t="n">
        <v>0</v>
      </c>
      <c r="J263" s="100" t="n">
        <v>0</v>
      </c>
      <c r="K263" s="37" t="n">
        <v>0</v>
      </c>
      <c r="L263" s="18" t="n">
        <v>0</v>
      </c>
      <c r="M263" s="19" t="n">
        <v>0</v>
      </c>
      <c r="N263" s="101" t="inlineStr">
        <is>
          <t>❌ N/A</t>
        </is>
      </c>
      <c r="O263" s="101" t="inlineStr">
        <is>
          <t>❌ N/A</t>
        </is>
      </c>
      <c r="P263" s="101" t="inlineStr">
        <is>
          <t>❌ Missing Data</t>
        </is>
      </c>
      <c r="Q263" s="102" t="inlineStr">
        <is>
          <t>MISSING</t>
        </is>
      </c>
    </row>
    <row r="264" ht="16" customHeight="1">
      <c r="A264" s="98" t="n">
        <v>0</v>
      </c>
      <c r="B264" s="99" t="inlineStr">
        <is>
          <t>Edelweiss Nifty Next 50 ETF</t>
        </is>
      </c>
      <c r="C264" s="99" t="inlineStr">
        <is>
          <t>Edelweiss Mutual Fund</t>
        </is>
      </c>
      <c r="D264" s="99" t="inlineStr">
        <is>
          <t>Index Fund</t>
        </is>
      </c>
      <c r="E264" s="100" t="n">
        <v>3.69</v>
      </c>
      <c r="F264" s="100" t="n">
        <v>0</v>
      </c>
      <c r="G264" s="100" t="n">
        <v>0</v>
      </c>
      <c r="H264" s="100" t="n">
        <v>0</v>
      </c>
      <c r="I264" s="100" t="n">
        <v>0</v>
      </c>
      <c r="J264" s="100" t="n">
        <v>0</v>
      </c>
      <c r="K264" s="37" t="n">
        <v>0</v>
      </c>
      <c r="L264" s="18" t="n">
        <v>0</v>
      </c>
      <c r="M264" s="19" t="n">
        <v>0</v>
      </c>
      <c r="N264" s="101" t="inlineStr">
        <is>
          <t>❌ N/A</t>
        </is>
      </c>
      <c r="O264" s="101" t="inlineStr">
        <is>
          <t>❌ N/A</t>
        </is>
      </c>
      <c r="P264" s="101" t="inlineStr">
        <is>
          <t>❌ Missing Data</t>
        </is>
      </c>
      <c r="Q264" s="102" t="inlineStr">
        <is>
          <t>MISSING</t>
        </is>
      </c>
    </row>
    <row r="265" ht="16" customHeight="1">
      <c r="A265" s="98" t="n">
        <v>0</v>
      </c>
      <c r="B265" s="99" t="inlineStr">
        <is>
          <t>Mirae Asset Nifty 500 Value 50 ETF</t>
        </is>
      </c>
      <c r="C265" s="99" t="inlineStr">
        <is>
          <t>Mirae Asset Mutual Fund</t>
        </is>
      </c>
      <c r="D265" s="99" t="inlineStr">
        <is>
          <t>Index Fund</t>
        </is>
      </c>
      <c r="E265" s="100" t="n">
        <v>0.45</v>
      </c>
      <c r="F265" s="103" t="n">
        <v>-1.76</v>
      </c>
      <c r="G265" s="100" t="n">
        <v>0</v>
      </c>
      <c r="H265" s="100" t="n">
        <v>0</v>
      </c>
      <c r="I265" s="100" t="n">
        <v>0</v>
      </c>
      <c r="J265" s="100" t="n">
        <v>0</v>
      </c>
      <c r="K265" s="37" t="n">
        <v>0</v>
      </c>
      <c r="L265" s="18" t="n">
        <v>0</v>
      </c>
      <c r="M265" s="19" t="n">
        <v>0</v>
      </c>
      <c r="N265" s="101" t="inlineStr">
        <is>
          <t>❌ N/A</t>
        </is>
      </c>
      <c r="O265" s="101" t="inlineStr">
        <is>
          <t>❌ N/A</t>
        </is>
      </c>
      <c r="P265" s="101" t="inlineStr">
        <is>
          <t>❌ Missing Data</t>
        </is>
      </c>
      <c r="Q265" s="102" t="inlineStr">
        <is>
          <t>MISSING</t>
        </is>
      </c>
    </row>
    <row r="266" ht="16" customHeight="1">
      <c r="A266" s="98" t="n">
        <v>0</v>
      </c>
      <c r="B266" s="99" t="inlineStr">
        <is>
          <t>SBI Nifty Midcap 150 ETF</t>
        </is>
      </c>
      <c r="C266" s="99" t="inlineStr">
        <is>
          <t>SBI Mutual Fund</t>
        </is>
      </c>
      <c r="D266" s="99" t="inlineStr">
        <is>
          <t>Index Fund</t>
        </is>
      </c>
      <c r="E266" s="100" t="n">
        <v>1.8</v>
      </c>
      <c r="F266" s="100" t="n">
        <v>4.65</v>
      </c>
      <c r="G266" s="100" t="n">
        <v>0</v>
      </c>
      <c r="H266" s="100" t="n">
        <v>0</v>
      </c>
      <c r="I266" s="100" t="n">
        <v>0</v>
      </c>
      <c r="J266" s="100" t="n">
        <v>0</v>
      </c>
      <c r="K266" s="37" t="n">
        <v>0</v>
      </c>
      <c r="L266" s="18" t="n">
        <v>0</v>
      </c>
      <c r="M266" s="19" t="n">
        <v>0</v>
      </c>
      <c r="N266" s="101" t="inlineStr">
        <is>
          <t>❌ N/A</t>
        </is>
      </c>
      <c r="O266" s="101" t="inlineStr">
        <is>
          <t>❌ N/A</t>
        </is>
      </c>
      <c r="P266" s="101" t="inlineStr">
        <is>
          <t>❌ Missing Data</t>
        </is>
      </c>
      <c r="Q266" s="102" t="inlineStr">
        <is>
          <t>MISSING</t>
        </is>
      </c>
    </row>
    <row r="267" ht="16" customHeight="1">
      <c r="A267" s="98" t="n">
        <v>0</v>
      </c>
      <c r="B267" s="99" t="inlineStr">
        <is>
          <t>ANGEL ONE SILVER ETF</t>
        </is>
      </c>
      <c r="C267" s="99" t="inlineStr">
        <is>
          <t>Angel One Mutual Fund</t>
        </is>
      </c>
      <c r="D267" s="99" t="inlineStr">
        <is>
          <t>Silver</t>
        </is>
      </c>
      <c r="E267" s="100" t="n">
        <v>8.94</v>
      </c>
      <c r="F267" s="103" t="n">
        <v>-11.87</v>
      </c>
      <c r="G267" s="100" t="n">
        <v>0</v>
      </c>
      <c r="H267" s="100" t="n">
        <v>0</v>
      </c>
      <c r="I267" s="100" t="n">
        <v>0</v>
      </c>
      <c r="J267" s="100" t="n">
        <v>0</v>
      </c>
      <c r="K267" s="37" t="n">
        <v>0</v>
      </c>
      <c r="L267" s="18" t="n">
        <v>0</v>
      </c>
      <c r="M267" s="19" t="n">
        <v>0</v>
      </c>
      <c r="N267" s="101" t="inlineStr">
        <is>
          <t>❌ N/A</t>
        </is>
      </c>
      <c r="O267" s="101" t="inlineStr">
        <is>
          <t>❌ N/A</t>
        </is>
      </c>
      <c r="P267" s="101" t="inlineStr">
        <is>
          <t>❌ Missing Data</t>
        </is>
      </c>
      <c r="Q267" s="102" t="inlineStr">
        <is>
          <t>MISSING</t>
        </is>
      </c>
    </row>
  </sheetData>
  <autoFilter ref="A4:Q26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5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"&amp;COUNTA(B5:B799)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6" t="inlineStr">
        <is>
          <t>◄  Rank in Asset Class  ►</t>
        </is>
      </c>
      <c r="P3" s="107" t="n"/>
      <c r="Q3" s="107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79" t="n">
        <v>1</v>
      </c>
      <c r="B5" s="80" t="inlineStr">
        <is>
          <t>ICICI Prudential NASDAQ 100 Index Fund - Growth</t>
        </is>
      </c>
      <c r="C5" s="80" t="inlineStr">
        <is>
          <t>ICICI Prudential Mutual Fund</t>
        </is>
      </c>
      <c r="D5" s="80" t="inlineStr">
        <is>
          <t>Index Funds</t>
        </is>
      </c>
      <c r="E5" s="80" t="inlineStr">
        <is>
          <t>NASDAQ</t>
        </is>
      </c>
      <c r="F5" s="81" t="n">
        <v>4</v>
      </c>
      <c r="G5" s="81" t="n">
        <v>3.08</v>
      </c>
      <c r="H5" s="81" t="n">
        <v>26.6</v>
      </c>
      <c r="I5" s="81" t="n">
        <v>36.72</v>
      </c>
      <c r="J5" s="81" t="n">
        <v>31.68902763708143</v>
      </c>
      <c r="K5" s="81" t="n">
        <v>131.73</v>
      </c>
      <c r="L5" s="24" t="n">
        <v>89.7</v>
      </c>
      <c r="M5" s="25" t="n">
        <v>100</v>
      </c>
      <c r="N5" s="26" t="n">
        <v>94.3</v>
      </c>
      <c r="O5" s="108">
        <f>COUNTIFS($E:$E,$E5,$L:$L,"&gt;"&amp;$L5)+1</f>
        <v/>
      </c>
      <c r="P5" s="108">
        <f>COUNTIFS($E:$E,$E5,$M:$M,"&gt;"&amp;$M5)+1</f>
        <v/>
      </c>
      <c r="Q5" s="108">
        <f>COUNTIFS($E:$E,$E5,$N:$N,"&gt;"&amp;$N5)+1</f>
        <v/>
      </c>
      <c r="R5" s="41" t="inlineStr">
        <is>
          <t>⭐ Strong</t>
        </is>
      </c>
      <c r="S5" s="41" t="inlineStr">
        <is>
          <t>🏆 Elite</t>
        </is>
      </c>
      <c r="T5" s="41" t="inlineStr">
        <is>
          <t>⭐ Strong Buy</t>
        </is>
      </c>
      <c r="U5" s="83" t="inlineStr">
        <is>
          <t>FULL</t>
        </is>
      </c>
    </row>
    <row r="6" ht="16" customHeight="1">
      <c r="A6" s="84" t="n">
        <v>2</v>
      </c>
      <c r="B6" s="85" t="inlineStr">
        <is>
          <t>Mirae Asset Global X Artificial Intelligence &amp; Technology ETF Fund of Fund - Regular Plan - Growth</t>
        </is>
      </c>
      <c r="C6" s="85" t="inlineStr">
        <is>
          <t>Mirae Asset Mutual Fund</t>
        </is>
      </c>
      <c r="D6" s="85" t="inlineStr">
        <is>
          <t>Fof Overseas</t>
        </is>
      </c>
      <c r="E6" s="85" t="inlineStr">
        <is>
          <t>International</t>
        </is>
      </c>
      <c r="F6" s="86" t="n">
        <v>8.140000000000001</v>
      </c>
      <c r="G6" s="86" t="n">
        <v>5.08</v>
      </c>
      <c r="H6" s="86" t="n">
        <v>35.91</v>
      </c>
      <c r="I6" s="86" t="n">
        <v>54.1</v>
      </c>
      <c r="J6" s="86" t="n">
        <v>43.44336861632885</v>
      </c>
      <c r="K6" s="86" t="n">
        <v>171.88</v>
      </c>
      <c r="L6" s="24" t="n">
        <v>91.40000000000001</v>
      </c>
      <c r="M6" s="25" t="n">
        <v>93.3</v>
      </c>
      <c r="N6" s="26" t="n">
        <v>92.2</v>
      </c>
      <c r="O6" s="108">
        <f>COUNTIFS($E:$E,$E6,$L:$L,"&gt;"&amp;$L6)+1</f>
        <v/>
      </c>
      <c r="P6" s="108">
        <f>COUNTIFS($E:$E,$E6,$M:$M,"&gt;"&amp;$M6)+1</f>
        <v/>
      </c>
      <c r="Q6" s="108">
        <f>COUNTIFS($E:$E,$E6,$N:$N,"&gt;"&amp;$N6)+1</f>
        <v/>
      </c>
      <c r="R6" s="27" t="inlineStr">
        <is>
          <t>🔥 Hot</t>
        </is>
      </c>
      <c r="S6" s="27" t="inlineStr">
        <is>
          <t>🏆 Elite</t>
        </is>
      </c>
      <c r="T6" s="27" t="inlineStr">
        <is>
          <t>⭐ Strong Buy</t>
        </is>
      </c>
      <c r="U6" s="83" t="inlineStr">
        <is>
          <t>FULL</t>
        </is>
      </c>
    </row>
    <row r="7" ht="16" customHeight="1">
      <c r="A7" s="87" t="n">
        <v>3</v>
      </c>
      <c r="B7" s="88" t="inlineStr">
        <is>
          <t>ICICI Prudential Strategic Metal and Energy Equity Fund of Fund - Growth</t>
        </is>
      </c>
      <c r="C7" s="88" t="inlineStr">
        <is>
          <t>ICICI Prudential Mutual Fund</t>
        </is>
      </c>
      <c r="D7" s="88" t="inlineStr">
        <is>
          <t>Fof Overseas</t>
        </is>
      </c>
      <c r="E7" s="88" t="inlineStr">
        <is>
          <t>Commodities</t>
        </is>
      </c>
      <c r="F7" s="89" t="n">
        <v>13.94</v>
      </c>
      <c r="G7" s="89" t="n">
        <v>4.49</v>
      </c>
      <c r="H7" s="89" t="n">
        <v>14.37</v>
      </c>
      <c r="I7" s="89" t="n">
        <v>74.53</v>
      </c>
      <c r="J7" s="89" t="n">
        <v>45.14131045295133</v>
      </c>
      <c r="K7" s="89" t="n">
        <v>145.47</v>
      </c>
      <c r="L7" s="24" t="n">
        <v>80.2</v>
      </c>
      <c r="M7" s="25" t="n">
        <v>94.90000000000001</v>
      </c>
      <c r="N7" s="26" t="n">
        <v>86.8</v>
      </c>
      <c r="O7" s="108">
        <f>COUNTIFS($E:$E,$E7,$L:$L,"&gt;"&amp;$L7)+1</f>
        <v/>
      </c>
      <c r="P7" s="108">
        <f>COUNTIFS($E:$E,$E7,$M:$M,"&gt;"&amp;$M7)+1</f>
        <v/>
      </c>
      <c r="Q7" s="108">
        <f>COUNTIFS($E:$E,$E7,$N:$N,"&gt;"&amp;$N7)+1</f>
        <v/>
      </c>
      <c r="R7" s="36" t="inlineStr">
        <is>
          <t>⭐ Strong</t>
        </is>
      </c>
      <c r="S7" s="36" t="inlineStr">
        <is>
          <t>🏆 Elite</t>
        </is>
      </c>
      <c r="T7" s="36" t="inlineStr">
        <is>
          <t>⭐ Strong Buy</t>
        </is>
      </c>
      <c r="U7" s="83" t="inlineStr">
        <is>
          <t>FULL</t>
        </is>
      </c>
    </row>
    <row r="8" ht="16" customHeight="1">
      <c r="A8" s="109" t="n">
        <v>4</v>
      </c>
      <c r="B8" s="110" t="inlineStr">
        <is>
          <t>DSP World Mining Overseas Equity Omni FoF - Regular Plan - Growth</t>
        </is>
      </c>
      <c r="C8" s="110" t="inlineStr">
        <is>
          <t>DSP Mutual Fund</t>
        </is>
      </c>
      <c r="D8" s="110" t="inlineStr">
        <is>
          <t>Fof Overseas</t>
        </is>
      </c>
      <c r="E8" s="110" t="inlineStr">
        <is>
          <t>International</t>
        </is>
      </c>
      <c r="F8" s="111" t="n">
        <v>15.47</v>
      </c>
      <c r="G8" s="111" t="n">
        <v>4.8</v>
      </c>
      <c r="H8" s="111" t="n">
        <v>4.85</v>
      </c>
      <c r="I8" s="111" t="n">
        <v>77.44</v>
      </c>
      <c r="J8" s="111" t="n">
        <v>45.65026604850402</v>
      </c>
      <c r="K8" s="111" t="n">
        <v>124.33</v>
      </c>
      <c r="L8" s="17" t="n">
        <v>71.5</v>
      </c>
      <c r="M8" s="25" t="n">
        <v>91.2</v>
      </c>
      <c r="N8" s="26" t="n">
        <v>80.3</v>
      </c>
      <c r="O8" s="108">
        <f>COUNTIFS($E:$E,$E8,$L:$L,"&gt;"&amp;$L8)+1</f>
        <v/>
      </c>
      <c r="P8" s="108">
        <f>COUNTIFS($E:$E,$E8,$M:$M,"&gt;"&amp;$M8)+1</f>
        <v/>
      </c>
      <c r="Q8" s="108">
        <f>COUNTIFS($E:$E,$E8,$N:$N,"&gt;"&amp;$N8)+1</f>
        <v/>
      </c>
      <c r="R8" s="112" t="inlineStr">
        <is>
          <t>📈 Good</t>
        </is>
      </c>
      <c r="S8" s="112" t="inlineStr">
        <is>
          <t>🏆 Elite</t>
        </is>
      </c>
      <c r="T8" s="112" t="inlineStr">
        <is>
          <t>⭐ Strong Buy</t>
        </is>
      </c>
      <c r="U8" s="83" t="inlineStr">
        <is>
          <t>FULL</t>
        </is>
      </c>
    </row>
    <row r="9" ht="16" customHeight="1">
      <c r="A9" s="109" t="n">
        <v>5</v>
      </c>
      <c r="B9" s="110" t="inlineStr">
        <is>
          <t>Motilal Oswal Nasdaq Q50 ETF</t>
        </is>
      </c>
      <c r="C9" s="110" t="inlineStr">
        <is>
          <t>Motilal Oswal Mutual Fund</t>
        </is>
      </c>
      <c r="D9" s="110" t="inlineStr">
        <is>
          <t>Other  Etfs</t>
        </is>
      </c>
      <c r="E9" s="110" t="inlineStr">
        <is>
          <t>NASDAQ</t>
        </is>
      </c>
      <c r="F9" s="111" t="n">
        <v>7.99</v>
      </c>
      <c r="G9" s="111" t="n">
        <v>15.68</v>
      </c>
      <c r="H9" s="111" t="n">
        <v>36.94</v>
      </c>
      <c r="I9" s="111" t="n">
        <v>59.1</v>
      </c>
      <c r="J9" s="111" t="n">
        <v>41.57330256796299</v>
      </c>
      <c r="K9" s="111" t="n">
        <v>136.75</v>
      </c>
      <c r="L9" s="24" t="n">
        <v>100</v>
      </c>
      <c r="M9" s="42" t="n">
        <v>56.2</v>
      </c>
      <c r="N9" s="26" t="n">
        <v>80.3</v>
      </c>
      <c r="O9" s="108">
        <f>COUNTIFS($E:$E,$E9,$L:$L,"&gt;"&amp;$L9)+1</f>
        <v/>
      </c>
      <c r="P9" s="108">
        <f>COUNTIFS($E:$E,$E9,$M:$M,"&gt;"&amp;$M9)+1</f>
        <v/>
      </c>
      <c r="Q9" s="108">
        <f>COUNTIFS($E:$E,$E9,$N:$N,"&gt;"&amp;$N9)+1</f>
        <v/>
      </c>
      <c r="R9" s="112" t="inlineStr">
        <is>
          <t>🔥 Hot</t>
        </is>
      </c>
      <c r="S9" s="112" t="inlineStr">
        <is>
          <t>➡️ Average</t>
        </is>
      </c>
      <c r="T9" s="112" t="inlineStr">
        <is>
          <t>⭐ Strong Buy</t>
        </is>
      </c>
      <c r="U9" s="83" t="inlineStr">
        <is>
          <t>FULL</t>
        </is>
      </c>
    </row>
    <row r="10" ht="16" customHeight="1">
      <c r="A10" s="109" t="n">
        <v>6</v>
      </c>
      <c r="B10" s="110" t="inlineStr">
        <is>
          <t>ICICI PRUDENTIAL SILVER ETF</t>
        </is>
      </c>
      <c r="C10" s="110" t="inlineStr">
        <is>
          <t>ICICI Prudential Mutual Fund</t>
        </is>
      </c>
      <c r="D10" s="110" t="inlineStr">
        <is>
          <t>Other  Etfs</t>
        </is>
      </c>
      <c r="E10" s="110" t="inlineStr">
        <is>
          <t>Silver</t>
        </is>
      </c>
      <c r="F10" s="111" t="n">
        <v>8.18</v>
      </c>
      <c r="G10" s="113" t="n">
        <v>-12.91</v>
      </c>
      <c r="H10" s="113" t="n">
        <v>-1.6</v>
      </c>
      <c r="I10" s="111" t="n">
        <v>100.58</v>
      </c>
      <c r="J10" s="111" t="n">
        <v>67.11971756797578</v>
      </c>
      <c r="K10" s="111" t="n">
        <v>220.82</v>
      </c>
      <c r="L10" s="17" t="n">
        <v>66.40000000000001</v>
      </c>
      <c r="M10" s="25" t="n">
        <v>97.2</v>
      </c>
      <c r="N10" s="26" t="n">
        <v>80.3</v>
      </c>
      <c r="O10" s="108">
        <f>COUNTIFS($E:$E,$E10,$L:$L,"&gt;"&amp;$L10)+1</f>
        <v/>
      </c>
      <c r="P10" s="108">
        <f>COUNTIFS($E:$E,$E10,$M:$M,"&gt;"&amp;$M10)+1</f>
        <v/>
      </c>
      <c r="Q10" s="108">
        <f>COUNTIFS($E:$E,$E10,$N:$N,"&gt;"&amp;$N10)+1</f>
        <v/>
      </c>
      <c r="R10" s="112" t="inlineStr">
        <is>
          <t>📈 Good</t>
        </is>
      </c>
      <c r="S10" s="112" t="inlineStr">
        <is>
          <t>🏆 Elite</t>
        </is>
      </c>
      <c r="T10" s="112" t="inlineStr">
        <is>
          <t>⭐ Strong Buy</t>
        </is>
      </c>
      <c r="U10" s="83" t="inlineStr">
        <is>
          <t>FULL</t>
        </is>
      </c>
    </row>
    <row r="11" ht="16" customHeight="1">
      <c r="A11" s="109" t="n">
        <v>7</v>
      </c>
      <c r="B11" s="110" t="inlineStr">
        <is>
          <t>DSP World Gold Mining Overseas Equity Omni FoF - Regular Plan - Growth</t>
        </is>
      </c>
      <c r="C11" s="110" t="inlineStr">
        <is>
          <t>DSP Mutual Fund</t>
        </is>
      </c>
      <c r="D11" s="110" t="inlineStr">
        <is>
          <t>Fof Overseas</t>
        </is>
      </c>
      <c r="E11" s="110" t="inlineStr">
        <is>
          <t>Gold</t>
        </is>
      </c>
      <c r="F11" s="111" t="n">
        <v>26.45</v>
      </c>
      <c r="G11" s="111" t="n">
        <v>6.81</v>
      </c>
      <c r="H11" s="113" t="n">
        <v>-4.09</v>
      </c>
      <c r="I11" s="111" t="n">
        <v>77.12</v>
      </c>
      <c r="J11" s="111" t="n">
        <v>68.1279274838062</v>
      </c>
      <c r="K11" s="111" t="n">
        <v>287.35</v>
      </c>
      <c r="L11" s="17" t="n">
        <v>64.2</v>
      </c>
      <c r="M11" s="25" t="n">
        <v>99.40000000000001</v>
      </c>
      <c r="N11" s="26" t="n">
        <v>80</v>
      </c>
      <c r="O11" s="108">
        <f>COUNTIFS($E:$E,$E11,$L:$L,"&gt;"&amp;$L11)+1</f>
        <v/>
      </c>
      <c r="P11" s="108">
        <f>COUNTIFS($E:$E,$E11,$M:$M,"&gt;"&amp;$M11)+1</f>
        <v/>
      </c>
      <c r="Q11" s="108">
        <f>COUNTIFS($E:$E,$E11,$N:$N,"&gt;"&amp;$N11)+1</f>
        <v/>
      </c>
      <c r="R11" s="112" t="inlineStr">
        <is>
          <t>📈 Good</t>
        </is>
      </c>
      <c r="S11" s="112" t="inlineStr">
        <is>
          <t>🏆 Elite</t>
        </is>
      </c>
      <c r="T11" s="112" t="inlineStr">
        <is>
          <t>⭐ Strong Buy</t>
        </is>
      </c>
      <c r="U11" s="83" t="inlineStr">
        <is>
          <t>FULL</t>
        </is>
      </c>
    </row>
    <row r="12" ht="16" customHeight="1">
      <c r="A12" s="109" t="n">
        <v>8</v>
      </c>
      <c r="B12" s="110" t="inlineStr">
        <is>
          <t>Kotak US Specific Equity Passive FOF - Regular Plan - Growth</t>
        </is>
      </c>
      <c r="C12" s="110" t="inlineStr">
        <is>
          <t>Kotak Mahindra Mutual Fund</t>
        </is>
      </c>
      <c r="D12" s="110" t="inlineStr">
        <is>
          <t>Fof Overseas</t>
        </is>
      </c>
      <c r="E12" s="110" t="inlineStr">
        <is>
          <t>Standard Equity/Debt</t>
        </is>
      </c>
      <c r="F12" s="111" t="n">
        <v>4.71</v>
      </c>
      <c r="G12" s="111" t="n">
        <v>4.11</v>
      </c>
      <c r="H12" s="111" t="n">
        <v>26.74</v>
      </c>
      <c r="I12" s="111" t="n">
        <v>37.91</v>
      </c>
      <c r="J12" s="111" t="n">
        <v>32.33291351738614</v>
      </c>
      <c r="K12" s="111" t="n">
        <v>134.72</v>
      </c>
      <c r="L12" s="24" t="n">
        <v>77</v>
      </c>
      <c r="M12" s="25" t="n">
        <v>79.90000000000001</v>
      </c>
      <c r="N12" s="26" t="n">
        <v>78.3</v>
      </c>
      <c r="O12" s="108">
        <f>COUNTIFS($E:$E,$E12,$L:$L,"&gt;"&amp;$L12)+1</f>
        <v/>
      </c>
      <c r="P12" s="108">
        <f>COUNTIFS($E:$E,$E12,$M:$M,"&gt;"&amp;$M12)+1</f>
        <v/>
      </c>
      <c r="Q12" s="108">
        <f>COUNTIFS($E:$E,$E12,$N:$N,"&gt;"&amp;$N12)+1</f>
        <v/>
      </c>
      <c r="R12" s="112" t="inlineStr">
        <is>
          <t>⭐ Strong</t>
        </is>
      </c>
      <c r="S12" s="112" t="inlineStr">
        <is>
          <t>⭐ Strong</t>
        </is>
      </c>
      <c r="T12" s="112" t="inlineStr">
        <is>
          <t>⭐ Strong Buy</t>
        </is>
      </c>
      <c r="U12" s="83" t="inlineStr">
        <is>
          <t>FULL</t>
        </is>
      </c>
    </row>
    <row r="13" ht="16" customHeight="1">
      <c r="A13" s="109" t="n">
        <v>9</v>
      </c>
      <c r="B13" s="110" t="inlineStr">
        <is>
          <t>Edelweiss Emerging Markets Opportunities Equity Offshore Fund - Regular Plan - Growth Option</t>
        </is>
      </c>
      <c r="C13" s="110" t="inlineStr">
        <is>
          <t>Edelweiss Mutual Fund</t>
        </is>
      </c>
      <c r="D13" s="110" t="inlineStr">
        <is>
          <t>Fof Overseas</t>
        </is>
      </c>
      <c r="E13" s="110" t="inlineStr">
        <is>
          <t>International</t>
        </is>
      </c>
      <c r="F13" s="111" t="n">
        <v>4.35</v>
      </c>
      <c r="G13" s="111" t="n">
        <v>3.24</v>
      </c>
      <c r="H13" s="111" t="n">
        <v>18.23</v>
      </c>
      <c r="I13" s="111" t="n">
        <v>56.11</v>
      </c>
      <c r="J13" s="111" t="n">
        <v>35.55810562264434</v>
      </c>
      <c r="K13" s="111" t="n">
        <v>110.57</v>
      </c>
      <c r="L13" s="17" t="n">
        <v>73.3</v>
      </c>
      <c r="M13" s="25" t="n">
        <v>81.90000000000001</v>
      </c>
      <c r="N13" s="26" t="n">
        <v>77.2</v>
      </c>
      <c r="O13" s="108">
        <f>COUNTIFS($E:$E,$E13,$L:$L,"&gt;"&amp;$L13)+1</f>
        <v/>
      </c>
      <c r="P13" s="108">
        <f>COUNTIFS($E:$E,$E13,$M:$M,"&gt;"&amp;$M13)+1</f>
        <v/>
      </c>
      <c r="Q13" s="108">
        <f>COUNTIFS($E:$E,$E13,$N:$N,"&gt;"&amp;$N13)+1</f>
        <v/>
      </c>
      <c r="R13" s="112" t="inlineStr">
        <is>
          <t>📈 Good</t>
        </is>
      </c>
      <c r="S13" s="112" t="inlineStr">
        <is>
          <t>⭐ Strong</t>
        </is>
      </c>
      <c r="T13" s="112" t="inlineStr">
        <is>
          <t>⭐ Strong Buy</t>
        </is>
      </c>
      <c r="U13" s="83" t="inlineStr">
        <is>
          <t>FULL</t>
        </is>
      </c>
    </row>
    <row r="14" ht="16" customHeight="1">
      <c r="A14" s="109" t="n">
        <v>10</v>
      </c>
      <c r="B14" s="110" t="inlineStr">
        <is>
          <t>Quantum Gold ETF</t>
        </is>
      </c>
      <c r="C14" s="110" t="inlineStr">
        <is>
          <t>Quantum Mutual Fund</t>
        </is>
      </c>
      <c r="D14" s="110" t="inlineStr">
        <is>
          <t>Gold Etf</t>
        </is>
      </c>
      <c r="E14" s="110" t="inlineStr">
        <is>
          <t>Gold</t>
        </is>
      </c>
      <c r="F14" s="111" t="n">
        <v>9.050000000000001</v>
      </c>
      <c r="G14" s="113" t="n">
        <v>-3.16</v>
      </c>
      <c r="H14" s="111" t="n">
        <v>1.31</v>
      </c>
      <c r="I14" s="111" t="n">
        <v>52.76</v>
      </c>
      <c r="J14" s="111" t="n">
        <v>46.58444665106867</v>
      </c>
      <c r="K14" s="111" t="n">
        <v>156.52</v>
      </c>
      <c r="L14" s="17" t="n">
        <v>66.09999999999999</v>
      </c>
      <c r="M14" s="25" t="n">
        <v>88.90000000000001</v>
      </c>
      <c r="N14" s="26" t="n">
        <v>76.3</v>
      </c>
      <c r="O14" s="108">
        <f>COUNTIFS($E:$E,$E14,$L:$L,"&gt;"&amp;$L14)+1</f>
        <v/>
      </c>
      <c r="P14" s="108">
        <f>COUNTIFS($E:$E,$E14,$M:$M,"&gt;"&amp;$M14)+1</f>
        <v/>
      </c>
      <c r="Q14" s="108">
        <f>COUNTIFS($E:$E,$E14,$N:$N,"&gt;"&amp;$N14)+1</f>
        <v/>
      </c>
      <c r="R14" s="112" t="inlineStr">
        <is>
          <t>📈 Good</t>
        </is>
      </c>
      <c r="S14" s="112" t="inlineStr">
        <is>
          <t>⭐ Strong</t>
        </is>
      </c>
      <c r="T14" s="112" t="inlineStr">
        <is>
          <t>⭐ Strong Buy</t>
        </is>
      </c>
      <c r="U14" s="83" t="inlineStr">
        <is>
          <t>FULL</t>
        </is>
      </c>
    </row>
    <row r="15" ht="16" customHeight="1">
      <c r="A15" s="13" t="n">
        <v>11</v>
      </c>
      <c r="B15" s="14" t="inlineStr">
        <is>
          <t>DSP Silver ETF</t>
        </is>
      </c>
      <c r="C15" s="14" t="inlineStr">
        <is>
          <t>DSP Mutual Fund</t>
        </is>
      </c>
      <c r="D15" s="14" t="inlineStr">
        <is>
          <t>Other  Etfs</t>
        </is>
      </c>
      <c r="E15" s="14" t="inlineStr">
        <is>
          <t>Silver</t>
        </is>
      </c>
      <c r="F15" s="15" t="n">
        <v>8.24</v>
      </c>
      <c r="G15" s="16" t="n">
        <v>-12.93</v>
      </c>
      <c r="H15" s="16" t="n">
        <v>-1.68</v>
      </c>
      <c r="I15" s="15" t="n">
        <v>100.46</v>
      </c>
      <c r="J15" s="15" t="n">
        <v>66.96706262014673</v>
      </c>
      <c r="K15" s="15" t="n">
        <v>219.8</v>
      </c>
      <c r="L15" s="17" t="n">
        <v>65.7</v>
      </c>
      <c r="M15" s="25" t="n">
        <v>88.09999999999999</v>
      </c>
      <c r="N15" s="26" t="n">
        <v>75.8</v>
      </c>
      <c r="O15" s="108">
        <f>COUNTIFS($E:$E,$E15,$L:$L,"&gt;"&amp;$L15)+1</f>
        <v/>
      </c>
      <c r="P15" s="108">
        <f>COUNTIFS($E:$E,$E15,$M:$M,"&gt;"&amp;$M15)+1</f>
        <v/>
      </c>
      <c r="Q15" s="108">
        <f>COUNTIFS($E:$E,$E15,$N:$N,"&gt;"&amp;$N15)+1</f>
        <v/>
      </c>
      <c r="R15" s="20" t="inlineStr">
        <is>
          <t>📈 Good</t>
        </is>
      </c>
      <c r="S15" s="20" t="inlineStr">
        <is>
          <t>⭐ Strong</t>
        </is>
      </c>
      <c r="T15" s="20" t="inlineStr">
        <is>
          <t>⭐ Strong Buy</t>
        </is>
      </c>
      <c r="U15" s="83" t="inlineStr">
        <is>
          <t>FULL</t>
        </is>
      </c>
    </row>
    <row r="16" ht="16" customHeight="1">
      <c r="A16" s="28" t="n">
        <v>12</v>
      </c>
      <c r="B16" s="29" t="inlineStr">
        <is>
          <t>Axis NASDAQ 100 US Specific Equity Passive FOF - Regular Plan - Growth</t>
        </is>
      </c>
      <c r="C16" s="29" t="inlineStr">
        <is>
          <t>Axis Mutual Fund</t>
        </is>
      </c>
      <c r="D16" s="29" t="inlineStr">
        <is>
          <t>Fof Overseas</t>
        </is>
      </c>
      <c r="E16" s="29" t="inlineStr">
        <is>
          <t>NASDAQ</t>
        </is>
      </c>
      <c r="F16" s="30" t="n">
        <v>4.68</v>
      </c>
      <c r="G16" s="30" t="n">
        <v>4.15</v>
      </c>
      <c r="H16" s="30" t="n">
        <v>26.34</v>
      </c>
      <c r="I16" s="30" t="n">
        <v>37.4</v>
      </c>
      <c r="J16" s="30" t="n">
        <v>31.78011989674314</v>
      </c>
      <c r="K16" s="30" t="n">
        <v>131.89</v>
      </c>
      <c r="L16" s="24" t="n">
        <v>75</v>
      </c>
      <c r="M16" s="25" t="n">
        <v>76.5</v>
      </c>
      <c r="N16" s="26" t="n">
        <v>75.7</v>
      </c>
      <c r="O16" s="108">
        <f>COUNTIFS($E:$E,$E16,$L:$L,"&gt;"&amp;$L16)+1</f>
        <v/>
      </c>
      <c r="P16" s="108">
        <f>COUNTIFS($E:$E,$E16,$M:$M,"&gt;"&amp;$M16)+1</f>
        <v/>
      </c>
      <c r="Q16" s="108">
        <f>COUNTIFS($E:$E,$E16,$N:$N,"&gt;"&amp;$N16)+1</f>
        <v/>
      </c>
      <c r="R16" s="31" t="inlineStr">
        <is>
          <t>⭐ Strong</t>
        </is>
      </c>
      <c r="S16" s="31" t="inlineStr">
        <is>
          <t>⭐ Strong</t>
        </is>
      </c>
      <c r="T16" s="31" t="inlineStr">
        <is>
          <t>⭐ Strong Buy</t>
        </is>
      </c>
      <c r="U16" s="83" t="inlineStr">
        <is>
          <t>FULL</t>
        </is>
      </c>
    </row>
    <row r="17" ht="16" customHeight="1">
      <c r="A17" s="13" t="n">
        <v>13</v>
      </c>
      <c r="B17" s="14" t="inlineStr">
        <is>
          <t>UTI GOLD Exchange Traded Fund</t>
        </is>
      </c>
      <c r="C17" s="14" t="inlineStr">
        <is>
          <t>UTI Mutual Fund</t>
        </is>
      </c>
      <c r="D17" s="14" t="inlineStr">
        <is>
          <t>Gold Etf</t>
        </is>
      </c>
      <c r="E17" s="14" t="inlineStr">
        <is>
          <t>Gold</t>
        </is>
      </c>
      <c r="F17" s="15" t="n">
        <v>9.06</v>
      </c>
      <c r="G17" s="16" t="n">
        <v>-3.16</v>
      </c>
      <c r="H17" s="15" t="n">
        <v>1.11</v>
      </c>
      <c r="I17" s="15" t="n">
        <v>52.86</v>
      </c>
      <c r="J17" s="15" t="n">
        <v>46.696966567138</v>
      </c>
      <c r="K17" s="15" t="n">
        <v>158.67</v>
      </c>
      <c r="L17" s="17" t="n">
        <v>55.6</v>
      </c>
      <c r="M17" s="25" t="n">
        <v>100</v>
      </c>
      <c r="N17" s="26" t="n">
        <v>75.59999999999999</v>
      </c>
      <c r="O17" s="108">
        <f>COUNTIFS($E:$E,$E17,$L:$L,"&gt;"&amp;$L17)+1</f>
        <v/>
      </c>
      <c r="P17" s="108">
        <f>COUNTIFS($E:$E,$E17,$M:$M,"&gt;"&amp;$M17)+1</f>
        <v/>
      </c>
      <c r="Q17" s="108">
        <f>COUNTIFS($E:$E,$E17,$N:$N,"&gt;"&amp;$N17)+1</f>
        <v/>
      </c>
      <c r="R17" s="20" t="inlineStr">
        <is>
          <t>➡️ Neutral</t>
        </is>
      </c>
      <c r="S17" s="20" t="inlineStr">
        <is>
          <t>🏆 Elite</t>
        </is>
      </c>
      <c r="T17" s="20" t="inlineStr">
        <is>
          <t>⭐ Strong Buy</t>
        </is>
      </c>
      <c r="U17" s="83" t="inlineStr">
        <is>
          <t>FULL</t>
        </is>
      </c>
    </row>
    <row r="18" ht="16" customHeight="1">
      <c r="A18" s="28" t="n">
        <v>14</v>
      </c>
      <c r="B18" s="29" t="inlineStr">
        <is>
          <t>Axis Silver ETF</t>
        </is>
      </c>
      <c r="C18" s="29" t="inlineStr">
        <is>
          <t>Axis Mutual Fund</t>
        </is>
      </c>
      <c r="D18" s="29" t="inlineStr">
        <is>
          <t>Other  Etfs</t>
        </is>
      </c>
      <c r="E18" s="29" t="inlineStr">
        <is>
          <t>Silver</t>
        </is>
      </c>
      <c r="F18" s="30" t="n">
        <v>8.09</v>
      </c>
      <c r="G18" s="91" t="n">
        <v>-12.78</v>
      </c>
      <c r="H18" s="91" t="n">
        <v>-1.6</v>
      </c>
      <c r="I18" s="30" t="n">
        <v>99.95</v>
      </c>
      <c r="J18" s="30" t="n">
        <v>66.86821147240718</v>
      </c>
      <c r="K18" s="30" t="n">
        <v>220.72</v>
      </c>
      <c r="L18" s="17" t="n">
        <v>66</v>
      </c>
      <c r="M18" s="25" t="n">
        <v>85.90000000000001</v>
      </c>
      <c r="N18" s="26" t="n">
        <v>75</v>
      </c>
      <c r="O18" s="108">
        <f>COUNTIFS($E:$E,$E18,$L:$L,"&gt;"&amp;$L18)+1</f>
        <v/>
      </c>
      <c r="P18" s="108">
        <f>COUNTIFS($E:$E,$E18,$M:$M,"&gt;"&amp;$M18)+1</f>
        <v/>
      </c>
      <c r="Q18" s="108">
        <f>COUNTIFS($E:$E,$E18,$N:$N,"&gt;"&amp;$N18)+1</f>
        <v/>
      </c>
      <c r="R18" s="31" t="inlineStr">
        <is>
          <t>📈 Good</t>
        </is>
      </c>
      <c r="S18" s="31" t="inlineStr">
        <is>
          <t>⭐ Strong</t>
        </is>
      </c>
      <c r="T18" s="31" t="inlineStr">
        <is>
          <t>🏛️ Quality Hold</t>
        </is>
      </c>
      <c r="U18" s="83" t="inlineStr">
        <is>
          <t>FULL</t>
        </is>
      </c>
    </row>
    <row r="19" ht="16" customHeight="1">
      <c r="A19" s="13" t="n">
        <v>15</v>
      </c>
      <c r="B19" s="14" t="inlineStr">
        <is>
          <t>Navi NASDAQ100 US Specific Equity Passive FOF- Regular- Growth</t>
        </is>
      </c>
      <c r="C19" s="14" t="inlineStr">
        <is>
          <t>Navi Mutual Fund</t>
        </is>
      </c>
      <c r="D19" s="14" t="inlineStr">
        <is>
          <t>Fof Overseas</t>
        </is>
      </c>
      <c r="E19" s="14" t="inlineStr">
        <is>
          <t>NASDAQ</t>
        </is>
      </c>
      <c r="F19" s="15" t="n">
        <v>4.19</v>
      </c>
      <c r="G19" s="15" t="n">
        <v>3.03</v>
      </c>
      <c r="H19" s="15" t="n">
        <v>27.01</v>
      </c>
      <c r="I19" s="15" t="n">
        <v>37.36</v>
      </c>
      <c r="J19" s="15" t="n">
        <v>32.23085872821063</v>
      </c>
      <c r="K19" s="15" t="n">
        <v>134.87</v>
      </c>
      <c r="L19" s="17" t="n">
        <v>71.40000000000001</v>
      </c>
      <c r="M19" s="25" t="n">
        <v>79</v>
      </c>
      <c r="N19" s="35" t="n">
        <v>74.8</v>
      </c>
      <c r="O19" s="108">
        <f>COUNTIFS($E:$E,$E19,$L:$L,"&gt;"&amp;$L19)+1</f>
        <v/>
      </c>
      <c r="P19" s="108">
        <f>COUNTIFS($E:$E,$E19,$M:$M,"&gt;"&amp;$M19)+1</f>
        <v/>
      </c>
      <c r="Q19" s="108">
        <f>COUNTIFS($E:$E,$E19,$N:$N,"&gt;"&amp;$N19)+1</f>
        <v/>
      </c>
      <c r="R19" s="20" t="inlineStr">
        <is>
          <t>📈 Good</t>
        </is>
      </c>
      <c r="S19" s="20" t="inlineStr">
        <is>
          <t>⭐ Strong</t>
        </is>
      </c>
      <c r="T19" s="20" t="inlineStr">
        <is>
          <t>🏛️ Quality Hold</t>
        </is>
      </c>
      <c r="U19" s="83" t="inlineStr">
        <is>
          <t>FULL</t>
        </is>
      </c>
    </row>
    <row r="20" ht="16" customHeight="1">
      <c r="A20" s="28" t="n">
        <v>16</v>
      </c>
      <c r="B20" s="29" t="inlineStr">
        <is>
          <t>Motilal Oswal S&amp;P 500 Index Fund - Regular Plan Growth</t>
        </is>
      </c>
      <c r="C20" s="29" t="inlineStr">
        <is>
          <t>Motilal Oswal Mutual Fund</t>
        </is>
      </c>
      <c r="D20" s="29" t="inlineStr">
        <is>
          <t>Index Funds</t>
        </is>
      </c>
      <c r="E20" s="29" t="inlineStr">
        <is>
          <t>S&amp;P 500</t>
        </is>
      </c>
      <c r="F20" s="30" t="n">
        <v>3.08</v>
      </c>
      <c r="G20" s="30" t="n">
        <v>4.25</v>
      </c>
      <c r="H20" s="30" t="n">
        <v>18.48</v>
      </c>
      <c r="I20" s="30" t="n">
        <v>30.38</v>
      </c>
      <c r="J20" s="30" t="n">
        <v>25.61050911448453</v>
      </c>
      <c r="K20" s="30" t="n">
        <v>102.13</v>
      </c>
      <c r="L20" s="24" t="n">
        <v>93</v>
      </c>
      <c r="M20" s="42" t="n">
        <v>50</v>
      </c>
      <c r="N20" s="35" t="n">
        <v>73.7</v>
      </c>
      <c r="O20" s="108">
        <f>COUNTIFS($E:$E,$E20,$L:$L,"&gt;"&amp;$L20)+1</f>
        <v/>
      </c>
      <c r="P20" s="108">
        <f>COUNTIFS($E:$E,$E20,$M:$M,"&gt;"&amp;$M20)+1</f>
        <v/>
      </c>
      <c r="Q20" s="108">
        <f>COUNTIFS($E:$E,$E20,$N:$N,"&gt;"&amp;$N20)+1</f>
        <v/>
      </c>
      <c r="R20" s="31" t="inlineStr">
        <is>
          <t>🔥 Hot</t>
        </is>
      </c>
      <c r="S20" s="31" t="inlineStr">
        <is>
          <t>➡️ Average</t>
        </is>
      </c>
      <c r="T20" s="31" t="inlineStr">
        <is>
          <t>📈 Momentum Play</t>
        </is>
      </c>
      <c r="U20" s="83" t="inlineStr">
        <is>
          <t>FULL</t>
        </is>
      </c>
    </row>
    <row r="21" ht="16" customHeight="1">
      <c r="A21" s="13" t="n">
        <v>17</v>
      </c>
      <c r="B21" s="14" t="inlineStr">
        <is>
          <t>HDFC Silver ETF - Growth Option</t>
        </is>
      </c>
      <c r="C21" s="14" t="inlineStr">
        <is>
          <t>HDFC Mutual Fund</t>
        </is>
      </c>
      <c r="D21" s="14" t="inlineStr">
        <is>
          <t>Other  Etfs</t>
        </is>
      </c>
      <c r="E21" s="14" t="inlineStr">
        <is>
          <t>Silver</t>
        </is>
      </c>
      <c r="F21" s="15" t="n">
        <v>8.06</v>
      </c>
      <c r="G21" s="16" t="n">
        <v>-12.88</v>
      </c>
      <c r="H21" s="16" t="n">
        <v>-1.76</v>
      </c>
      <c r="I21" s="15" t="n">
        <v>99.5</v>
      </c>
      <c r="J21" s="15" t="n">
        <v>66.62832892398578</v>
      </c>
      <c r="K21" s="15" t="n">
        <v>222.79</v>
      </c>
      <c r="L21" s="17" t="n">
        <v>64</v>
      </c>
      <c r="M21" s="25" t="n">
        <v>84.7</v>
      </c>
      <c r="N21" s="35" t="n">
        <v>73.3</v>
      </c>
      <c r="O21" s="108">
        <f>COUNTIFS($E:$E,$E21,$L:$L,"&gt;"&amp;$L21)+1</f>
        <v/>
      </c>
      <c r="P21" s="108">
        <f>COUNTIFS($E:$E,$E21,$M:$M,"&gt;"&amp;$M21)+1</f>
        <v/>
      </c>
      <c r="Q21" s="108">
        <f>COUNTIFS($E:$E,$E21,$N:$N,"&gt;"&amp;$N21)+1</f>
        <v/>
      </c>
      <c r="R21" s="20" t="inlineStr">
        <is>
          <t>📈 Good</t>
        </is>
      </c>
      <c r="S21" s="20" t="inlineStr">
        <is>
          <t>⭐ Strong</t>
        </is>
      </c>
      <c r="T21" s="20" t="inlineStr">
        <is>
          <t>🏛️ Quality Hold</t>
        </is>
      </c>
      <c r="U21" s="83" t="inlineStr">
        <is>
          <t>FULL</t>
        </is>
      </c>
    </row>
    <row r="22" ht="16" customHeight="1">
      <c r="A22" s="28" t="n">
        <v>18</v>
      </c>
      <c r="B22" s="29" t="inlineStr">
        <is>
          <t>DSP US Specific Equity Omni FoF - Regular Plan - Growth Option</t>
        </is>
      </c>
      <c r="C22" s="29" t="inlineStr">
        <is>
          <t>DSP Mutual Fund</t>
        </is>
      </c>
      <c r="D22" s="29" t="inlineStr">
        <is>
          <t>Fof Overseas</t>
        </is>
      </c>
      <c r="E22" s="29" t="inlineStr">
        <is>
          <t>Standard Equity/Debt</t>
        </is>
      </c>
      <c r="F22" s="30" t="n">
        <v>4.24</v>
      </c>
      <c r="G22" s="30" t="n">
        <v>2.49</v>
      </c>
      <c r="H22" s="30" t="n">
        <v>22.74</v>
      </c>
      <c r="I22" s="30" t="n">
        <v>41.26</v>
      </c>
      <c r="J22" s="30" t="n">
        <v>32.52924205623451</v>
      </c>
      <c r="K22" s="30" t="n">
        <v>111.76</v>
      </c>
      <c r="L22" s="17" t="n">
        <v>70.09999999999999</v>
      </c>
      <c r="M22" s="25" t="n">
        <v>76.2</v>
      </c>
      <c r="N22" s="35" t="n">
        <v>72.8</v>
      </c>
      <c r="O22" s="108">
        <f>COUNTIFS($E:$E,$E22,$L:$L,"&gt;"&amp;$L22)+1</f>
        <v/>
      </c>
      <c r="P22" s="108">
        <f>COUNTIFS($E:$E,$E22,$M:$M,"&gt;"&amp;$M22)+1</f>
        <v/>
      </c>
      <c r="Q22" s="108">
        <f>COUNTIFS($E:$E,$E22,$N:$N,"&gt;"&amp;$N22)+1</f>
        <v/>
      </c>
      <c r="R22" s="31" t="inlineStr">
        <is>
          <t>📈 Good</t>
        </is>
      </c>
      <c r="S22" s="31" t="inlineStr">
        <is>
          <t>⭐ Strong</t>
        </is>
      </c>
      <c r="T22" s="31" t="inlineStr">
        <is>
          <t>🏛️ Quality Hold</t>
        </is>
      </c>
      <c r="U22" s="83" t="inlineStr">
        <is>
          <t>FULL</t>
        </is>
      </c>
    </row>
    <row r="23" ht="16" customHeight="1">
      <c r="A23" s="13" t="n">
        <v>19</v>
      </c>
      <c r="B23" s="14" t="inlineStr">
        <is>
          <t>DSP Global Innovation Overseas Equity Omni FoF - Regular - Growth</t>
        </is>
      </c>
      <c r="C23" s="14" t="inlineStr">
        <is>
          <t>DSP Mutual Fund</t>
        </is>
      </c>
      <c r="D23" s="14" t="inlineStr">
        <is>
          <t>Fof Overseas</t>
        </is>
      </c>
      <c r="E23" s="14" t="inlineStr">
        <is>
          <t>International</t>
        </is>
      </c>
      <c r="F23" s="15" t="n">
        <v>4.92</v>
      </c>
      <c r="G23" s="15" t="n">
        <v>8.02</v>
      </c>
      <c r="H23" s="15" t="n">
        <v>21.17</v>
      </c>
      <c r="I23" s="15" t="n">
        <v>31.73</v>
      </c>
      <c r="J23" s="15" t="n">
        <v>27.71061036577971</v>
      </c>
      <c r="K23" s="15" t="n">
        <v>114.68</v>
      </c>
      <c r="L23" s="24" t="n">
        <v>79.2</v>
      </c>
      <c r="M23" s="42" t="n">
        <v>64.09999999999999</v>
      </c>
      <c r="N23" s="35" t="n">
        <v>72.40000000000001</v>
      </c>
      <c r="O23" s="108">
        <f>COUNTIFS($E:$E,$E23,$L:$L,"&gt;"&amp;$L23)+1</f>
        <v/>
      </c>
      <c r="P23" s="108">
        <f>COUNTIFS($E:$E,$E23,$M:$M,"&gt;"&amp;$M23)+1</f>
        <v/>
      </c>
      <c r="Q23" s="108">
        <f>COUNTIFS($E:$E,$E23,$N:$N,"&gt;"&amp;$N23)+1</f>
        <v/>
      </c>
      <c r="R23" s="20" t="inlineStr">
        <is>
          <t>⭐ Strong</t>
        </is>
      </c>
      <c r="S23" s="20" t="inlineStr">
        <is>
          <t>🏛️ Solid</t>
        </is>
      </c>
      <c r="T23" s="20" t="inlineStr">
        <is>
          <t>📈 Momentum Play</t>
        </is>
      </c>
      <c r="U23" s="83" t="inlineStr">
        <is>
          <t>FULL</t>
        </is>
      </c>
    </row>
    <row r="24" ht="16" customHeight="1">
      <c r="A24" s="28" t="n">
        <v>20</v>
      </c>
      <c r="B24" s="29" t="inlineStr">
        <is>
          <t>Mirae Asset Silver ETF</t>
        </is>
      </c>
      <c r="C24" s="29" t="inlineStr">
        <is>
          <t>Mirae Asset Mutual Fund</t>
        </is>
      </c>
      <c r="D24" s="29" t="inlineStr">
        <is>
          <t>Other  Etfs</t>
        </is>
      </c>
      <c r="E24" s="29" t="inlineStr">
        <is>
          <t>Silver</t>
        </is>
      </c>
      <c r="F24" s="30" t="n">
        <v>8.09</v>
      </c>
      <c r="G24" s="91" t="n">
        <v>-12.83</v>
      </c>
      <c r="H24" s="91" t="n">
        <v>-1.63</v>
      </c>
      <c r="I24" s="30" t="n">
        <v>99.95</v>
      </c>
      <c r="J24" s="30" t="n">
        <v>66.79028748701168</v>
      </c>
      <c r="K24" s="30" t="n">
        <v>219.24</v>
      </c>
      <c r="L24" s="17" t="n">
        <v>65.40000000000001</v>
      </c>
      <c r="M24" s="25" t="n">
        <v>78.40000000000001</v>
      </c>
      <c r="N24" s="35" t="n">
        <v>71.2</v>
      </c>
      <c r="O24" s="108">
        <f>COUNTIFS($E:$E,$E24,$L:$L,"&gt;"&amp;$L24)+1</f>
        <v/>
      </c>
      <c r="P24" s="108">
        <f>COUNTIFS($E:$E,$E24,$M:$M,"&gt;"&amp;$M24)+1</f>
        <v/>
      </c>
      <c r="Q24" s="108">
        <f>COUNTIFS($E:$E,$E24,$N:$N,"&gt;"&amp;$N24)+1</f>
        <v/>
      </c>
      <c r="R24" s="31" t="inlineStr">
        <is>
          <t>📈 Good</t>
        </is>
      </c>
      <c r="S24" s="31" t="inlineStr">
        <is>
          <t>⭐ Strong</t>
        </is>
      </c>
      <c r="T24" s="31" t="inlineStr">
        <is>
          <t>🏛️ Quality Hold</t>
        </is>
      </c>
      <c r="U24" s="83" t="inlineStr">
        <is>
          <t>FULL</t>
        </is>
      </c>
    </row>
    <row r="25" ht="16" customHeight="1">
      <c r="A25" s="13" t="n">
        <v>21</v>
      </c>
      <c r="B25" s="14" t="inlineStr">
        <is>
          <t>UTI Silver ETF Fund of Fund - Regular Plan - Growth Option</t>
        </is>
      </c>
      <c r="C25" s="14" t="inlineStr">
        <is>
          <t>UTI Mutual Fund</t>
        </is>
      </c>
      <c r="D25" s="14" t="inlineStr">
        <is>
          <t>Fof Domestic</t>
        </is>
      </c>
      <c r="E25" s="14" t="inlineStr">
        <is>
          <t>Silver</t>
        </is>
      </c>
      <c r="F25" s="15" t="n">
        <v>8.06</v>
      </c>
      <c r="G25" s="16" t="n">
        <v>-12.55</v>
      </c>
      <c r="H25" s="16" t="n">
        <v>-0.96</v>
      </c>
      <c r="I25" s="15" t="n">
        <v>97.72</v>
      </c>
      <c r="J25" s="15" t="n">
        <v>65.00303027520434</v>
      </c>
      <c r="K25" s="15" t="n">
        <v>213.16</v>
      </c>
      <c r="L25" s="37" t="n">
        <v>48.5</v>
      </c>
      <c r="M25" s="25" t="n">
        <v>97.8</v>
      </c>
      <c r="N25" s="35" t="n">
        <v>70.7</v>
      </c>
      <c r="O25" s="108">
        <f>COUNTIFS($E:$E,$E25,$L:$L,"&gt;"&amp;$L25)+1</f>
        <v/>
      </c>
      <c r="P25" s="108">
        <f>COUNTIFS($E:$E,$E25,$M:$M,"&gt;"&amp;$M25)+1</f>
        <v/>
      </c>
      <c r="Q25" s="108">
        <f>COUNTIFS($E:$E,$E25,$N:$N,"&gt;"&amp;$N25)+1</f>
        <v/>
      </c>
      <c r="R25" s="20" t="inlineStr">
        <is>
          <t>➡️ Neutral</t>
        </is>
      </c>
      <c r="S25" s="20" t="inlineStr">
        <is>
          <t>🏆 Elite</t>
        </is>
      </c>
      <c r="T25" s="20" t="inlineStr">
        <is>
          <t>🏛️ Quality Hold</t>
        </is>
      </c>
      <c r="U25" s="83" t="inlineStr">
        <is>
          <t>FULL</t>
        </is>
      </c>
    </row>
    <row r="26" ht="16" customHeight="1">
      <c r="A26" s="28" t="n">
        <v>22</v>
      </c>
      <c r="B26" s="29" t="inlineStr">
        <is>
          <t>Edelweiss US Technology Equity Fund of Fund- Regular Plan- Growth</t>
        </is>
      </c>
      <c r="C26" s="29" t="inlineStr">
        <is>
          <t>Edelweiss Mutual Fund</t>
        </is>
      </c>
      <c r="D26" s="29" t="inlineStr">
        <is>
          <t>Fof Overseas</t>
        </is>
      </c>
      <c r="E26" s="29" t="inlineStr">
        <is>
          <t>Technology</t>
        </is>
      </c>
      <c r="F26" s="30" t="n">
        <v>5.76</v>
      </c>
      <c r="G26" s="30" t="n">
        <v>2.9</v>
      </c>
      <c r="H26" s="30" t="n">
        <v>27.78</v>
      </c>
      <c r="I26" s="30" t="n">
        <v>30.92</v>
      </c>
      <c r="J26" s="30" t="n">
        <v>31.21356637177424</v>
      </c>
      <c r="K26" s="30" t="n">
        <v>129.92</v>
      </c>
      <c r="L26" s="17" t="n">
        <v>72.2</v>
      </c>
      <c r="M26" s="42" t="n">
        <v>68.2</v>
      </c>
      <c r="N26" s="35" t="n">
        <v>70.40000000000001</v>
      </c>
      <c r="O26" s="108">
        <f>COUNTIFS($E:$E,$E26,$L:$L,"&gt;"&amp;$L26)+1</f>
        <v/>
      </c>
      <c r="P26" s="108">
        <f>COUNTIFS($E:$E,$E26,$M:$M,"&gt;"&amp;$M26)+1</f>
        <v/>
      </c>
      <c r="Q26" s="108">
        <f>COUNTIFS($E:$E,$E26,$N:$N,"&gt;"&amp;$N26)+1</f>
        <v/>
      </c>
      <c r="R26" s="31" t="inlineStr">
        <is>
          <t>📈 Good</t>
        </is>
      </c>
      <c r="S26" s="31" t="inlineStr">
        <is>
          <t>🏛️ Solid</t>
        </is>
      </c>
      <c r="T26" s="31" t="inlineStr">
        <is>
          <t>📈 Momentum Play</t>
        </is>
      </c>
      <c r="U26" s="83" t="inlineStr">
        <is>
          <t>FULL</t>
        </is>
      </c>
    </row>
    <row r="27" ht="16" customHeight="1">
      <c r="A27" s="13" t="n">
        <v>23</v>
      </c>
      <c r="B27" s="14" t="inlineStr">
        <is>
          <t>Axis Global Innovation Fund of Fund - Regular Plan - Growth</t>
        </is>
      </c>
      <c r="C27" s="14" t="inlineStr">
        <is>
          <t>Axis Mutual Fund</t>
        </is>
      </c>
      <c r="D27" s="14" t="inlineStr">
        <is>
          <t>Fof Overseas</t>
        </is>
      </c>
      <c r="E27" s="14" t="inlineStr">
        <is>
          <t>International</t>
        </is>
      </c>
      <c r="F27" s="15" t="n">
        <v>8.23</v>
      </c>
      <c r="G27" s="15" t="n">
        <v>7.76</v>
      </c>
      <c r="H27" s="15" t="n">
        <v>26.56</v>
      </c>
      <c r="I27" s="15" t="n">
        <v>31.36</v>
      </c>
      <c r="J27" s="15" t="n">
        <v>25.43524225671188</v>
      </c>
      <c r="K27" s="15" t="n">
        <v>104.46</v>
      </c>
      <c r="L27" s="24" t="n">
        <v>83.2</v>
      </c>
      <c r="M27" s="42" t="n">
        <v>54.2</v>
      </c>
      <c r="N27" s="35" t="n">
        <v>70.2</v>
      </c>
      <c r="O27" s="108">
        <f>COUNTIFS($E:$E,$E27,$L:$L,"&gt;"&amp;$L27)+1</f>
        <v/>
      </c>
      <c r="P27" s="108">
        <f>COUNTIFS($E:$E,$E27,$M:$M,"&gt;"&amp;$M27)+1</f>
        <v/>
      </c>
      <c r="Q27" s="108">
        <f>COUNTIFS($E:$E,$E27,$N:$N,"&gt;"&amp;$N27)+1</f>
        <v/>
      </c>
      <c r="R27" s="20" t="inlineStr">
        <is>
          <t>⭐ Strong</t>
        </is>
      </c>
      <c r="S27" s="20" t="inlineStr">
        <is>
          <t>➡️ Average</t>
        </is>
      </c>
      <c r="T27" s="20" t="inlineStr">
        <is>
          <t>📈 Momentum Play</t>
        </is>
      </c>
      <c r="U27" s="83" t="inlineStr">
        <is>
          <t>FULL</t>
        </is>
      </c>
    </row>
    <row r="28" ht="16" customHeight="1">
      <c r="A28" s="28" t="n">
        <v>24</v>
      </c>
      <c r="B28" s="29" t="inlineStr">
        <is>
          <t>Kotak Global Innovation Overseas Equity Omni FOF - Regular Plan-Growth</t>
        </is>
      </c>
      <c r="C28" s="29" t="inlineStr">
        <is>
          <t>Kotak Mahindra Mutual Fund</t>
        </is>
      </c>
      <c r="D28" s="29" t="inlineStr">
        <is>
          <t>Fof Overseas</t>
        </is>
      </c>
      <c r="E28" s="29" t="inlineStr">
        <is>
          <t>International</t>
        </is>
      </c>
      <c r="F28" s="30" t="n">
        <v>6.97</v>
      </c>
      <c r="G28" s="30" t="n">
        <v>7.83</v>
      </c>
      <c r="H28" s="30" t="n">
        <v>22.55</v>
      </c>
      <c r="I28" s="30" t="n">
        <v>35.2</v>
      </c>
      <c r="J28" s="30" t="n">
        <v>24.75175349469041</v>
      </c>
      <c r="K28" s="30" t="n">
        <v>94.03</v>
      </c>
      <c r="L28" s="24" t="n">
        <v>85.8</v>
      </c>
      <c r="M28" s="18" t="n">
        <v>49.7</v>
      </c>
      <c r="N28" s="35" t="n">
        <v>69.59999999999999</v>
      </c>
      <c r="O28" s="108">
        <f>COUNTIFS($E:$E,$E28,$L:$L,"&gt;"&amp;$L28)+1</f>
        <v/>
      </c>
      <c r="P28" s="108">
        <f>COUNTIFS($E:$E,$E28,$M:$M,"&gt;"&amp;$M28)+1</f>
        <v/>
      </c>
      <c r="Q28" s="108">
        <f>COUNTIFS($E:$E,$E28,$N:$N,"&gt;"&amp;$N28)+1</f>
        <v/>
      </c>
      <c r="R28" s="31" t="inlineStr">
        <is>
          <t>⭐ Strong</t>
        </is>
      </c>
      <c r="S28" s="31" t="inlineStr">
        <is>
          <t>➡️ Average</t>
        </is>
      </c>
      <c r="T28" s="31" t="inlineStr">
        <is>
          <t>📈 Momentum Play</t>
        </is>
      </c>
      <c r="U28" s="83" t="inlineStr">
        <is>
          <t>FULL</t>
        </is>
      </c>
    </row>
    <row r="29" ht="16" customHeight="1">
      <c r="A29" s="13" t="n">
        <v>25</v>
      </c>
      <c r="B29" s="14" t="inlineStr">
        <is>
          <t>Motilal Oswal Nasdaq 100 ETF (MOFN100)</t>
        </is>
      </c>
      <c r="C29" s="14" t="inlineStr">
        <is>
          <t>Motilal Oswal Mutual Fund</t>
        </is>
      </c>
      <c r="D29" s="14" t="inlineStr">
        <is>
          <t>Other  Etfs</t>
        </is>
      </c>
      <c r="E29" s="14" t="inlineStr">
        <is>
          <t>NASDAQ</t>
        </is>
      </c>
      <c r="F29" s="15" t="n">
        <v>4.21</v>
      </c>
      <c r="G29" s="15" t="n">
        <v>3.27</v>
      </c>
      <c r="H29" s="15" t="n">
        <v>27.19</v>
      </c>
      <c r="I29" s="15" t="n">
        <v>37.59</v>
      </c>
      <c r="J29" s="15" t="n">
        <v>32.39712987825681</v>
      </c>
      <c r="K29" s="15" t="n">
        <v>135.06</v>
      </c>
      <c r="L29" s="24" t="n">
        <v>85.09999999999999</v>
      </c>
      <c r="M29" s="42" t="n">
        <v>50</v>
      </c>
      <c r="N29" s="35" t="n">
        <v>69.3</v>
      </c>
      <c r="O29" s="108">
        <f>COUNTIFS($E:$E,$E29,$L:$L,"&gt;"&amp;$L29)+1</f>
        <v/>
      </c>
      <c r="P29" s="108">
        <f>COUNTIFS($E:$E,$E29,$M:$M,"&gt;"&amp;$M29)+1</f>
        <v/>
      </c>
      <c r="Q29" s="108">
        <f>COUNTIFS($E:$E,$E29,$N:$N,"&gt;"&amp;$N29)+1</f>
        <v/>
      </c>
      <c r="R29" s="20" t="inlineStr">
        <is>
          <t>⭐ Strong</t>
        </is>
      </c>
      <c r="S29" s="20" t="inlineStr">
        <is>
          <t>➡️ Average</t>
        </is>
      </c>
      <c r="T29" s="20" t="inlineStr">
        <is>
          <t>📈 Momentum Play</t>
        </is>
      </c>
      <c r="U29" s="83" t="inlineStr">
        <is>
          <t>FULL</t>
        </is>
      </c>
    </row>
    <row r="30" ht="16" customHeight="1">
      <c r="A30" s="28" t="n">
        <v>26</v>
      </c>
      <c r="B30" s="29" t="inlineStr">
        <is>
          <t>Kotak Global Emerging Market Overseas Equity Omni FOF - Payout of Income Distribution cum capital withdrawal option</t>
        </is>
      </c>
      <c r="C30" s="29" t="inlineStr">
        <is>
          <t>Kotak Mahindra Mutual Fund</t>
        </is>
      </c>
      <c r="D30" s="29" t="inlineStr">
        <is>
          <t>Fof Overseas</t>
        </is>
      </c>
      <c r="E30" s="29" t="inlineStr">
        <is>
          <t>International</t>
        </is>
      </c>
      <c r="F30" s="30" t="n">
        <v>5.45</v>
      </c>
      <c r="G30" s="30" t="n">
        <v>3.18</v>
      </c>
      <c r="H30" s="30" t="n">
        <v>15.91</v>
      </c>
      <c r="I30" s="30" t="n">
        <v>47.97</v>
      </c>
      <c r="J30" s="30" t="n">
        <v>32.79683731173721</v>
      </c>
      <c r="K30" s="30" t="n">
        <v>102.83</v>
      </c>
      <c r="L30" s="17" t="n">
        <v>69.5</v>
      </c>
      <c r="M30" s="42" t="n">
        <v>68.3</v>
      </c>
      <c r="N30" s="35" t="n">
        <v>69</v>
      </c>
      <c r="O30" s="108">
        <f>COUNTIFS($E:$E,$E30,$L:$L,"&gt;"&amp;$L30)+1</f>
        <v/>
      </c>
      <c r="P30" s="108">
        <f>COUNTIFS($E:$E,$E30,$M:$M,"&gt;"&amp;$M30)+1</f>
        <v/>
      </c>
      <c r="Q30" s="108">
        <f>COUNTIFS($E:$E,$E30,$N:$N,"&gt;"&amp;$N30)+1</f>
        <v/>
      </c>
      <c r="R30" s="31" t="inlineStr">
        <is>
          <t>📈 Good</t>
        </is>
      </c>
      <c r="S30" s="31" t="inlineStr">
        <is>
          <t>🏛️ Solid</t>
        </is>
      </c>
      <c r="T30" s="31" t="inlineStr">
        <is>
          <t>📈 Momentum Play</t>
        </is>
      </c>
      <c r="U30" s="83" t="inlineStr">
        <is>
          <t>FULL</t>
        </is>
      </c>
    </row>
    <row r="31" ht="16" customHeight="1">
      <c r="A31" s="13" t="n">
        <v>27</v>
      </c>
      <c r="B31" s="14" t="inlineStr">
        <is>
          <t>Kotak Global Emerging Market Overseas Equity Omni FOF- Growth</t>
        </is>
      </c>
      <c r="C31" s="14" t="inlineStr">
        <is>
          <t>Kotak Mahindra Mutual Fund</t>
        </is>
      </c>
      <c r="D31" s="14" t="inlineStr">
        <is>
          <t>Fof Overseas</t>
        </is>
      </c>
      <c r="E31" s="14" t="inlineStr">
        <is>
          <t>International</t>
        </is>
      </c>
      <c r="F31" s="15" t="n">
        <v>5.45</v>
      </c>
      <c r="G31" s="15" t="n">
        <v>3.18</v>
      </c>
      <c r="H31" s="15" t="n">
        <v>15.91</v>
      </c>
      <c r="I31" s="15" t="n">
        <v>47.97</v>
      </c>
      <c r="J31" s="15" t="n">
        <v>32.79683731173721</v>
      </c>
      <c r="K31" s="15" t="n">
        <v>102.83</v>
      </c>
      <c r="L31" s="17" t="n">
        <v>69.5</v>
      </c>
      <c r="M31" s="42" t="n">
        <v>68.3</v>
      </c>
      <c r="N31" s="35" t="n">
        <v>69</v>
      </c>
      <c r="O31" s="108">
        <f>COUNTIFS($E:$E,$E31,$L:$L,"&gt;"&amp;$L31)+1</f>
        <v/>
      </c>
      <c r="P31" s="108">
        <f>COUNTIFS($E:$E,$E31,$M:$M,"&gt;"&amp;$M31)+1</f>
        <v/>
      </c>
      <c r="Q31" s="108">
        <f>COUNTIFS($E:$E,$E31,$N:$N,"&gt;"&amp;$N31)+1</f>
        <v/>
      </c>
      <c r="R31" s="20" t="inlineStr">
        <is>
          <t>📈 Good</t>
        </is>
      </c>
      <c r="S31" s="20" t="inlineStr">
        <is>
          <t>🏛️ Solid</t>
        </is>
      </c>
      <c r="T31" s="20" t="inlineStr">
        <is>
          <t>📈 Momentum Play</t>
        </is>
      </c>
      <c r="U31" s="83" t="inlineStr">
        <is>
          <t>FULL</t>
        </is>
      </c>
    </row>
    <row r="32" ht="16" customHeight="1">
      <c r="A32" s="28" t="n">
        <v>28</v>
      </c>
      <c r="B32" s="29" t="inlineStr">
        <is>
          <t>ICICI Prudential Gold ETF</t>
        </is>
      </c>
      <c r="C32" s="29" t="inlineStr">
        <is>
          <t>ICICI Prudential Mutual Fund</t>
        </is>
      </c>
      <c r="D32" s="29" t="inlineStr">
        <is>
          <t>Gold Etf</t>
        </is>
      </c>
      <c r="E32" s="29" t="inlineStr">
        <is>
          <t>Gold</t>
        </is>
      </c>
      <c r="F32" s="30" t="n">
        <v>8.99</v>
      </c>
      <c r="G32" s="91" t="n">
        <v>-3.13</v>
      </c>
      <c r="H32" s="30" t="n">
        <v>1.32</v>
      </c>
      <c r="I32" s="30" t="n">
        <v>52.43</v>
      </c>
      <c r="J32" s="30" t="n">
        <v>46.2805523642839</v>
      </c>
      <c r="K32" s="30" t="n">
        <v>156.05</v>
      </c>
      <c r="L32" s="17" t="n">
        <v>65.59999999999999</v>
      </c>
      <c r="M32" s="42" t="n">
        <v>72.8</v>
      </c>
      <c r="N32" s="35" t="n">
        <v>68.8</v>
      </c>
      <c r="O32" s="108">
        <f>COUNTIFS($E:$E,$E32,$L:$L,"&gt;"&amp;$L32)+1</f>
        <v/>
      </c>
      <c r="P32" s="108">
        <f>COUNTIFS($E:$E,$E32,$M:$M,"&gt;"&amp;$M32)+1</f>
        <v/>
      </c>
      <c r="Q32" s="108">
        <f>COUNTIFS($E:$E,$E32,$N:$N,"&gt;"&amp;$N32)+1</f>
        <v/>
      </c>
      <c r="R32" s="31" t="inlineStr">
        <is>
          <t>📈 Good</t>
        </is>
      </c>
      <c r="S32" s="31" t="inlineStr">
        <is>
          <t>🏛️ Solid</t>
        </is>
      </c>
      <c r="T32" s="31" t="inlineStr">
        <is>
          <t>🏛️ Quality Hold</t>
        </is>
      </c>
      <c r="U32" s="83" t="inlineStr">
        <is>
          <t>FULL</t>
        </is>
      </c>
    </row>
    <row r="33" ht="16" customHeight="1">
      <c r="A33" s="13" t="n">
        <v>29</v>
      </c>
      <c r="B33" s="14" t="inlineStr">
        <is>
          <t>Motilal Oswal Nasdaq 100 Fund of Fund- Regular Plan Growth</t>
        </is>
      </c>
      <c r="C33" s="14" t="inlineStr">
        <is>
          <t>Motilal Oswal Mutual Fund</t>
        </is>
      </c>
      <c r="D33" s="14" t="inlineStr">
        <is>
          <t>Fof Domestic</t>
        </is>
      </c>
      <c r="E33" s="14" t="inlineStr">
        <is>
          <t>NASDAQ</t>
        </is>
      </c>
      <c r="F33" s="15" t="n">
        <v>0.99</v>
      </c>
      <c r="G33" s="15" t="n">
        <v>2.65</v>
      </c>
      <c r="H33" s="15" t="n">
        <v>47.22</v>
      </c>
      <c r="I33" s="15" t="n">
        <v>63.25</v>
      </c>
      <c r="J33" s="15" t="n">
        <v>43.96527359054336</v>
      </c>
      <c r="K33" s="15" t="n">
        <v>176.58</v>
      </c>
      <c r="L33" s="24" t="n">
        <v>77.40000000000001</v>
      </c>
      <c r="M33" s="42" t="n">
        <v>57.6</v>
      </c>
      <c r="N33" s="35" t="n">
        <v>68.5</v>
      </c>
      <c r="O33" s="108">
        <f>COUNTIFS($E:$E,$E33,$L:$L,"&gt;"&amp;$L33)+1</f>
        <v/>
      </c>
      <c r="P33" s="108">
        <f>COUNTIFS($E:$E,$E33,$M:$M,"&gt;"&amp;$M33)+1</f>
        <v/>
      </c>
      <c r="Q33" s="108">
        <f>COUNTIFS($E:$E,$E33,$N:$N,"&gt;"&amp;$N33)+1</f>
        <v/>
      </c>
      <c r="R33" s="20" t="inlineStr">
        <is>
          <t>⭐ Strong</t>
        </is>
      </c>
      <c r="S33" s="20" t="inlineStr">
        <is>
          <t>➡️ Average</t>
        </is>
      </c>
      <c r="T33" s="20" t="inlineStr">
        <is>
          <t>📈 Momentum Play</t>
        </is>
      </c>
      <c r="U33" s="83" t="inlineStr">
        <is>
          <t>FULL</t>
        </is>
      </c>
    </row>
    <row r="34" ht="16" customHeight="1">
      <c r="A34" s="28" t="n">
        <v>30</v>
      </c>
      <c r="B34" s="29" t="inlineStr">
        <is>
          <t>Kotak Silver ETF Fund of Fund - Regular Plan - Growth Option</t>
        </is>
      </c>
      <c r="C34" s="29" t="inlineStr">
        <is>
          <t>Kotak Mahindra Mutual Fund</t>
        </is>
      </c>
      <c r="D34" s="29" t="inlineStr">
        <is>
          <t>Fof Domestic</t>
        </is>
      </c>
      <c r="E34" s="29" t="inlineStr">
        <is>
          <t>Silver</t>
        </is>
      </c>
      <c r="F34" s="30" t="n">
        <v>7.95</v>
      </c>
      <c r="G34" s="91" t="n">
        <v>-12.43</v>
      </c>
      <c r="H34" s="91" t="n">
        <v>-0.99</v>
      </c>
      <c r="I34" s="30" t="n">
        <v>98.55</v>
      </c>
      <c r="J34" s="30" t="n">
        <v>65.23014252853503</v>
      </c>
      <c r="K34" s="30" t="n">
        <v>209.48</v>
      </c>
      <c r="L34" s="37" t="n">
        <v>48.9</v>
      </c>
      <c r="M34" s="25" t="n">
        <v>91</v>
      </c>
      <c r="N34" s="35" t="n">
        <v>67.90000000000001</v>
      </c>
      <c r="O34" s="108">
        <f>COUNTIFS($E:$E,$E34,$L:$L,"&gt;"&amp;$L34)+1</f>
        <v/>
      </c>
      <c r="P34" s="108">
        <f>COUNTIFS($E:$E,$E34,$M:$M,"&gt;"&amp;$M34)+1</f>
        <v/>
      </c>
      <c r="Q34" s="108">
        <f>COUNTIFS($E:$E,$E34,$N:$N,"&gt;"&amp;$N34)+1</f>
        <v/>
      </c>
      <c r="R34" s="31" t="inlineStr">
        <is>
          <t>➡️ Neutral</t>
        </is>
      </c>
      <c r="S34" s="31" t="inlineStr">
        <is>
          <t>🏆 Elite</t>
        </is>
      </c>
      <c r="T34" s="31" t="inlineStr">
        <is>
          <t>🏛️ Quality Hold</t>
        </is>
      </c>
      <c r="U34" s="83" t="inlineStr">
        <is>
          <t>FULL</t>
        </is>
      </c>
    </row>
    <row r="35" ht="16" customHeight="1">
      <c r="A35" s="13" t="n">
        <v>31</v>
      </c>
      <c r="B35" s="14" t="inlineStr">
        <is>
          <t>ICICI Prudential Silver ETF FOF - Growth</t>
        </is>
      </c>
      <c r="C35" s="14" t="inlineStr">
        <is>
          <t>ICICI Prudential Mutual Fund</t>
        </is>
      </c>
      <c r="D35" s="14" t="inlineStr">
        <is>
          <t>Fof Domestic</t>
        </is>
      </c>
      <c r="E35" s="14" t="inlineStr">
        <is>
          <t>Silver</t>
        </is>
      </c>
      <c r="F35" s="15" t="n">
        <v>8.140000000000001</v>
      </c>
      <c r="G35" s="16" t="n">
        <v>-12.57</v>
      </c>
      <c r="H35" s="16" t="n">
        <v>-0.88</v>
      </c>
      <c r="I35" s="15" t="n">
        <v>97.2</v>
      </c>
      <c r="J35" s="15" t="n">
        <v>64.68758301705688</v>
      </c>
      <c r="K35" s="15" t="n">
        <v>210.94</v>
      </c>
      <c r="L35" s="37" t="n">
        <v>48.4</v>
      </c>
      <c r="M35" s="25" t="n">
        <v>89.59999999999999</v>
      </c>
      <c r="N35" s="35" t="n">
        <v>66.90000000000001</v>
      </c>
      <c r="O35" s="108">
        <f>COUNTIFS($E:$E,$E35,$L:$L,"&gt;"&amp;$L35)+1</f>
        <v/>
      </c>
      <c r="P35" s="108">
        <f>COUNTIFS($E:$E,$E35,$M:$M,"&gt;"&amp;$M35)+1</f>
        <v/>
      </c>
      <c r="Q35" s="108">
        <f>COUNTIFS($E:$E,$E35,$N:$N,"&gt;"&amp;$N35)+1</f>
        <v/>
      </c>
      <c r="R35" s="20" t="inlineStr">
        <is>
          <t>➡️ Neutral</t>
        </is>
      </c>
      <c r="S35" s="20" t="inlineStr">
        <is>
          <t>⭐ Strong</t>
        </is>
      </c>
      <c r="T35" s="20" t="inlineStr">
        <is>
          <t>🏛️ Quality Hold</t>
        </is>
      </c>
      <c r="U35" s="83" t="inlineStr">
        <is>
          <t>FULL</t>
        </is>
      </c>
    </row>
    <row r="36" ht="16" customHeight="1">
      <c r="A36" s="28" t="n">
        <v>32</v>
      </c>
      <c r="B36" s="29" t="inlineStr">
        <is>
          <t>Axis Silver Fund of Fund -Regular Plan- Growth Option</t>
        </is>
      </c>
      <c r="C36" s="29" t="inlineStr">
        <is>
          <t>Axis Mutual Fund</t>
        </is>
      </c>
      <c r="D36" s="29" t="inlineStr">
        <is>
          <t>Fof Domestic</t>
        </is>
      </c>
      <c r="E36" s="29" t="inlineStr">
        <is>
          <t>Silver</t>
        </is>
      </c>
      <c r="F36" s="30" t="n">
        <v>7.94</v>
      </c>
      <c r="G36" s="91" t="n">
        <v>-12.45</v>
      </c>
      <c r="H36" s="91" t="n">
        <v>-0.84</v>
      </c>
      <c r="I36" s="30" t="n">
        <v>97.56</v>
      </c>
      <c r="J36" s="30" t="n">
        <v>64.42323436789583</v>
      </c>
      <c r="K36" s="30" t="n">
        <v>210.68</v>
      </c>
      <c r="L36" s="37" t="n">
        <v>48.9</v>
      </c>
      <c r="M36" s="25" t="n">
        <v>88.40000000000001</v>
      </c>
      <c r="N36" s="35" t="n">
        <v>66.7</v>
      </c>
      <c r="O36" s="108">
        <f>COUNTIFS($E:$E,$E36,$L:$L,"&gt;"&amp;$L36)+1</f>
        <v/>
      </c>
      <c r="P36" s="108">
        <f>COUNTIFS($E:$E,$E36,$M:$M,"&gt;"&amp;$M36)+1</f>
        <v/>
      </c>
      <c r="Q36" s="108">
        <f>COUNTIFS($E:$E,$E36,$N:$N,"&gt;"&amp;$N36)+1</f>
        <v/>
      </c>
      <c r="R36" s="31" t="inlineStr">
        <is>
          <t>➡️ Neutral</t>
        </is>
      </c>
      <c r="S36" s="31" t="inlineStr">
        <is>
          <t>⭐ Strong</t>
        </is>
      </c>
      <c r="T36" s="31" t="inlineStr">
        <is>
          <t>🏛️ Quality Hold</t>
        </is>
      </c>
      <c r="U36" s="83" t="inlineStr">
        <is>
          <t>FULL</t>
        </is>
      </c>
    </row>
    <row r="37" ht="16" customHeight="1">
      <c r="A37" s="13" t="n">
        <v>33</v>
      </c>
      <c r="B37" s="14" t="inlineStr">
        <is>
          <t>Nippon India Silver ETF</t>
        </is>
      </c>
      <c r="C37" s="14" t="inlineStr">
        <is>
          <t>Nippon India Mutual Fund</t>
        </is>
      </c>
      <c r="D37" s="14" t="inlineStr">
        <is>
          <t>Other  Etfs</t>
        </is>
      </c>
      <c r="E37" s="14" t="inlineStr">
        <is>
          <t>Silver</t>
        </is>
      </c>
      <c r="F37" s="15" t="n">
        <v>8.119999999999999</v>
      </c>
      <c r="G37" s="16" t="n">
        <v>-12.91</v>
      </c>
      <c r="H37" s="16" t="n">
        <v>-1.72</v>
      </c>
      <c r="I37" s="15" t="n">
        <v>99.81999999999999</v>
      </c>
      <c r="J37" s="15" t="n">
        <v>66.55329477377505</v>
      </c>
      <c r="K37" s="15" t="n">
        <v>218.12</v>
      </c>
      <c r="L37" s="17" t="n">
        <v>64.90000000000001</v>
      </c>
      <c r="M37" s="42" t="n">
        <v>68.40000000000001</v>
      </c>
      <c r="N37" s="35" t="n">
        <v>66.5</v>
      </c>
      <c r="O37" s="108">
        <f>COUNTIFS($E:$E,$E37,$L:$L,"&gt;"&amp;$L37)+1</f>
        <v/>
      </c>
      <c r="P37" s="108">
        <f>COUNTIFS($E:$E,$E37,$M:$M,"&gt;"&amp;$M37)+1</f>
        <v/>
      </c>
      <c r="Q37" s="108">
        <f>COUNTIFS($E:$E,$E37,$N:$N,"&gt;"&amp;$N37)+1</f>
        <v/>
      </c>
      <c r="R37" s="20" t="inlineStr">
        <is>
          <t>📈 Good</t>
        </is>
      </c>
      <c r="S37" s="20" t="inlineStr">
        <is>
          <t>🏛️ Solid</t>
        </is>
      </c>
      <c r="T37" s="20" t="inlineStr">
        <is>
          <t>🏛️ Quality Hold</t>
        </is>
      </c>
      <c r="U37" s="83" t="inlineStr">
        <is>
          <t>FULL</t>
        </is>
      </c>
    </row>
    <row r="38" ht="16" customHeight="1">
      <c r="A38" s="28" t="n">
        <v>34</v>
      </c>
      <c r="B38" s="29" t="inlineStr">
        <is>
          <t>Edelweiss Greater China Equity Off-shore Fund - Regular Plan - Growth Option</t>
        </is>
      </c>
      <c r="C38" s="29" t="inlineStr">
        <is>
          <t>Edelweiss Mutual Fund</t>
        </is>
      </c>
      <c r="D38" s="29" t="inlineStr">
        <is>
          <t>Fof Overseas</t>
        </is>
      </c>
      <c r="E38" s="29" t="inlineStr">
        <is>
          <t>International</t>
        </is>
      </c>
      <c r="F38" s="30" t="n">
        <v>6.93</v>
      </c>
      <c r="G38" s="30" t="n">
        <v>1</v>
      </c>
      <c r="H38" s="30" t="n">
        <v>18.19</v>
      </c>
      <c r="I38" s="30" t="n">
        <v>40.19</v>
      </c>
      <c r="J38" s="30" t="n">
        <v>39.62449641807129</v>
      </c>
      <c r="K38" s="30" t="n">
        <v>91.09999999999999</v>
      </c>
      <c r="L38" s="17" t="n">
        <v>67.40000000000001</v>
      </c>
      <c r="M38" s="42" t="n">
        <v>65.09999999999999</v>
      </c>
      <c r="N38" s="35" t="n">
        <v>66.40000000000001</v>
      </c>
      <c r="O38" s="108">
        <f>COUNTIFS($E:$E,$E38,$L:$L,"&gt;"&amp;$L38)+1</f>
        <v/>
      </c>
      <c r="P38" s="108">
        <f>COUNTIFS($E:$E,$E38,$M:$M,"&gt;"&amp;$M38)+1</f>
        <v/>
      </c>
      <c r="Q38" s="108">
        <f>COUNTIFS($E:$E,$E38,$N:$N,"&gt;"&amp;$N38)+1</f>
        <v/>
      </c>
      <c r="R38" s="31" t="inlineStr">
        <is>
          <t>📈 Good</t>
        </is>
      </c>
      <c r="S38" s="31" t="inlineStr">
        <is>
          <t>🏛️ Solid</t>
        </is>
      </c>
      <c r="T38" s="31" t="inlineStr">
        <is>
          <t>📈 Momentum Play</t>
        </is>
      </c>
      <c r="U38" s="83" t="inlineStr">
        <is>
          <t>FULL</t>
        </is>
      </c>
    </row>
    <row r="39" ht="16" customHeight="1">
      <c r="A39" s="13" t="n">
        <v>35</v>
      </c>
      <c r="B39" s="14" t="inlineStr">
        <is>
          <t>Edelweiss Gold and Silver ETF FOF - Regular Plan - Growth</t>
        </is>
      </c>
      <c r="C39" s="14" t="inlineStr">
        <is>
          <t>Edelweiss Mutual Fund</t>
        </is>
      </c>
      <c r="D39" s="14" t="inlineStr">
        <is>
          <t>Fof Domestic</t>
        </is>
      </c>
      <c r="E39" s="14" t="inlineStr">
        <is>
          <t>Silver</t>
        </is>
      </c>
      <c r="F39" s="15" t="n">
        <v>8.94</v>
      </c>
      <c r="G39" s="16" t="n">
        <v>-7.63</v>
      </c>
      <c r="H39" s="15" t="n">
        <v>0.26</v>
      </c>
      <c r="I39" s="15" t="n">
        <v>77.66</v>
      </c>
      <c r="J39" s="15" t="n">
        <v>56.78966802694623</v>
      </c>
      <c r="K39" s="15" t="n">
        <v>185.56</v>
      </c>
      <c r="L39" s="17" t="n">
        <v>56.6</v>
      </c>
      <c r="M39" s="25" t="n">
        <v>76</v>
      </c>
      <c r="N39" s="35" t="n">
        <v>65.3</v>
      </c>
      <c r="O39" s="108">
        <f>COUNTIFS($E:$E,$E39,$L:$L,"&gt;"&amp;$L39)+1</f>
        <v/>
      </c>
      <c r="P39" s="108">
        <f>COUNTIFS($E:$E,$E39,$M:$M,"&gt;"&amp;$M39)+1</f>
        <v/>
      </c>
      <c r="Q39" s="108">
        <f>COUNTIFS($E:$E,$E39,$N:$N,"&gt;"&amp;$N39)+1</f>
        <v/>
      </c>
      <c r="R39" s="20" t="inlineStr">
        <is>
          <t>➡️ Neutral</t>
        </is>
      </c>
      <c r="S39" s="20" t="inlineStr">
        <is>
          <t>⭐ Strong</t>
        </is>
      </c>
      <c r="T39" s="20" t="inlineStr">
        <is>
          <t>🏛️ Quality Hold</t>
        </is>
      </c>
      <c r="U39" s="83" t="inlineStr">
        <is>
          <t>FULL</t>
        </is>
      </c>
    </row>
    <row r="40" ht="16" customHeight="1">
      <c r="A40" s="28" t="n">
        <v>36</v>
      </c>
      <c r="B40" s="29" t="inlineStr">
        <is>
          <t>UTI Silver Exchange Traded Fund</t>
        </is>
      </c>
      <c r="C40" s="29" t="inlineStr">
        <is>
          <t>UTI Mutual Fund</t>
        </is>
      </c>
      <c r="D40" s="29" t="inlineStr">
        <is>
          <t>Other  Etfs</t>
        </is>
      </c>
      <c r="E40" s="29" t="inlineStr">
        <is>
          <t>Silver</t>
        </is>
      </c>
      <c r="F40" s="30" t="n">
        <v>8.1</v>
      </c>
      <c r="G40" s="91" t="n">
        <v>-12.9</v>
      </c>
      <c r="H40" s="91" t="n">
        <v>-1.08</v>
      </c>
      <c r="I40" s="30" t="n">
        <v>99.14</v>
      </c>
      <c r="J40" s="30" t="n">
        <v>66.61332479726822</v>
      </c>
      <c r="K40" s="30" t="n">
        <v>214.96</v>
      </c>
      <c r="L40" s="17" t="n">
        <v>66</v>
      </c>
      <c r="M40" s="42" t="n">
        <v>64.40000000000001</v>
      </c>
      <c r="N40" s="35" t="n">
        <v>65.3</v>
      </c>
      <c r="O40" s="108">
        <f>COUNTIFS($E:$E,$E40,$L:$L,"&gt;"&amp;$L40)+1</f>
        <v/>
      </c>
      <c r="P40" s="108">
        <f>COUNTIFS($E:$E,$E40,$M:$M,"&gt;"&amp;$M40)+1</f>
        <v/>
      </c>
      <c r="Q40" s="108">
        <f>COUNTIFS($E:$E,$E40,$N:$N,"&gt;"&amp;$N40)+1</f>
        <v/>
      </c>
      <c r="R40" s="31" t="inlineStr">
        <is>
          <t>📈 Good</t>
        </is>
      </c>
      <c r="S40" s="31" t="inlineStr">
        <is>
          <t>🏛️ Solid</t>
        </is>
      </c>
      <c r="T40" s="31" t="inlineStr">
        <is>
          <t>📈 Momentum Play</t>
        </is>
      </c>
      <c r="U40" s="83" t="inlineStr">
        <is>
          <t>FULL</t>
        </is>
      </c>
    </row>
    <row r="41" ht="16" customHeight="1">
      <c r="A41" s="13" t="n">
        <v>37</v>
      </c>
      <c r="B41" s="14" t="inlineStr">
        <is>
          <t>Nippon India Silver ETF FOF-Regular Plan- Growth Option</t>
        </is>
      </c>
      <c r="C41" s="14" t="inlineStr">
        <is>
          <t>Nippon India Mutual Fund</t>
        </is>
      </c>
      <c r="D41" s="14" t="inlineStr">
        <is>
          <t>Fof Domestic</t>
        </is>
      </c>
      <c r="E41" s="14" t="inlineStr">
        <is>
          <t>Silver</t>
        </is>
      </c>
      <c r="F41" s="15" t="n">
        <v>8.1</v>
      </c>
      <c r="G41" s="16" t="n">
        <v>-12.59</v>
      </c>
      <c r="H41" s="16" t="n">
        <v>-1.23</v>
      </c>
      <c r="I41" s="15" t="n">
        <v>97.26000000000001</v>
      </c>
      <c r="J41" s="15" t="n">
        <v>64.76346682441468</v>
      </c>
      <c r="K41" s="15" t="n">
        <v>210.1</v>
      </c>
      <c r="L41" s="37" t="n">
        <v>47.1</v>
      </c>
      <c r="M41" s="25" t="n">
        <v>87.40000000000001</v>
      </c>
      <c r="N41" s="35" t="n">
        <v>65.2</v>
      </c>
      <c r="O41" s="108">
        <f>COUNTIFS($E:$E,$E41,$L:$L,"&gt;"&amp;$L41)+1</f>
        <v/>
      </c>
      <c r="P41" s="108">
        <f>COUNTIFS($E:$E,$E41,$M:$M,"&gt;"&amp;$M41)+1</f>
        <v/>
      </c>
      <c r="Q41" s="108">
        <f>COUNTIFS($E:$E,$E41,$N:$N,"&gt;"&amp;$N41)+1</f>
        <v/>
      </c>
      <c r="R41" s="20" t="inlineStr">
        <is>
          <t>➡️ Neutral</t>
        </is>
      </c>
      <c r="S41" s="20" t="inlineStr">
        <is>
          <t>⭐ Strong</t>
        </is>
      </c>
      <c r="T41" s="20" t="inlineStr">
        <is>
          <t>🏛️ Quality Hold</t>
        </is>
      </c>
      <c r="U41" s="83" t="inlineStr">
        <is>
          <t>FULL</t>
        </is>
      </c>
    </row>
    <row r="42" ht="16" customHeight="1">
      <c r="A42" s="28" t="n">
        <v>38</v>
      </c>
      <c r="B42" s="29" t="inlineStr">
        <is>
          <t>HDFC Silver ETF Fund of Fund - Growth Option</t>
        </is>
      </c>
      <c r="C42" s="29" t="inlineStr">
        <is>
          <t>HDFC Mutual Fund</t>
        </is>
      </c>
      <c r="D42" s="29" t="inlineStr">
        <is>
          <t>Fof Domestic</t>
        </is>
      </c>
      <c r="E42" s="29" t="inlineStr">
        <is>
          <t>Silver</t>
        </is>
      </c>
      <c r="F42" s="30" t="n">
        <v>8.140000000000001</v>
      </c>
      <c r="G42" s="91" t="n">
        <v>-12.54</v>
      </c>
      <c r="H42" s="91" t="n">
        <v>-1.28</v>
      </c>
      <c r="I42" s="30" t="n">
        <v>97.23</v>
      </c>
      <c r="J42" s="30" t="n">
        <v>64.52355454463049</v>
      </c>
      <c r="K42" s="30" t="n">
        <v>210.58</v>
      </c>
      <c r="L42" s="37" t="n">
        <v>47.3</v>
      </c>
      <c r="M42" s="25" t="n">
        <v>85.8</v>
      </c>
      <c r="N42" s="35" t="n">
        <v>64.59999999999999</v>
      </c>
      <c r="O42" s="108">
        <f>COUNTIFS($E:$E,$E42,$L:$L,"&gt;"&amp;$L42)+1</f>
        <v/>
      </c>
      <c r="P42" s="108">
        <f>COUNTIFS($E:$E,$E42,$M:$M,"&gt;"&amp;$M42)+1</f>
        <v/>
      </c>
      <c r="Q42" s="108">
        <f>COUNTIFS($E:$E,$E42,$N:$N,"&gt;"&amp;$N42)+1</f>
        <v/>
      </c>
      <c r="R42" s="31" t="inlineStr">
        <is>
          <t>➡️ Neutral</t>
        </is>
      </c>
      <c r="S42" s="31" t="inlineStr">
        <is>
          <t>⭐ Strong</t>
        </is>
      </c>
      <c r="T42" s="31" t="inlineStr">
        <is>
          <t>🏛️ Quality Hold</t>
        </is>
      </c>
      <c r="U42" s="83" t="inlineStr">
        <is>
          <t>FULL</t>
        </is>
      </c>
    </row>
    <row r="43" ht="16" customHeight="1">
      <c r="A43" s="13" t="n">
        <v>39</v>
      </c>
      <c r="B43" s="14" t="inlineStr">
        <is>
          <t>Aditya Birla Sun Life Gold Fund-Growth</t>
        </is>
      </c>
      <c r="C43" s="14" t="inlineStr">
        <is>
          <t>Aditya Birla Sun Life Mutual Fund</t>
        </is>
      </c>
      <c r="D43" s="14" t="inlineStr">
        <is>
          <t>Fof Domestic</t>
        </is>
      </c>
      <c r="E43" s="14" t="inlineStr">
        <is>
          <t>Gold</t>
        </is>
      </c>
      <c r="F43" s="15" t="n">
        <v>9.18</v>
      </c>
      <c r="G43" s="16" t="n">
        <v>-3.05</v>
      </c>
      <c r="H43" s="15" t="n">
        <v>1.61</v>
      </c>
      <c r="I43" s="15" t="n">
        <v>51.89</v>
      </c>
      <c r="J43" s="15" t="n">
        <v>45.36505769957235</v>
      </c>
      <c r="K43" s="15" t="n">
        <v>152.18</v>
      </c>
      <c r="L43" s="17" t="n">
        <v>71.5</v>
      </c>
      <c r="M43" s="42" t="n">
        <v>55.2</v>
      </c>
      <c r="N43" s="35" t="n">
        <v>64.2</v>
      </c>
      <c r="O43" s="108">
        <f>COUNTIFS($E:$E,$E43,$L:$L,"&gt;"&amp;$L43)+1</f>
        <v/>
      </c>
      <c r="P43" s="108">
        <f>COUNTIFS($E:$E,$E43,$M:$M,"&gt;"&amp;$M43)+1</f>
        <v/>
      </c>
      <c r="Q43" s="108">
        <f>COUNTIFS($E:$E,$E43,$N:$N,"&gt;"&amp;$N43)+1</f>
        <v/>
      </c>
      <c r="R43" s="20" t="inlineStr">
        <is>
          <t>📈 Good</t>
        </is>
      </c>
      <c r="S43" s="20" t="inlineStr">
        <is>
          <t>➡️ Average</t>
        </is>
      </c>
      <c r="T43" s="20" t="inlineStr">
        <is>
          <t>📈 Momentum Play</t>
        </is>
      </c>
      <c r="U43" s="83" t="inlineStr">
        <is>
          <t>FULL</t>
        </is>
      </c>
    </row>
    <row r="44" ht="16" customHeight="1">
      <c r="A44" s="28" t="n">
        <v>40</v>
      </c>
      <c r="B44" s="29" t="inlineStr">
        <is>
          <t>Quantum Gold ETF FOF - Regular Plan Growth Option</t>
        </is>
      </c>
      <c r="C44" s="29" t="inlineStr">
        <is>
          <t>Quantum Mutual Fund</t>
        </is>
      </c>
      <c r="D44" s="29" t="inlineStr">
        <is>
          <t>Fof Domestic</t>
        </is>
      </c>
      <c r="E44" s="29" t="inlineStr">
        <is>
          <t>Gold</t>
        </is>
      </c>
      <c r="F44" s="30" t="n">
        <v>8.859999999999999</v>
      </c>
      <c r="G44" s="91" t="n">
        <v>-3.56</v>
      </c>
      <c r="H44" s="30" t="n">
        <v>1.35</v>
      </c>
      <c r="I44" s="30" t="n">
        <v>51.98</v>
      </c>
      <c r="J44" s="30" t="n">
        <v>45.70518178843195</v>
      </c>
      <c r="K44" s="30" t="n">
        <v>153.18</v>
      </c>
      <c r="L44" s="17" t="n">
        <v>62.1</v>
      </c>
      <c r="M44" s="42" t="n">
        <v>65.2</v>
      </c>
      <c r="N44" s="35" t="n">
        <v>63.5</v>
      </c>
      <c r="O44" s="108">
        <f>COUNTIFS($E:$E,$E44,$L:$L,"&gt;"&amp;$L44)+1</f>
        <v/>
      </c>
      <c r="P44" s="108">
        <f>COUNTIFS($E:$E,$E44,$M:$M,"&gt;"&amp;$M44)+1</f>
        <v/>
      </c>
      <c r="Q44" s="108">
        <f>COUNTIFS($E:$E,$E44,$N:$N,"&gt;"&amp;$N44)+1</f>
        <v/>
      </c>
      <c r="R44" s="31" t="inlineStr">
        <is>
          <t>📈 Good</t>
        </is>
      </c>
      <c r="S44" s="31" t="inlineStr">
        <is>
          <t>🏛️ Solid</t>
        </is>
      </c>
      <c r="T44" s="31" t="inlineStr">
        <is>
          <t>🏛️ Quality Hold</t>
        </is>
      </c>
      <c r="U44" s="83" t="inlineStr">
        <is>
          <t>FULL</t>
        </is>
      </c>
    </row>
    <row r="45" ht="16" customHeight="1">
      <c r="A45" s="13" t="n">
        <v>41</v>
      </c>
      <c r="B45" s="14" t="inlineStr">
        <is>
          <t>Navi Total Stock Market US Specific Equity Passive FoF- Regular Plan- Growth</t>
        </is>
      </c>
      <c r="C45" s="14" t="inlineStr">
        <is>
          <t>Navi Mutual Fund</t>
        </is>
      </c>
      <c r="D45" s="14" t="inlineStr">
        <is>
          <t>Fof Overseas</t>
        </is>
      </c>
      <c r="E45" s="14" t="inlineStr">
        <is>
          <t>Standard Equity/Debt</t>
        </is>
      </c>
      <c r="F45" s="15" t="n">
        <v>3.34</v>
      </c>
      <c r="G45" s="15" t="n">
        <v>5.22</v>
      </c>
      <c r="H45" s="15" t="n">
        <v>19.11</v>
      </c>
      <c r="I45" s="15" t="n">
        <v>32.28</v>
      </c>
      <c r="J45" s="15" t="n">
        <v>26.96456198483104</v>
      </c>
      <c r="K45" s="15" t="n">
        <v>107.02</v>
      </c>
      <c r="L45" s="17" t="n">
        <v>66.90000000000001</v>
      </c>
      <c r="M45" s="42" t="n">
        <v>59.2</v>
      </c>
      <c r="N45" s="35" t="n">
        <v>63.5</v>
      </c>
      <c r="O45" s="108">
        <f>COUNTIFS($E:$E,$E45,$L:$L,"&gt;"&amp;$L45)+1</f>
        <v/>
      </c>
      <c r="P45" s="108">
        <f>COUNTIFS($E:$E,$E45,$M:$M,"&gt;"&amp;$M45)+1</f>
        <v/>
      </c>
      <c r="Q45" s="108">
        <f>COUNTIFS($E:$E,$E45,$N:$N,"&gt;"&amp;$N45)+1</f>
        <v/>
      </c>
      <c r="R45" s="20" t="inlineStr">
        <is>
          <t>📈 Good</t>
        </is>
      </c>
      <c r="S45" s="20" t="inlineStr">
        <is>
          <t>➡️ Average</t>
        </is>
      </c>
      <c r="T45" s="20" t="inlineStr">
        <is>
          <t>📈 Momentum Play</t>
        </is>
      </c>
      <c r="U45" s="83" t="inlineStr">
        <is>
          <t>FULL</t>
        </is>
      </c>
    </row>
    <row r="46" ht="16" customHeight="1">
      <c r="A46" s="28" t="n">
        <v>42</v>
      </c>
      <c r="B46" s="29" t="inlineStr">
        <is>
          <t>PGIM India Emerging Markets Equity Fund of Fund- Growth</t>
        </is>
      </c>
      <c r="C46" s="29" t="inlineStr">
        <is>
          <t>PGIM India Mutual Fund</t>
        </is>
      </c>
      <c r="D46" s="29" t="inlineStr">
        <is>
          <t>Fof Overseas</t>
        </is>
      </c>
      <c r="E46" s="29" t="inlineStr">
        <is>
          <t>International</t>
        </is>
      </c>
      <c r="F46" s="30" t="n">
        <v>11.59</v>
      </c>
      <c r="G46" s="30" t="n">
        <v>0.8100000000000001</v>
      </c>
      <c r="H46" s="30" t="n">
        <v>13.13</v>
      </c>
      <c r="I46" s="30" t="n">
        <v>36.94</v>
      </c>
      <c r="J46" s="30" t="n">
        <v>28.17566071606574</v>
      </c>
      <c r="K46" s="30" t="n">
        <v>110.02</v>
      </c>
      <c r="L46" s="17" t="n">
        <v>61.2</v>
      </c>
      <c r="M46" s="42" t="n">
        <v>65.3</v>
      </c>
      <c r="N46" s="35" t="n">
        <v>63.1</v>
      </c>
      <c r="O46" s="108">
        <f>COUNTIFS($E:$E,$E46,$L:$L,"&gt;"&amp;$L46)+1</f>
        <v/>
      </c>
      <c r="P46" s="108">
        <f>COUNTIFS($E:$E,$E46,$M:$M,"&gt;"&amp;$M46)+1</f>
        <v/>
      </c>
      <c r="Q46" s="108">
        <f>COUNTIFS($E:$E,$E46,$N:$N,"&gt;"&amp;$N46)+1</f>
        <v/>
      </c>
      <c r="R46" s="31" t="inlineStr">
        <is>
          <t>📈 Good</t>
        </is>
      </c>
      <c r="S46" s="31" t="inlineStr">
        <is>
          <t>🏛️ Solid</t>
        </is>
      </c>
      <c r="T46" s="31" t="inlineStr">
        <is>
          <t>🏛️ Quality Hold</t>
        </is>
      </c>
      <c r="U46" s="83" t="inlineStr">
        <is>
          <t>FULL</t>
        </is>
      </c>
    </row>
    <row r="47" ht="16" customHeight="1">
      <c r="A47" s="13" t="n">
        <v>43</v>
      </c>
      <c r="B47" s="14" t="inlineStr">
        <is>
          <t>KOTAK GOLD ETF</t>
        </is>
      </c>
      <c r="C47" s="14" t="inlineStr">
        <is>
          <t>Kotak Mahindra Mutual Fund</t>
        </is>
      </c>
      <c r="D47" s="14" t="inlineStr">
        <is>
          <t>Gold Etf</t>
        </is>
      </c>
      <c r="E47" s="14" t="inlineStr">
        <is>
          <t>Gold</t>
        </is>
      </c>
      <c r="F47" s="15" t="n">
        <v>9.039999999999999</v>
      </c>
      <c r="G47" s="16" t="n">
        <v>-3.14</v>
      </c>
      <c r="H47" s="15" t="n">
        <v>1.32</v>
      </c>
      <c r="I47" s="15" t="n">
        <v>52.34</v>
      </c>
      <c r="J47" s="15" t="n">
        <v>46.12323566086265</v>
      </c>
      <c r="K47" s="15" t="n">
        <v>155.52</v>
      </c>
      <c r="L47" s="17" t="n">
        <v>68.2</v>
      </c>
      <c r="M47" s="42" t="n">
        <v>56.7</v>
      </c>
      <c r="N47" s="35" t="n">
        <v>63</v>
      </c>
      <c r="O47" s="108">
        <f>COUNTIFS($E:$E,$E47,$L:$L,"&gt;"&amp;$L47)+1</f>
        <v/>
      </c>
      <c r="P47" s="108">
        <f>COUNTIFS($E:$E,$E47,$M:$M,"&gt;"&amp;$M47)+1</f>
        <v/>
      </c>
      <c r="Q47" s="108">
        <f>COUNTIFS($E:$E,$E47,$N:$N,"&gt;"&amp;$N47)+1</f>
        <v/>
      </c>
      <c r="R47" s="20" t="inlineStr">
        <is>
          <t>📈 Good</t>
        </is>
      </c>
      <c r="S47" s="20" t="inlineStr">
        <is>
          <t>➡️ Average</t>
        </is>
      </c>
      <c r="T47" s="20" t="inlineStr">
        <is>
          <t>📈 Momentum Play</t>
        </is>
      </c>
      <c r="U47" s="83" t="inlineStr">
        <is>
          <t>FULL</t>
        </is>
      </c>
    </row>
    <row r="48" ht="16" customHeight="1">
      <c r="A48" s="28" t="n">
        <v>44</v>
      </c>
      <c r="B48" s="29" t="inlineStr">
        <is>
          <t>SBI GOLD FUND REGULAR PLAN - GROWTH</t>
        </is>
      </c>
      <c r="C48" s="29" t="inlineStr">
        <is>
          <t>SBI Mutual Fund</t>
        </is>
      </c>
      <c r="D48" s="29" t="inlineStr">
        <is>
          <t>Fof Domestic</t>
        </is>
      </c>
      <c r="E48" s="29" t="inlineStr">
        <is>
          <t>Gold</t>
        </is>
      </c>
      <c r="F48" s="30" t="n">
        <v>9.15</v>
      </c>
      <c r="G48" s="91" t="n">
        <v>-3.33</v>
      </c>
      <c r="H48" s="30" t="n">
        <v>1.45</v>
      </c>
      <c r="I48" s="30" t="n">
        <v>51.84</v>
      </c>
      <c r="J48" s="30" t="n">
        <v>45.47852075134666</v>
      </c>
      <c r="K48" s="30" t="n">
        <v>152.44</v>
      </c>
      <c r="L48" s="17" t="n">
        <v>67.7</v>
      </c>
      <c r="M48" s="42" t="n">
        <v>57.2</v>
      </c>
      <c r="N48" s="35" t="n">
        <v>63</v>
      </c>
      <c r="O48" s="108">
        <f>COUNTIFS($E:$E,$E48,$L:$L,"&gt;"&amp;$L48)+1</f>
        <v/>
      </c>
      <c r="P48" s="108">
        <f>COUNTIFS($E:$E,$E48,$M:$M,"&gt;"&amp;$M48)+1</f>
        <v/>
      </c>
      <c r="Q48" s="108">
        <f>COUNTIFS($E:$E,$E48,$N:$N,"&gt;"&amp;$N48)+1</f>
        <v/>
      </c>
      <c r="R48" s="31" t="inlineStr">
        <is>
          <t>📈 Good</t>
        </is>
      </c>
      <c r="S48" s="31" t="inlineStr">
        <is>
          <t>➡️ Average</t>
        </is>
      </c>
      <c r="T48" s="31" t="inlineStr">
        <is>
          <t>📈 Momentum Play</t>
        </is>
      </c>
      <c r="U48" s="83" t="inlineStr">
        <is>
          <t>FULL</t>
        </is>
      </c>
    </row>
    <row r="49" ht="16" customHeight="1">
      <c r="A49" s="13" t="n">
        <v>45</v>
      </c>
      <c r="B49" s="14" t="inlineStr">
        <is>
          <t>UTI Gold ETF Fund of Fund - Regular Plan - Growth Opton</t>
        </is>
      </c>
      <c r="C49" s="14" t="inlineStr">
        <is>
          <t>UTI Mutual Fund</t>
        </is>
      </c>
      <c r="D49" s="14" t="inlineStr">
        <is>
          <t>Fof Domestic</t>
        </is>
      </c>
      <c r="E49" s="14" t="inlineStr">
        <is>
          <t>Gold</t>
        </is>
      </c>
      <c r="F49" s="15" t="n">
        <v>9.07</v>
      </c>
      <c r="G49" s="16" t="n">
        <v>-3.34</v>
      </c>
      <c r="H49" s="15" t="n">
        <v>1.41</v>
      </c>
      <c r="I49" s="15" t="n">
        <v>51.7</v>
      </c>
      <c r="J49" s="15" t="n">
        <v>45.65369888883701</v>
      </c>
      <c r="K49" s="15" t="n">
        <v>153.12</v>
      </c>
      <c r="L49" s="17" t="n">
        <v>64.3</v>
      </c>
      <c r="M49" s="42" t="n">
        <v>59.2</v>
      </c>
      <c r="N49" s="35" t="n">
        <v>62</v>
      </c>
      <c r="O49" s="108">
        <f>COUNTIFS($E:$E,$E49,$L:$L,"&gt;"&amp;$L49)+1</f>
        <v/>
      </c>
      <c r="P49" s="108">
        <f>COUNTIFS($E:$E,$E49,$M:$M,"&gt;"&amp;$M49)+1</f>
        <v/>
      </c>
      <c r="Q49" s="108">
        <f>COUNTIFS($E:$E,$E49,$N:$N,"&gt;"&amp;$N49)+1</f>
        <v/>
      </c>
      <c r="R49" s="20" t="inlineStr">
        <is>
          <t>📈 Good</t>
        </is>
      </c>
      <c r="S49" s="20" t="inlineStr">
        <is>
          <t>➡️ Average</t>
        </is>
      </c>
      <c r="T49" s="20" t="inlineStr">
        <is>
          <t>📈 Momentum Play</t>
        </is>
      </c>
      <c r="U49" s="83" t="inlineStr">
        <is>
          <t>FULL</t>
        </is>
      </c>
    </row>
    <row r="50" ht="16" customHeight="1">
      <c r="A50" s="28" t="n">
        <v>46</v>
      </c>
      <c r="B50" s="29" t="inlineStr">
        <is>
          <t>Motilal Oswal Gold and Silver Passive Fund of Funds(Regular Plan)</t>
        </is>
      </c>
      <c r="C50" s="29" t="inlineStr">
        <is>
          <t>Motilal Oswal Mutual Fund</t>
        </is>
      </c>
      <c r="D50" s="29" t="inlineStr">
        <is>
          <t>Fof Domestic</t>
        </is>
      </c>
      <c r="E50" s="29" t="inlineStr">
        <is>
          <t>Silver</t>
        </is>
      </c>
      <c r="F50" s="30" t="n">
        <v>8.529999999999999</v>
      </c>
      <c r="G50" s="91" t="n">
        <v>-6.99</v>
      </c>
      <c r="H50" s="30" t="n">
        <v>0.47</v>
      </c>
      <c r="I50" s="30" t="n">
        <v>63.01</v>
      </c>
      <c r="J50" s="30" t="n">
        <v>50.40611689688688</v>
      </c>
      <c r="K50" s="30" t="n">
        <v>165.47</v>
      </c>
      <c r="L50" s="17" t="n">
        <v>55.9</v>
      </c>
      <c r="M50" s="42" t="n">
        <v>69.2</v>
      </c>
      <c r="N50" s="35" t="n">
        <v>61.9</v>
      </c>
      <c r="O50" s="108">
        <f>COUNTIFS($E:$E,$E50,$L:$L,"&gt;"&amp;$L50)+1</f>
        <v/>
      </c>
      <c r="P50" s="108">
        <f>COUNTIFS($E:$E,$E50,$M:$M,"&gt;"&amp;$M50)+1</f>
        <v/>
      </c>
      <c r="Q50" s="108">
        <f>COUNTIFS($E:$E,$E50,$N:$N,"&gt;"&amp;$N50)+1</f>
        <v/>
      </c>
      <c r="R50" s="31" t="inlineStr">
        <is>
          <t>➡️ Neutral</t>
        </is>
      </c>
      <c r="S50" s="31" t="inlineStr">
        <is>
          <t>🏛️ Solid</t>
        </is>
      </c>
      <c r="T50" s="31" t="inlineStr">
        <is>
          <t>🏛️ Quality Hold</t>
        </is>
      </c>
      <c r="U50" s="83" t="inlineStr">
        <is>
          <t>FULL</t>
        </is>
      </c>
    </row>
    <row r="51" ht="16" customHeight="1">
      <c r="A51" s="13" t="n">
        <v>47</v>
      </c>
      <c r="B51" s="14" t="inlineStr">
        <is>
          <t>HDFC Developed World Overseas Equity Passive FOF - Growth Option</t>
        </is>
      </c>
      <c r="C51" s="14" t="inlineStr">
        <is>
          <t>HDFC Mutual Fund</t>
        </is>
      </c>
      <c r="D51" s="14" t="inlineStr">
        <is>
          <t>Fof Overseas</t>
        </is>
      </c>
      <c r="E51" s="14" t="inlineStr">
        <is>
          <t>International</t>
        </is>
      </c>
      <c r="F51" s="15" t="n">
        <v>3.36</v>
      </c>
      <c r="G51" s="15" t="n">
        <v>5.63</v>
      </c>
      <c r="H51" s="15" t="n">
        <v>16.86</v>
      </c>
      <c r="I51" s="15" t="n">
        <v>32.06</v>
      </c>
      <c r="J51" s="15" t="n">
        <v>27.14951828457708</v>
      </c>
      <c r="K51" s="15" t="n">
        <v>103.59</v>
      </c>
      <c r="L51" s="17" t="n">
        <v>65.8</v>
      </c>
      <c r="M51" s="42" t="n">
        <v>55.9</v>
      </c>
      <c r="N51" s="35" t="n">
        <v>61.3</v>
      </c>
      <c r="O51" s="108">
        <f>COUNTIFS($E:$E,$E51,$L:$L,"&gt;"&amp;$L51)+1</f>
        <v/>
      </c>
      <c r="P51" s="108">
        <f>COUNTIFS($E:$E,$E51,$M:$M,"&gt;"&amp;$M51)+1</f>
        <v/>
      </c>
      <c r="Q51" s="108">
        <f>COUNTIFS($E:$E,$E51,$N:$N,"&gt;"&amp;$N51)+1</f>
        <v/>
      </c>
      <c r="R51" s="20" t="inlineStr">
        <is>
          <t>📈 Good</t>
        </is>
      </c>
      <c r="S51" s="20" t="inlineStr">
        <is>
          <t>➡️ Average</t>
        </is>
      </c>
      <c r="T51" s="20" t="inlineStr">
        <is>
          <t>📈 Momentum Play</t>
        </is>
      </c>
      <c r="U51" s="83" t="inlineStr">
        <is>
          <t>FULL</t>
        </is>
      </c>
    </row>
    <row r="52" ht="16" customHeight="1">
      <c r="A52" s="28" t="n">
        <v>48</v>
      </c>
      <c r="B52" s="29" t="inlineStr">
        <is>
          <t>Mirae Asset Global Electric &amp; Autonomous Vehicles Equity Passive FOF - Regular Plan - Growth</t>
        </is>
      </c>
      <c r="C52" s="29" t="inlineStr">
        <is>
          <t>Mirae Asset Mutual Fund</t>
        </is>
      </c>
      <c r="D52" s="29" t="inlineStr">
        <is>
          <t>Fof Overseas</t>
        </is>
      </c>
      <c r="E52" s="29" t="inlineStr">
        <is>
          <t>International</t>
        </is>
      </c>
      <c r="F52" s="30" t="n">
        <v>6.96</v>
      </c>
      <c r="G52" s="91" t="n">
        <v>-5.25</v>
      </c>
      <c r="H52" s="30" t="n">
        <v>12.21</v>
      </c>
      <c r="I52" s="30" t="n">
        <v>55.87</v>
      </c>
      <c r="J52" s="30" t="n">
        <v>39.48118152639803</v>
      </c>
      <c r="K52" s="30" t="n">
        <v>71.47</v>
      </c>
      <c r="L52" s="17" t="n">
        <v>58.6</v>
      </c>
      <c r="M52" s="42" t="n">
        <v>60.1</v>
      </c>
      <c r="N52" s="35" t="n">
        <v>59.3</v>
      </c>
      <c r="O52" s="108">
        <f>COUNTIFS($E:$E,$E52,$L:$L,"&gt;"&amp;$L52)+1</f>
        <v/>
      </c>
      <c r="P52" s="108">
        <f>COUNTIFS($E:$E,$E52,$M:$M,"&gt;"&amp;$M52)+1</f>
        <v/>
      </c>
      <c r="Q52" s="108">
        <f>COUNTIFS($E:$E,$E52,$N:$N,"&gt;"&amp;$N52)+1</f>
        <v/>
      </c>
      <c r="R52" s="31" t="inlineStr">
        <is>
          <t>➡️ Neutral</t>
        </is>
      </c>
      <c r="S52" s="31" t="inlineStr">
        <is>
          <t>🏛️ Solid</t>
        </is>
      </c>
      <c r="T52" s="31" t="inlineStr">
        <is>
          <t>✅ Buy</t>
        </is>
      </c>
      <c r="U52" s="83" t="inlineStr">
        <is>
          <t>FULL</t>
        </is>
      </c>
    </row>
    <row r="53" ht="16" customHeight="1">
      <c r="A53" s="13" t="n">
        <v>49</v>
      </c>
      <c r="B53" s="14" t="inlineStr">
        <is>
          <t>Mirae Asset S&amp;P 500 Top 50 ETF</t>
        </is>
      </c>
      <c r="C53" s="14" t="inlineStr">
        <is>
          <t>Mirae Asset Mutual Fund</t>
        </is>
      </c>
      <c r="D53" s="14" t="inlineStr">
        <is>
          <t>Other  Etfs</t>
        </is>
      </c>
      <c r="E53" s="14" t="inlineStr">
        <is>
          <t>S&amp;P 500</t>
        </is>
      </c>
      <c r="F53" s="15" t="n">
        <v>2.65</v>
      </c>
      <c r="G53" s="16" t="n">
        <v>-0.99</v>
      </c>
      <c r="H53" s="15" t="n">
        <v>15.64</v>
      </c>
      <c r="I53" s="15" t="n">
        <v>24.44</v>
      </c>
      <c r="J53" s="15" t="n">
        <v>24.66354719804824</v>
      </c>
      <c r="K53" s="15" t="n">
        <v>110.79</v>
      </c>
      <c r="L53" s="17" t="n">
        <v>73.40000000000001</v>
      </c>
      <c r="M53" s="18" t="n">
        <v>40</v>
      </c>
      <c r="N53" s="35" t="n">
        <v>58.4</v>
      </c>
      <c r="O53" s="108">
        <f>COUNTIFS($E:$E,$E53,$L:$L,"&gt;"&amp;$L53)+1</f>
        <v/>
      </c>
      <c r="P53" s="108">
        <f>COUNTIFS($E:$E,$E53,$M:$M,"&gt;"&amp;$M53)+1</f>
        <v/>
      </c>
      <c r="Q53" s="108">
        <f>COUNTIFS($E:$E,$E53,$N:$N,"&gt;"&amp;$N53)+1</f>
        <v/>
      </c>
      <c r="R53" s="20" t="inlineStr">
        <is>
          <t>📈 Good</t>
        </is>
      </c>
      <c r="S53" s="20" t="inlineStr">
        <is>
          <t>➡️ Average</t>
        </is>
      </c>
      <c r="T53" s="20" t="inlineStr">
        <is>
          <t>✅ Buy</t>
        </is>
      </c>
      <c r="U53" s="83" t="inlineStr">
        <is>
          <t>FULL</t>
        </is>
      </c>
    </row>
    <row r="54" ht="16" customHeight="1">
      <c r="A54" s="28" t="n">
        <v>50</v>
      </c>
      <c r="B54" s="29" t="inlineStr">
        <is>
          <t>Axis Greater China Equity Fund of Fund - Regular Plan - Growth Option</t>
        </is>
      </c>
      <c r="C54" s="29" t="inlineStr">
        <is>
          <t>Axis Mutual Fund</t>
        </is>
      </c>
      <c r="D54" s="29" t="inlineStr">
        <is>
          <t>Fof Overseas</t>
        </is>
      </c>
      <c r="E54" s="29" t="inlineStr">
        <is>
          <t>International</t>
        </is>
      </c>
      <c r="F54" s="30" t="n">
        <v>7.77</v>
      </c>
      <c r="G54" s="30" t="n">
        <v>2.29</v>
      </c>
      <c r="H54" s="30" t="n">
        <v>10.54</v>
      </c>
      <c r="I54" s="30" t="n">
        <v>35.35</v>
      </c>
      <c r="J54" s="30" t="n">
        <v>34.8703080740902</v>
      </c>
      <c r="K54" s="30" t="n">
        <v>80.81</v>
      </c>
      <c r="L54" s="17" t="n">
        <v>58.1</v>
      </c>
      <c r="M54" s="42" t="n">
        <v>56.2</v>
      </c>
      <c r="N54" s="35" t="n">
        <v>57.2</v>
      </c>
      <c r="O54" s="108">
        <f>COUNTIFS($E:$E,$E54,$L:$L,"&gt;"&amp;$L54)+1</f>
        <v/>
      </c>
      <c r="P54" s="108">
        <f>COUNTIFS($E:$E,$E54,$M:$M,"&gt;"&amp;$M54)+1</f>
        <v/>
      </c>
      <c r="Q54" s="108">
        <f>COUNTIFS($E:$E,$E54,$N:$N,"&gt;"&amp;$N54)+1</f>
        <v/>
      </c>
      <c r="R54" s="31" t="inlineStr">
        <is>
          <t>➡️ Neutral</t>
        </is>
      </c>
      <c r="S54" s="31" t="inlineStr">
        <is>
          <t>➡️ Average</t>
        </is>
      </c>
      <c r="T54" s="31" t="inlineStr">
        <is>
          <t>✅ Buy</t>
        </is>
      </c>
      <c r="U54" s="83" t="inlineStr">
        <is>
          <t>FULL</t>
        </is>
      </c>
    </row>
    <row r="55" ht="16" customHeight="1">
      <c r="A55" s="13" t="n">
        <v>51</v>
      </c>
      <c r="B55" s="14" t="inlineStr">
        <is>
          <t>HDFC Gold ETF Fund of Fund - Growth Option</t>
        </is>
      </c>
      <c r="C55" s="14" t="inlineStr">
        <is>
          <t>HDFC Mutual Fund</t>
        </is>
      </c>
      <c r="D55" s="14" t="inlineStr">
        <is>
          <t>Fof Domestic</t>
        </is>
      </c>
      <c r="E55" s="14" t="inlineStr">
        <is>
          <t>Gold</t>
        </is>
      </c>
      <c r="F55" s="15" t="n">
        <v>9.140000000000001</v>
      </c>
      <c r="G55" s="16" t="n">
        <v>-3.2</v>
      </c>
      <c r="H55" s="15" t="n">
        <v>1.44</v>
      </c>
      <c r="I55" s="15" t="n">
        <v>51.53</v>
      </c>
      <c r="J55" s="15" t="n">
        <v>45.32721699667961</v>
      </c>
      <c r="K55" s="15" t="n">
        <v>151.12</v>
      </c>
      <c r="L55" s="17" t="n">
        <v>68.2</v>
      </c>
      <c r="M55" s="18" t="n">
        <v>42</v>
      </c>
      <c r="N55" s="35" t="n">
        <v>56.4</v>
      </c>
      <c r="O55" s="108">
        <f>COUNTIFS($E:$E,$E55,$L:$L,"&gt;"&amp;$L55)+1</f>
        <v/>
      </c>
      <c r="P55" s="108">
        <f>COUNTIFS($E:$E,$E55,$M:$M,"&gt;"&amp;$M55)+1</f>
        <v/>
      </c>
      <c r="Q55" s="108">
        <f>COUNTIFS($E:$E,$E55,$N:$N,"&gt;"&amp;$N55)+1</f>
        <v/>
      </c>
      <c r="R55" s="20" t="inlineStr">
        <is>
          <t>📈 Good</t>
        </is>
      </c>
      <c r="S55" s="20" t="inlineStr">
        <is>
          <t>➡️ Average</t>
        </is>
      </c>
      <c r="T55" s="20" t="inlineStr">
        <is>
          <t>✅ Buy</t>
        </is>
      </c>
      <c r="U55" s="83" t="inlineStr">
        <is>
          <t>FULL</t>
        </is>
      </c>
    </row>
    <row r="56" ht="16" customHeight="1">
      <c r="A56" s="28" t="n">
        <v>52</v>
      </c>
      <c r="B56" s="29" t="inlineStr">
        <is>
          <t>Motilal Oswal Nifty Microcap 250 Index Fund- Regular- Growth Option</t>
        </is>
      </c>
      <c r="C56" s="29" t="inlineStr">
        <is>
          <t>Motilal Oswal Mutual Fund</t>
        </is>
      </c>
      <c r="D56" s="29" t="inlineStr">
        <is>
          <t>Index Funds</t>
        </is>
      </c>
      <c r="E56" s="29" t="inlineStr">
        <is>
          <t>Index Fund</t>
        </is>
      </c>
      <c r="F56" s="30" t="n">
        <v>4.94</v>
      </c>
      <c r="G56" s="30" t="n">
        <v>14.96</v>
      </c>
      <c r="H56" s="30" t="n">
        <v>18.85</v>
      </c>
      <c r="I56" s="30" t="n">
        <v>12.52</v>
      </c>
      <c r="J56" s="30" t="n">
        <v>2.718060729357608</v>
      </c>
      <c r="K56" s="30" t="n">
        <v>69.86</v>
      </c>
      <c r="L56" s="24" t="n">
        <v>100</v>
      </c>
      <c r="M56" s="18" t="n">
        <v>0</v>
      </c>
      <c r="N56" s="35" t="n">
        <v>55</v>
      </c>
      <c r="O56" s="108">
        <f>COUNTIFS($E:$E,$E56,$L:$L,"&gt;"&amp;$L56)+1</f>
        <v/>
      </c>
      <c r="P56" s="108">
        <f>COUNTIFS($E:$E,$E56,$M:$M,"&gt;"&amp;$M56)+1</f>
        <v/>
      </c>
      <c r="Q56" s="108">
        <f>COUNTIFS($E:$E,$E56,$N:$N,"&gt;"&amp;$N56)+1</f>
        <v/>
      </c>
      <c r="R56" s="31" t="inlineStr">
        <is>
          <t>🔥 Hot</t>
        </is>
      </c>
      <c r="S56" s="31" t="inlineStr">
        <is>
          <t>🔴 Not Qualified</t>
        </is>
      </c>
      <c r="T56" s="31" t="inlineStr">
        <is>
          <t>✅ Buy</t>
        </is>
      </c>
      <c r="U56" s="83" t="inlineStr">
        <is>
          <t>FULL</t>
        </is>
      </c>
    </row>
    <row r="57" ht="16" customHeight="1">
      <c r="A57" s="13" t="n">
        <v>53</v>
      </c>
      <c r="B57" s="14" t="inlineStr">
        <is>
          <t>ICICI Prudential Gold ETF FOF - Growth</t>
        </is>
      </c>
      <c r="C57" s="14" t="inlineStr">
        <is>
          <t>ICICI Prudential Mutual Fund</t>
        </is>
      </c>
      <c r="D57" s="14" t="inlineStr">
        <is>
          <t>Fof Domestic</t>
        </is>
      </c>
      <c r="E57" s="14" t="inlineStr">
        <is>
          <t>Gold</t>
        </is>
      </c>
      <c r="F57" s="15" t="n">
        <v>9.15</v>
      </c>
      <c r="G57" s="16" t="n">
        <v>-3.31</v>
      </c>
      <c r="H57" s="15" t="n">
        <v>1.32</v>
      </c>
      <c r="I57" s="15" t="n">
        <v>51.47</v>
      </c>
      <c r="J57" s="15" t="n">
        <v>45.31345429794173</v>
      </c>
      <c r="K57" s="15" t="n">
        <v>151.89</v>
      </c>
      <c r="L57" s="17" t="n">
        <v>64</v>
      </c>
      <c r="M57" s="18" t="n">
        <v>44</v>
      </c>
      <c r="N57" s="35" t="n">
        <v>55</v>
      </c>
      <c r="O57" s="108">
        <f>COUNTIFS($E:$E,$E57,$L:$L,"&gt;"&amp;$L57)+1</f>
        <v/>
      </c>
      <c r="P57" s="108">
        <f>COUNTIFS($E:$E,$E57,$M:$M,"&gt;"&amp;$M57)+1</f>
        <v/>
      </c>
      <c r="Q57" s="108">
        <f>COUNTIFS($E:$E,$E57,$N:$N,"&gt;"&amp;$N57)+1</f>
        <v/>
      </c>
      <c r="R57" s="20" t="inlineStr">
        <is>
          <t>📈 Good</t>
        </is>
      </c>
      <c r="S57" s="20" t="inlineStr">
        <is>
          <t>➡️ Average</t>
        </is>
      </c>
      <c r="T57" s="20" t="inlineStr">
        <is>
          <t>⚠️ Watch</t>
        </is>
      </c>
      <c r="U57" s="83" t="inlineStr">
        <is>
          <t>FULL</t>
        </is>
      </c>
    </row>
    <row r="58" ht="16" customHeight="1">
      <c r="A58" s="28" t="n">
        <v>54</v>
      </c>
      <c r="B58" s="29" t="inlineStr">
        <is>
          <t>Mirae Asset Gold ETF</t>
        </is>
      </c>
      <c r="C58" s="29" t="inlineStr">
        <is>
          <t>Mirae Asset Mutual Fund</t>
        </is>
      </c>
      <c r="D58" s="29" t="inlineStr">
        <is>
          <t>Gold Etf</t>
        </is>
      </c>
      <c r="E58" s="29" t="inlineStr">
        <is>
          <t>Gold</t>
        </is>
      </c>
      <c r="F58" s="30" t="n">
        <v>8.98</v>
      </c>
      <c r="G58" s="91" t="n">
        <v>-3.1</v>
      </c>
      <c r="H58" s="30" t="n">
        <v>1.38</v>
      </c>
      <c r="I58" s="30" t="n">
        <v>52.17</v>
      </c>
      <c r="J58" s="30" t="n">
        <v>46.04451376207188</v>
      </c>
      <c r="K58" s="30" t="n">
        <v>155.48</v>
      </c>
      <c r="L58" s="17" t="n">
        <v>72.3</v>
      </c>
      <c r="M58" s="18" t="n">
        <v>33.3</v>
      </c>
      <c r="N58" s="35" t="n">
        <v>54.7</v>
      </c>
      <c r="O58" s="108">
        <f>COUNTIFS($E:$E,$E58,$L:$L,"&gt;"&amp;$L58)+1</f>
        <v/>
      </c>
      <c r="P58" s="108">
        <f>COUNTIFS($E:$E,$E58,$M:$M,"&gt;"&amp;$M58)+1</f>
        <v/>
      </c>
      <c r="Q58" s="108">
        <f>COUNTIFS($E:$E,$E58,$N:$N,"&gt;"&amp;$N58)+1</f>
        <v/>
      </c>
      <c r="R58" s="31" t="inlineStr">
        <is>
          <t>📈 Good</t>
        </is>
      </c>
      <c r="S58" s="31" t="inlineStr">
        <is>
          <t>⚠️ Below Avg</t>
        </is>
      </c>
      <c r="T58" s="31" t="inlineStr">
        <is>
          <t>⚠️ Watch</t>
        </is>
      </c>
      <c r="U58" s="83" t="inlineStr">
        <is>
          <t>FULL</t>
        </is>
      </c>
    </row>
    <row r="59" ht="16" customHeight="1">
      <c r="A59" s="13" t="n">
        <v>55</v>
      </c>
      <c r="B59" s="14" t="inlineStr">
        <is>
          <t>DSP Gold ETF</t>
        </is>
      </c>
      <c r="C59" s="14" t="inlineStr">
        <is>
          <t>DSP Mutual Fund</t>
        </is>
      </c>
      <c r="D59" s="14" t="inlineStr">
        <is>
          <t>Gold Etf</t>
        </is>
      </c>
      <c r="E59" s="14" t="inlineStr">
        <is>
          <t>Gold</t>
        </is>
      </c>
      <c r="F59" s="15" t="n">
        <v>8.99</v>
      </c>
      <c r="G59" s="16" t="n">
        <v>-3.11</v>
      </c>
      <c r="H59" s="15" t="n">
        <v>1.34</v>
      </c>
      <c r="I59" s="15" t="n">
        <v>52.3</v>
      </c>
      <c r="J59" s="15" t="n">
        <v>46.05478424207814</v>
      </c>
      <c r="K59" s="15" t="n">
        <v>155.14</v>
      </c>
      <c r="L59" s="17" t="n">
        <v>68.90000000000001</v>
      </c>
      <c r="M59" s="18" t="n">
        <v>37.2</v>
      </c>
      <c r="N59" s="35" t="n">
        <v>54.7</v>
      </c>
      <c r="O59" s="108">
        <f>COUNTIFS($E:$E,$E59,$L:$L,"&gt;"&amp;$L59)+1</f>
        <v/>
      </c>
      <c r="P59" s="108">
        <f>COUNTIFS($E:$E,$E59,$M:$M,"&gt;"&amp;$M59)+1</f>
        <v/>
      </c>
      <c r="Q59" s="108">
        <f>COUNTIFS($E:$E,$E59,$N:$N,"&gt;"&amp;$N59)+1</f>
        <v/>
      </c>
      <c r="R59" s="20" t="inlineStr">
        <is>
          <t>📈 Good</t>
        </is>
      </c>
      <c r="S59" s="20" t="inlineStr">
        <is>
          <t>⚠️ Below Avg</t>
        </is>
      </c>
      <c r="T59" s="20" t="inlineStr">
        <is>
          <t>⚠️ Watch</t>
        </is>
      </c>
      <c r="U59" s="83" t="inlineStr">
        <is>
          <t>FULL</t>
        </is>
      </c>
    </row>
    <row r="60" ht="16" customHeight="1">
      <c r="A60" s="28" t="n">
        <v>56</v>
      </c>
      <c r="B60" s="29" t="inlineStr">
        <is>
          <t>Axis Nifty Smallcap 50 Index Fund - Regular Plan - Growth Option</t>
        </is>
      </c>
      <c r="C60" s="29" t="inlineStr">
        <is>
          <t>Axis Mutual Fund</t>
        </is>
      </c>
      <c r="D60" s="29" t="inlineStr">
        <is>
          <t>Index Funds</t>
        </is>
      </c>
      <c r="E60" s="29" t="inlineStr">
        <is>
          <t>Index Fund</t>
        </is>
      </c>
      <c r="F60" s="30" t="n">
        <v>3.4</v>
      </c>
      <c r="G60" s="30" t="n">
        <v>12.21</v>
      </c>
      <c r="H60" s="30" t="n">
        <v>16.79</v>
      </c>
      <c r="I60" s="30" t="n">
        <v>15.83</v>
      </c>
      <c r="J60" s="30" t="n">
        <v>6.136704301575158</v>
      </c>
      <c r="K60" s="30" t="n">
        <v>81.37</v>
      </c>
      <c r="L60" s="24" t="n">
        <v>99.40000000000001</v>
      </c>
      <c r="M60" s="18" t="n">
        <v>0</v>
      </c>
      <c r="N60" s="35" t="n">
        <v>54.7</v>
      </c>
      <c r="O60" s="108">
        <f>COUNTIFS($E:$E,$E60,$L:$L,"&gt;"&amp;$L60)+1</f>
        <v/>
      </c>
      <c r="P60" s="108">
        <f>COUNTIFS($E:$E,$E60,$M:$M,"&gt;"&amp;$M60)+1</f>
        <v/>
      </c>
      <c r="Q60" s="108">
        <f>COUNTIFS($E:$E,$E60,$N:$N,"&gt;"&amp;$N60)+1</f>
        <v/>
      </c>
      <c r="R60" s="31" t="inlineStr">
        <is>
          <t>🔥 Hot</t>
        </is>
      </c>
      <c r="S60" s="31" t="inlineStr">
        <is>
          <t>🔴 Not Qualified</t>
        </is>
      </c>
      <c r="T60" s="31" t="inlineStr">
        <is>
          <t>⚠️ Watch</t>
        </is>
      </c>
      <c r="U60" s="83" t="inlineStr">
        <is>
          <t>FULL</t>
        </is>
      </c>
    </row>
    <row r="61" ht="16" customHeight="1">
      <c r="A61" s="13" t="n">
        <v>57</v>
      </c>
      <c r="B61" s="14" t="inlineStr">
        <is>
          <t>Kotak Nifty Smallcap 50 Index Fund - Regular Plan - Growth</t>
        </is>
      </c>
      <c r="C61" s="14" t="inlineStr">
        <is>
          <t>Kotak Mahindra Mutual Fund</t>
        </is>
      </c>
      <c r="D61" s="14" t="inlineStr">
        <is>
          <t>Index Funds</t>
        </is>
      </c>
      <c r="E61" s="14" t="inlineStr">
        <is>
          <t>Index Fund</t>
        </is>
      </c>
      <c r="F61" s="15" t="n">
        <v>3.42</v>
      </c>
      <c r="G61" s="15" t="n">
        <v>12.29</v>
      </c>
      <c r="H61" s="15" t="n">
        <v>16.63</v>
      </c>
      <c r="I61" s="15" t="n">
        <v>15.7</v>
      </c>
      <c r="J61" s="15" t="n">
        <v>6.367288204597932</v>
      </c>
      <c r="K61" s="15" t="n">
        <v>82.27</v>
      </c>
      <c r="L61" s="24" t="n">
        <v>99.3</v>
      </c>
      <c r="M61" s="18" t="n">
        <v>0</v>
      </c>
      <c r="N61" s="35" t="n">
        <v>54.6</v>
      </c>
      <c r="O61" s="108">
        <f>COUNTIFS($E:$E,$E61,$L:$L,"&gt;"&amp;$L61)+1</f>
        <v/>
      </c>
      <c r="P61" s="108">
        <f>COUNTIFS($E:$E,$E61,$M:$M,"&gt;"&amp;$M61)+1</f>
        <v/>
      </c>
      <c r="Q61" s="108">
        <f>COUNTIFS($E:$E,$E61,$N:$N,"&gt;"&amp;$N61)+1</f>
        <v/>
      </c>
      <c r="R61" s="20" t="inlineStr">
        <is>
          <t>🔥 Hot</t>
        </is>
      </c>
      <c r="S61" s="20" t="inlineStr">
        <is>
          <t>🔴 Not Qualified</t>
        </is>
      </c>
      <c r="T61" s="20" t="inlineStr">
        <is>
          <t>⚠️ Watch</t>
        </is>
      </c>
      <c r="U61" s="83" t="inlineStr">
        <is>
          <t>FULL</t>
        </is>
      </c>
    </row>
    <row r="62" ht="16" customHeight="1">
      <c r="A62" s="28" t="n">
        <v>58</v>
      </c>
      <c r="B62" s="29" t="inlineStr">
        <is>
          <t>Nippon India Gold Savings Fund-Growth plan- Growth Option</t>
        </is>
      </c>
      <c r="C62" s="29" t="inlineStr">
        <is>
          <t>Nippon India Mutual Fund</t>
        </is>
      </c>
      <c r="D62" s="29" t="inlineStr">
        <is>
          <t>Fof Domestic</t>
        </is>
      </c>
      <c r="E62" s="29" t="inlineStr">
        <is>
          <t>Gold</t>
        </is>
      </c>
      <c r="F62" s="30" t="n">
        <v>9.16</v>
      </c>
      <c r="G62" s="91" t="n">
        <v>-3.28</v>
      </c>
      <c r="H62" s="30" t="n">
        <v>1.29</v>
      </c>
      <c r="I62" s="30" t="n">
        <v>51.49</v>
      </c>
      <c r="J62" s="30" t="n">
        <v>45.26871652217486</v>
      </c>
      <c r="K62" s="30" t="n">
        <v>151.4</v>
      </c>
      <c r="L62" s="17" t="n">
        <v>64.7</v>
      </c>
      <c r="M62" s="18" t="n">
        <v>42</v>
      </c>
      <c r="N62" s="35" t="n">
        <v>54.5</v>
      </c>
      <c r="O62" s="108">
        <f>COUNTIFS($E:$E,$E62,$L:$L,"&gt;"&amp;$L62)+1</f>
        <v/>
      </c>
      <c r="P62" s="108">
        <f>COUNTIFS($E:$E,$E62,$M:$M,"&gt;"&amp;$M62)+1</f>
        <v/>
      </c>
      <c r="Q62" s="108">
        <f>COUNTIFS($E:$E,$E62,$N:$N,"&gt;"&amp;$N62)+1</f>
        <v/>
      </c>
      <c r="R62" s="31" t="inlineStr">
        <is>
          <t>📈 Good</t>
        </is>
      </c>
      <c r="S62" s="31" t="inlineStr">
        <is>
          <t>➡️ Average</t>
        </is>
      </c>
      <c r="T62" s="31" t="inlineStr">
        <is>
          <t>⚠️ Watch</t>
        </is>
      </c>
      <c r="U62" s="83" t="inlineStr">
        <is>
          <t>FULL</t>
        </is>
      </c>
    </row>
    <row r="63" ht="16" customHeight="1">
      <c r="A63" s="13" t="n">
        <v>59</v>
      </c>
      <c r="B63" s="14" t="inlineStr">
        <is>
          <t>Motilal Oswal BSE Healthcare ETF</t>
        </is>
      </c>
      <c r="C63" s="14" t="inlineStr">
        <is>
          <t>Motilal Oswal Mutual Fund</t>
        </is>
      </c>
      <c r="D63" s="14" t="inlineStr">
        <is>
          <t>Other  Etfs</t>
        </is>
      </c>
      <c r="E63" s="14" t="inlineStr">
        <is>
          <t>Pharma/Healthcare</t>
        </is>
      </c>
      <c r="F63" s="15" t="n">
        <v>2.14</v>
      </c>
      <c r="G63" s="15" t="n">
        <v>7.15</v>
      </c>
      <c r="H63" s="15" t="n">
        <v>17.57</v>
      </c>
      <c r="I63" s="15" t="n">
        <v>14.67</v>
      </c>
      <c r="J63" s="15" t="n">
        <v>11.43608033307704</v>
      </c>
      <c r="K63" s="15" t="n">
        <v>84.33</v>
      </c>
      <c r="L63" s="24" t="n">
        <v>87.09999999999999</v>
      </c>
      <c r="M63" s="18" t="n">
        <v>13.1</v>
      </c>
      <c r="N63" s="35" t="n">
        <v>53.8</v>
      </c>
      <c r="O63" s="108">
        <f>COUNTIFS($E:$E,$E63,$L:$L,"&gt;"&amp;$L63)+1</f>
        <v/>
      </c>
      <c r="P63" s="108">
        <f>COUNTIFS($E:$E,$E63,$M:$M,"&gt;"&amp;$M63)+1</f>
        <v/>
      </c>
      <c r="Q63" s="108">
        <f>COUNTIFS($E:$E,$E63,$N:$N,"&gt;"&amp;$N63)+1</f>
        <v/>
      </c>
      <c r="R63" s="20" t="inlineStr">
        <is>
          <t>⭐ Strong</t>
        </is>
      </c>
      <c r="S63" s="20" t="inlineStr">
        <is>
          <t>⚠️ Below Avg</t>
        </is>
      </c>
      <c r="T63" s="20" t="inlineStr">
        <is>
          <t>⚠️ Watch</t>
        </is>
      </c>
      <c r="U63" s="83" t="inlineStr">
        <is>
          <t>FULL</t>
        </is>
      </c>
    </row>
    <row r="64" ht="16" customHeight="1">
      <c r="A64" s="28" t="n">
        <v>60</v>
      </c>
      <c r="B64" s="29" t="inlineStr">
        <is>
          <t>Axis Global Equity Alpha Fund of Fund - Regular Plan - Growth Option</t>
        </is>
      </c>
      <c r="C64" s="29" t="inlineStr">
        <is>
          <t>Axis Mutual Fund</t>
        </is>
      </c>
      <c r="D64" s="29" t="inlineStr">
        <is>
          <t>Fof Overseas</t>
        </is>
      </c>
      <c r="E64" s="29" t="inlineStr">
        <is>
          <t>International</t>
        </is>
      </c>
      <c r="F64" s="30" t="n">
        <v>5.18</v>
      </c>
      <c r="G64" s="30" t="n">
        <v>6.07</v>
      </c>
      <c r="H64" s="30" t="n">
        <v>13.47</v>
      </c>
      <c r="I64" s="30" t="n">
        <v>25.69</v>
      </c>
      <c r="J64" s="30" t="n">
        <v>24.61540835707277</v>
      </c>
      <c r="K64" s="30" t="n">
        <v>92.45</v>
      </c>
      <c r="L64" s="17" t="n">
        <v>63.8</v>
      </c>
      <c r="M64" s="18" t="n">
        <v>40.8</v>
      </c>
      <c r="N64" s="35" t="n">
        <v>53.4</v>
      </c>
      <c r="O64" s="108">
        <f>COUNTIFS($E:$E,$E64,$L:$L,"&gt;"&amp;$L64)+1</f>
        <v/>
      </c>
      <c r="P64" s="108">
        <f>COUNTIFS($E:$E,$E64,$M:$M,"&gt;"&amp;$M64)+1</f>
        <v/>
      </c>
      <c r="Q64" s="108">
        <f>COUNTIFS($E:$E,$E64,$N:$N,"&gt;"&amp;$N64)+1</f>
        <v/>
      </c>
      <c r="R64" s="31" t="inlineStr">
        <is>
          <t>📈 Good</t>
        </is>
      </c>
      <c r="S64" s="31" t="inlineStr">
        <is>
          <t>➡️ Average</t>
        </is>
      </c>
      <c r="T64" s="31" t="inlineStr">
        <is>
          <t>⚠️ Watch</t>
        </is>
      </c>
      <c r="U64" s="83" t="inlineStr">
        <is>
          <t>FULL</t>
        </is>
      </c>
    </row>
    <row r="65" ht="16" customHeight="1">
      <c r="A65" s="13" t="n">
        <v>61</v>
      </c>
      <c r="B65" s="14" t="inlineStr">
        <is>
          <t>Edelweiss US Value Equity Offshore Fund - Regular Plan - Growth Option</t>
        </is>
      </c>
      <c r="C65" s="14" t="inlineStr">
        <is>
          <t>Edelweiss Mutual Fund</t>
        </is>
      </c>
      <c r="D65" s="14" t="inlineStr">
        <is>
          <t>Fof Overseas</t>
        </is>
      </c>
      <c r="E65" s="14" t="inlineStr">
        <is>
          <t>Standard Equity/Debt</t>
        </is>
      </c>
      <c r="F65" s="15" t="n">
        <v>1.54</v>
      </c>
      <c r="G65" s="15" t="n">
        <v>8.58</v>
      </c>
      <c r="H65" s="15" t="n">
        <v>16.09</v>
      </c>
      <c r="I65" s="15" t="n">
        <v>34.36</v>
      </c>
      <c r="J65" s="15" t="n">
        <v>21.89749792346027</v>
      </c>
      <c r="K65" s="15" t="n">
        <v>74.19</v>
      </c>
      <c r="L65" s="17" t="n">
        <v>65.8</v>
      </c>
      <c r="M65" s="18" t="n">
        <v>37.9</v>
      </c>
      <c r="N65" s="35" t="n">
        <v>53.3</v>
      </c>
      <c r="O65" s="108">
        <f>COUNTIFS($E:$E,$E65,$L:$L,"&gt;"&amp;$L65)+1</f>
        <v/>
      </c>
      <c r="P65" s="108">
        <f>COUNTIFS($E:$E,$E65,$M:$M,"&gt;"&amp;$M65)+1</f>
        <v/>
      </c>
      <c r="Q65" s="108">
        <f>COUNTIFS($E:$E,$E65,$N:$N,"&gt;"&amp;$N65)+1</f>
        <v/>
      </c>
      <c r="R65" s="20" t="inlineStr">
        <is>
          <t>📈 Good</t>
        </is>
      </c>
      <c r="S65" s="20" t="inlineStr">
        <is>
          <t>⚠️ Below Avg</t>
        </is>
      </c>
      <c r="T65" s="20" t="inlineStr">
        <is>
          <t>⚠️ Watch</t>
        </is>
      </c>
      <c r="U65" s="83" t="inlineStr">
        <is>
          <t>FULL</t>
        </is>
      </c>
    </row>
    <row r="66" ht="16" customHeight="1">
      <c r="A66" s="28" t="n">
        <v>62</v>
      </c>
      <c r="B66" s="29" t="inlineStr">
        <is>
          <t>Kotak Gold Fund Growth</t>
        </is>
      </c>
      <c r="C66" s="29" t="inlineStr">
        <is>
          <t>Kotak Mahindra Mutual Fund</t>
        </is>
      </c>
      <c r="D66" s="29" t="inlineStr">
        <is>
          <t>Fof Domestic</t>
        </is>
      </c>
      <c r="E66" s="29" t="inlineStr">
        <is>
          <t>Gold</t>
        </is>
      </c>
      <c r="F66" s="30" t="n">
        <v>9.109999999999999</v>
      </c>
      <c r="G66" s="91" t="n">
        <v>-3.3</v>
      </c>
      <c r="H66" s="30" t="n">
        <v>1.42</v>
      </c>
      <c r="I66" s="30" t="n">
        <v>51.51</v>
      </c>
      <c r="J66" s="30" t="n">
        <v>45.24806367039804</v>
      </c>
      <c r="K66" s="30" t="n">
        <v>151.32</v>
      </c>
      <c r="L66" s="17" t="n">
        <v>65.5</v>
      </c>
      <c r="M66" s="18" t="n">
        <v>38.2</v>
      </c>
      <c r="N66" s="35" t="n">
        <v>53.2</v>
      </c>
      <c r="O66" s="108">
        <f>COUNTIFS($E:$E,$E66,$L:$L,"&gt;"&amp;$L66)+1</f>
        <v/>
      </c>
      <c r="P66" s="108">
        <f>COUNTIFS($E:$E,$E66,$M:$M,"&gt;"&amp;$M66)+1</f>
        <v/>
      </c>
      <c r="Q66" s="108">
        <f>COUNTIFS($E:$E,$E66,$N:$N,"&gt;"&amp;$N66)+1</f>
        <v/>
      </c>
      <c r="R66" s="31" t="inlineStr">
        <is>
          <t>📈 Good</t>
        </is>
      </c>
      <c r="S66" s="31" t="inlineStr">
        <is>
          <t>⚠️ Below Avg</t>
        </is>
      </c>
      <c r="T66" s="31" t="inlineStr">
        <is>
          <t>⚠️ Watch</t>
        </is>
      </c>
      <c r="U66" s="83" t="inlineStr">
        <is>
          <t>FULL</t>
        </is>
      </c>
    </row>
    <row r="67" ht="16" customHeight="1">
      <c r="A67" s="13" t="n">
        <v>63</v>
      </c>
      <c r="B67" s="14" t="inlineStr">
        <is>
          <t>ICICI Prudential Global Advantage Fund (FOF) - Growth Option</t>
        </is>
      </c>
      <c r="C67" s="14" t="inlineStr">
        <is>
          <t>ICICI Prudential Mutual Fund</t>
        </is>
      </c>
      <c r="D67" s="14" t="inlineStr">
        <is>
          <t>Fof Domestic</t>
        </is>
      </c>
      <c r="E67" s="14" t="inlineStr">
        <is>
          <t>International</t>
        </is>
      </c>
      <c r="F67" s="15" t="n">
        <v>4.13</v>
      </c>
      <c r="G67" s="15" t="n">
        <v>3.89</v>
      </c>
      <c r="H67" s="15" t="n">
        <v>6.36</v>
      </c>
      <c r="I67" s="15" t="n">
        <v>23.09</v>
      </c>
      <c r="J67" s="15" t="n">
        <v>24.18131904598211</v>
      </c>
      <c r="K67" s="15" t="n">
        <v>75.8</v>
      </c>
      <c r="L67" s="24" t="n">
        <v>80</v>
      </c>
      <c r="M67" s="18" t="n">
        <v>20</v>
      </c>
      <c r="N67" s="35" t="n">
        <v>53</v>
      </c>
      <c r="O67" s="108">
        <f>COUNTIFS($E:$E,$E67,$L:$L,"&gt;"&amp;$L67)+1</f>
        <v/>
      </c>
      <c r="P67" s="108">
        <f>COUNTIFS($E:$E,$E67,$M:$M,"&gt;"&amp;$M67)+1</f>
        <v/>
      </c>
      <c r="Q67" s="108">
        <f>COUNTIFS($E:$E,$E67,$N:$N,"&gt;"&amp;$N67)+1</f>
        <v/>
      </c>
      <c r="R67" s="20" t="inlineStr">
        <is>
          <t>⭐ Strong</t>
        </is>
      </c>
      <c r="S67" s="20" t="inlineStr">
        <is>
          <t>⚠️ Below Avg</t>
        </is>
      </c>
      <c r="T67" s="20" t="inlineStr">
        <is>
          <t>⚠️ Watch</t>
        </is>
      </c>
      <c r="U67" s="83" t="inlineStr">
        <is>
          <t>FULL</t>
        </is>
      </c>
    </row>
    <row r="68" ht="16" customHeight="1">
      <c r="A68" s="28" t="n">
        <v>64</v>
      </c>
      <c r="B68" s="29" t="inlineStr">
        <is>
          <t>Kotak Gold Fund Payout of Income Distribution cum capital withdrawal option</t>
        </is>
      </c>
      <c r="C68" s="29" t="inlineStr">
        <is>
          <t>Kotak Mahindra Mutual Fund</t>
        </is>
      </c>
      <c r="D68" s="29" t="inlineStr">
        <is>
          <t>Fof Domestic</t>
        </is>
      </c>
      <c r="E68" s="29" t="inlineStr">
        <is>
          <t>Gold</t>
        </is>
      </c>
      <c r="F68" s="30" t="n">
        <v>9.109999999999999</v>
      </c>
      <c r="G68" s="91" t="n">
        <v>-3.31</v>
      </c>
      <c r="H68" s="30" t="n">
        <v>1.42</v>
      </c>
      <c r="I68" s="30" t="n">
        <v>51.51</v>
      </c>
      <c r="J68" s="30" t="n">
        <v>45.24462124292246</v>
      </c>
      <c r="K68" s="30" t="n">
        <v>151.32</v>
      </c>
      <c r="L68" s="17" t="n">
        <v>65.09999999999999</v>
      </c>
      <c r="M68" s="18" t="n">
        <v>37</v>
      </c>
      <c r="N68" s="35" t="n">
        <v>52.5</v>
      </c>
      <c r="O68" s="108">
        <f>COUNTIFS($E:$E,$E68,$L:$L,"&gt;"&amp;$L68)+1</f>
        <v/>
      </c>
      <c r="P68" s="108">
        <f>COUNTIFS($E:$E,$E68,$M:$M,"&gt;"&amp;$M68)+1</f>
        <v/>
      </c>
      <c r="Q68" s="108">
        <f>COUNTIFS($E:$E,$E68,$N:$N,"&gt;"&amp;$N68)+1</f>
        <v/>
      </c>
      <c r="R68" s="31" t="inlineStr">
        <is>
          <t>📈 Good</t>
        </is>
      </c>
      <c r="S68" s="31" t="inlineStr">
        <is>
          <t>⚠️ Below Avg</t>
        </is>
      </c>
      <c r="T68" s="31" t="inlineStr">
        <is>
          <t>⚠️ Watch</t>
        </is>
      </c>
      <c r="U68" s="83" t="inlineStr">
        <is>
          <t>FULL</t>
        </is>
      </c>
    </row>
    <row r="69" ht="16" customHeight="1">
      <c r="A69" s="13" t="n">
        <v>65</v>
      </c>
      <c r="B69" s="14" t="inlineStr">
        <is>
          <t>ICICI Prudential Nifty Auto Index Fund - Growth</t>
        </is>
      </c>
      <c r="C69" s="14" t="inlineStr">
        <is>
          <t>ICICI Prudential Mutual Fund</t>
        </is>
      </c>
      <c r="D69" s="14" t="inlineStr">
        <is>
          <t>Index Funds</t>
        </is>
      </c>
      <c r="E69" s="14" t="inlineStr">
        <is>
          <t>Index Fund</t>
        </is>
      </c>
      <c r="F69" s="15" t="n">
        <v>8.220000000000001</v>
      </c>
      <c r="G69" s="15" t="n">
        <v>14.55</v>
      </c>
      <c r="H69" s="15" t="n">
        <v>3.78</v>
      </c>
      <c r="I69" s="15" t="n">
        <v>21.46</v>
      </c>
      <c r="J69" s="15" t="n">
        <v>6.953260819855323</v>
      </c>
      <c r="K69" s="15" t="n">
        <v>89.59999999999999</v>
      </c>
      <c r="L69" s="24" t="n">
        <v>94.3</v>
      </c>
      <c r="M69" s="18" t="n">
        <v>0</v>
      </c>
      <c r="N69" s="35" t="n">
        <v>51.8</v>
      </c>
      <c r="O69" s="108">
        <f>COUNTIFS($E:$E,$E69,$L:$L,"&gt;"&amp;$L69)+1</f>
        <v/>
      </c>
      <c r="P69" s="108">
        <f>COUNTIFS($E:$E,$E69,$M:$M,"&gt;"&amp;$M69)+1</f>
        <v/>
      </c>
      <c r="Q69" s="108">
        <f>COUNTIFS($E:$E,$E69,$N:$N,"&gt;"&amp;$N69)+1</f>
        <v/>
      </c>
      <c r="R69" s="20" t="inlineStr">
        <is>
          <t>🔥 Hot</t>
        </is>
      </c>
      <c r="S69" s="20" t="inlineStr">
        <is>
          <t>🔴 Not Qualified</t>
        </is>
      </c>
      <c r="T69" s="20" t="inlineStr">
        <is>
          <t>⚠️ Watch</t>
        </is>
      </c>
      <c r="U69" s="83" t="inlineStr">
        <is>
          <t>FULL</t>
        </is>
      </c>
    </row>
    <row r="70" ht="16" customHeight="1">
      <c r="A70" s="28" t="n">
        <v>66</v>
      </c>
      <c r="B70" s="29" t="inlineStr">
        <is>
          <t>Edelweiss Europe Dynamic Equity Offshore Fund - Growth Option - Regular Plan</t>
        </is>
      </c>
      <c r="C70" s="29" t="inlineStr">
        <is>
          <t>Edelweiss Mutual Fund</t>
        </is>
      </c>
      <c r="D70" s="29" t="inlineStr">
        <is>
          <t>Fof Overseas</t>
        </is>
      </c>
      <c r="E70" s="29" t="inlineStr">
        <is>
          <t>Standard Equity/Debt</t>
        </is>
      </c>
      <c r="F70" s="30" t="n">
        <v>2.93</v>
      </c>
      <c r="G70" s="30" t="n">
        <v>7.07</v>
      </c>
      <c r="H70" s="30" t="n">
        <v>8.279999999999999</v>
      </c>
      <c r="I70" s="30" t="n">
        <v>28.74</v>
      </c>
      <c r="J70" s="30" t="n">
        <v>28.8371064561759</v>
      </c>
      <c r="K70" s="30" t="n">
        <v>99.43000000000001</v>
      </c>
      <c r="L70" s="17" t="n">
        <v>51.5</v>
      </c>
      <c r="M70" s="42" t="n">
        <v>52.2</v>
      </c>
      <c r="N70" s="35" t="n">
        <v>51.8</v>
      </c>
      <c r="O70" s="108">
        <f>COUNTIFS($E:$E,$E70,$L:$L,"&gt;"&amp;$L70)+1</f>
        <v/>
      </c>
      <c r="P70" s="108">
        <f>COUNTIFS($E:$E,$E70,$M:$M,"&gt;"&amp;$M70)+1</f>
        <v/>
      </c>
      <c r="Q70" s="108">
        <f>COUNTIFS($E:$E,$E70,$N:$N,"&gt;"&amp;$N70)+1</f>
        <v/>
      </c>
      <c r="R70" s="31" t="inlineStr">
        <is>
          <t>➡️ Neutral</t>
        </is>
      </c>
      <c r="S70" s="31" t="inlineStr">
        <is>
          <t>➡️ Average</t>
        </is>
      </c>
      <c r="T70" s="31" t="inlineStr">
        <is>
          <t>⚠️ Watch</t>
        </is>
      </c>
      <c r="U70" s="83" t="inlineStr">
        <is>
          <t>FULL</t>
        </is>
      </c>
    </row>
    <row r="71" ht="16" customHeight="1">
      <c r="A71" s="13" t="n">
        <v>67</v>
      </c>
      <c r="B71" s="14" t="inlineStr">
        <is>
          <t>HDFC Gold ETF - Growth Option</t>
        </is>
      </c>
      <c r="C71" s="14" t="inlineStr">
        <is>
          <t>HDFC Mutual Fund</t>
        </is>
      </c>
      <c r="D71" s="14" t="inlineStr">
        <is>
          <t>Gold Etf</t>
        </is>
      </c>
      <c r="E71" s="14" t="inlineStr">
        <is>
          <t>Gold</t>
        </is>
      </c>
      <c r="F71" s="15" t="n">
        <v>9.02</v>
      </c>
      <c r="G71" s="16" t="n">
        <v>-3.16</v>
      </c>
      <c r="H71" s="15" t="n">
        <v>1.28</v>
      </c>
      <c r="I71" s="15" t="n">
        <v>52.29</v>
      </c>
      <c r="J71" s="15" t="n">
        <v>45.88694252742431</v>
      </c>
      <c r="K71" s="15" t="n">
        <v>156.11</v>
      </c>
      <c r="L71" s="17" t="n">
        <v>53.7</v>
      </c>
      <c r="M71" s="18" t="n">
        <v>49.4</v>
      </c>
      <c r="N71" s="35" t="n">
        <v>51.8</v>
      </c>
      <c r="O71" s="108">
        <f>COUNTIFS($E:$E,$E71,$L:$L,"&gt;"&amp;$L71)+1</f>
        <v/>
      </c>
      <c r="P71" s="108">
        <f>COUNTIFS($E:$E,$E71,$M:$M,"&gt;"&amp;$M71)+1</f>
        <v/>
      </c>
      <c r="Q71" s="108">
        <f>COUNTIFS($E:$E,$E71,$N:$N,"&gt;"&amp;$N71)+1</f>
        <v/>
      </c>
      <c r="R71" s="20" t="inlineStr">
        <is>
          <t>➡️ Neutral</t>
        </is>
      </c>
      <c r="S71" s="20" t="inlineStr">
        <is>
          <t>➡️ Average</t>
        </is>
      </c>
      <c r="T71" s="20" t="inlineStr">
        <is>
          <t>⚠️ Watch</t>
        </is>
      </c>
      <c r="U71" s="83" t="inlineStr">
        <is>
          <t>FULL</t>
        </is>
      </c>
    </row>
    <row r="72" ht="16" customHeight="1">
      <c r="A72" s="28" t="n">
        <v>68</v>
      </c>
      <c r="B72" s="29" t="inlineStr">
        <is>
          <t>ICICI Prudential Nifty Pharma Index Fund - Growth</t>
        </is>
      </c>
      <c r="C72" s="29" t="inlineStr">
        <is>
          <t>ICICI Prudential Mutual Fund</t>
        </is>
      </c>
      <c r="D72" s="29" t="inlineStr">
        <is>
          <t>Index Funds</t>
        </is>
      </c>
      <c r="E72" s="29" t="inlineStr">
        <is>
          <t>Pharma/Healthcare</t>
        </is>
      </c>
      <c r="F72" s="30" t="n">
        <v>2.79</v>
      </c>
      <c r="G72" s="30" t="n">
        <v>6.07</v>
      </c>
      <c r="H72" s="30" t="n">
        <v>16.69</v>
      </c>
      <c r="I72" s="30" t="n">
        <v>18.29</v>
      </c>
      <c r="J72" s="30" t="n">
        <v>8.696826080617459</v>
      </c>
      <c r="K72" s="30" t="n">
        <v>69.56</v>
      </c>
      <c r="L72" s="24" t="n">
        <v>93.40000000000001</v>
      </c>
      <c r="M72" s="18" t="n">
        <v>0</v>
      </c>
      <c r="N72" s="35" t="n">
        <v>51.4</v>
      </c>
      <c r="O72" s="108">
        <f>COUNTIFS($E:$E,$E72,$L:$L,"&gt;"&amp;$L72)+1</f>
        <v/>
      </c>
      <c r="P72" s="108">
        <f>COUNTIFS($E:$E,$E72,$M:$M,"&gt;"&amp;$M72)+1</f>
        <v/>
      </c>
      <c r="Q72" s="108">
        <f>COUNTIFS($E:$E,$E72,$N:$N,"&gt;"&amp;$N72)+1</f>
        <v/>
      </c>
      <c r="R72" s="31" t="inlineStr">
        <is>
          <t>🔥 Hot</t>
        </is>
      </c>
      <c r="S72" s="31" t="inlineStr">
        <is>
          <t>🔴 Not Qualified</t>
        </is>
      </c>
      <c r="T72" s="31" t="inlineStr">
        <is>
          <t>⚠️ Watch</t>
        </is>
      </c>
      <c r="U72" s="83" t="inlineStr">
        <is>
          <t>FULL</t>
        </is>
      </c>
    </row>
    <row r="73" ht="16" customHeight="1">
      <c r="A73" s="13" t="n">
        <v>69</v>
      </c>
      <c r="B73" s="14" t="inlineStr">
        <is>
          <t>Kotak Nifty Alpha 50 ETF</t>
        </is>
      </c>
      <c r="C73" s="14" t="inlineStr">
        <is>
          <t>Kotak Mahindra Mutual Fund</t>
        </is>
      </c>
      <c r="D73" s="14" t="inlineStr">
        <is>
          <t>Other  Etfs</t>
        </is>
      </c>
      <c r="E73" s="14" t="inlineStr">
        <is>
          <t>Index Fund</t>
        </is>
      </c>
      <c r="F73" s="15" t="n">
        <v>5.25</v>
      </c>
      <c r="G73" s="15" t="n">
        <v>9.4</v>
      </c>
      <c r="H73" s="15" t="n">
        <v>9.83</v>
      </c>
      <c r="I73" s="15" t="n">
        <v>12.24</v>
      </c>
      <c r="J73" s="16" t="n">
        <v>-2.000000000000002</v>
      </c>
      <c r="K73" s="15" t="n">
        <v>66.3</v>
      </c>
      <c r="L73" s="24" t="n">
        <v>93.2</v>
      </c>
      <c r="M73" s="18" t="n">
        <v>0</v>
      </c>
      <c r="N73" s="35" t="n">
        <v>51.2</v>
      </c>
      <c r="O73" s="108">
        <f>COUNTIFS($E:$E,$E73,$L:$L,"&gt;"&amp;$L73)+1</f>
        <v/>
      </c>
      <c r="P73" s="108">
        <f>COUNTIFS($E:$E,$E73,$M:$M,"&gt;"&amp;$M73)+1</f>
        <v/>
      </c>
      <c r="Q73" s="108">
        <f>COUNTIFS($E:$E,$E73,$N:$N,"&gt;"&amp;$N73)+1</f>
        <v/>
      </c>
      <c r="R73" s="20" t="inlineStr">
        <is>
          <t>🔥 Hot</t>
        </is>
      </c>
      <c r="S73" s="20" t="inlineStr">
        <is>
          <t>🔴 Not Qualified</t>
        </is>
      </c>
      <c r="T73" s="20" t="inlineStr">
        <is>
          <t>⚠️ Watch</t>
        </is>
      </c>
      <c r="U73" s="83" t="inlineStr">
        <is>
          <t>FULL</t>
        </is>
      </c>
    </row>
    <row r="74" ht="16" customHeight="1">
      <c r="A74" s="28" t="n">
        <v>70</v>
      </c>
      <c r="B74" s="29" t="inlineStr">
        <is>
          <t>Aditya Birla Sun Life Multi Asset Omni FoF- Regular Plan - Growth Option</t>
        </is>
      </c>
      <c r="C74" s="29" t="inlineStr">
        <is>
          <t>Aditya Birla Sun Life Mutual Fund</t>
        </is>
      </c>
      <c r="D74" s="29" t="inlineStr">
        <is>
          <t>Fof Domestic</t>
        </is>
      </c>
      <c r="E74" s="29" t="inlineStr">
        <is>
          <t>Standard Equity/Debt</t>
        </is>
      </c>
      <c r="F74" s="30" t="n">
        <v>3.28</v>
      </c>
      <c r="G74" s="30" t="n">
        <v>6.1</v>
      </c>
      <c r="H74" s="30" t="n">
        <v>3.6</v>
      </c>
      <c r="I74" s="30" t="n">
        <v>17.69</v>
      </c>
      <c r="J74" s="30" t="n">
        <v>11.40017953306898</v>
      </c>
      <c r="K74" s="30" t="n">
        <v>62.63</v>
      </c>
      <c r="L74" s="24" t="n">
        <v>79.90000000000001</v>
      </c>
      <c r="M74" s="18" t="n">
        <v>16</v>
      </c>
      <c r="N74" s="35" t="n">
        <v>51.2</v>
      </c>
      <c r="O74" s="108">
        <f>COUNTIFS($E:$E,$E74,$L:$L,"&gt;"&amp;$L74)+1</f>
        <v/>
      </c>
      <c r="P74" s="108">
        <f>COUNTIFS($E:$E,$E74,$M:$M,"&gt;"&amp;$M74)+1</f>
        <v/>
      </c>
      <c r="Q74" s="108">
        <f>COUNTIFS($E:$E,$E74,$N:$N,"&gt;"&amp;$N74)+1</f>
        <v/>
      </c>
      <c r="R74" s="31" t="inlineStr">
        <is>
          <t>⭐ Strong</t>
        </is>
      </c>
      <c r="S74" s="31" t="inlineStr">
        <is>
          <t>⚠️ Below Avg</t>
        </is>
      </c>
      <c r="T74" s="31" t="inlineStr">
        <is>
          <t>⚠️ Watch</t>
        </is>
      </c>
      <c r="U74" s="83" t="inlineStr">
        <is>
          <t>FULL</t>
        </is>
      </c>
    </row>
    <row r="75" ht="16" customHeight="1">
      <c r="A75" s="13" t="n">
        <v>71</v>
      </c>
      <c r="B75" s="14" t="inlineStr">
        <is>
          <t>LIC MF Nifty Next 50 Index Fund-Regular Plan-Growth</t>
        </is>
      </c>
      <c r="C75" s="14" t="inlineStr">
        <is>
          <t>LIC Mutual Fund</t>
        </is>
      </c>
      <c r="D75" s="14" t="inlineStr">
        <is>
          <t>Index Funds</t>
        </is>
      </c>
      <c r="E75" s="14" t="inlineStr">
        <is>
          <t>Index Fund</t>
        </is>
      </c>
      <c r="F75" s="15" t="n">
        <v>3.6</v>
      </c>
      <c r="G75" s="15" t="n">
        <v>8.220000000000001</v>
      </c>
      <c r="H75" s="15" t="n">
        <v>6.24</v>
      </c>
      <c r="I75" s="15" t="n">
        <v>12.11</v>
      </c>
      <c r="J75" s="15" t="n">
        <v>1.118742080783419</v>
      </c>
      <c r="K75" s="15" t="n">
        <v>69.76000000000001</v>
      </c>
      <c r="L75" s="24" t="n">
        <v>92.7</v>
      </c>
      <c r="M75" s="18" t="n">
        <v>0</v>
      </c>
      <c r="N75" s="35" t="n">
        <v>51</v>
      </c>
      <c r="O75" s="108">
        <f>COUNTIFS($E:$E,$E75,$L:$L,"&gt;"&amp;$L75)+1</f>
        <v/>
      </c>
      <c r="P75" s="108">
        <f>COUNTIFS($E:$E,$E75,$M:$M,"&gt;"&amp;$M75)+1</f>
        <v/>
      </c>
      <c r="Q75" s="108">
        <f>COUNTIFS($E:$E,$E75,$N:$N,"&gt;"&amp;$N75)+1</f>
        <v/>
      </c>
      <c r="R75" s="20" t="inlineStr">
        <is>
          <t>🔥 Hot</t>
        </is>
      </c>
      <c r="S75" s="20" t="inlineStr">
        <is>
          <t>🔴 Not Qualified</t>
        </is>
      </c>
      <c r="T75" s="20" t="inlineStr">
        <is>
          <t>⚠️ Watch</t>
        </is>
      </c>
      <c r="U75" s="83" t="inlineStr">
        <is>
          <t>FULL</t>
        </is>
      </c>
    </row>
    <row r="76" ht="16" customHeight="1">
      <c r="A76" s="28" t="n">
        <v>72</v>
      </c>
      <c r="B76" s="29" t="inlineStr">
        <is>
          <t>Kotak Nifty Next 50 Index Fund - Regular Plan - Growth Option</t>
        </is>
      </c>
      <c r="C76" s="29" t="inlineStr">
        <is>
          <t>Kotak Mahindra Mutual Fund</t>
        </is>
      </c>
      <c r="D76" s="29" t="inlineStr">
        <is>
          <t>Index Funds</t>
        </is>
      </c>
      <c r="E76" s="29" t="inlineStr">
        <is>
          <t>Index Fund</t>
        </is>
      </c>
      <c r="F76" s="30" t="n">
        <v>3.65</v>
      </c>
      <c r="G76" s="30" t="n">
        <v>7.93</v>
      </c>
      <c r="H76" s="30" t="n">
        <v>6.02</v>
      </c>
      <c r="I76" s="30" t="n">
        <v>12.04</v>
      </c>
      <c r="J76" s="30" t="n">
        <v>1.183002525127708</v>
      </c>
      <c r="K76" s="30" t="n">
        <v>70.37</v>
      </c>
      <c r="L76" s="24" t="n">
        <v>92.59999999999999</v>
      </c>
      <c r="M76" s="18" t="n">
        <v>0</v>
      </c>
      <c r="N76" s="35" t="n">
        <v>50.9</v>
      </c>
      <c r="O76" s="108">
        <f>COUNTIFS($E:$E,$E76,$L:$L,"&gt;"&amp;$L76)+1</f>
        <v/>
      </c>
      <c r="P76" s="108">
        <f>COUNTIFS($E:$E,$E76,$M:$M,"&gt;"&amp;$M76)+1</f>
        <v/>
      </c>
      <c r="Q76" s="108">
        <f>COUNTIFS($E:$E,$E76,$N:$N,"&gt;"&amp;$N76)+1</f>
        <v/>
      </c>
      <c r="R76" s="31" t="inlineStr">
        <is>
          <t>🔥 Hot</t>
        </is>
      </c>
      <c r="S76" s="31" t="inlineStr">
        <is>
          <t>🔴 Not Qualified</t>
        </is>
      </c>
      <c r="T76" s="31" t="inlineStr">
        <is>
          <t>⚠️ Watch</t>
        </is>
      </c>
      <c r="U76" s="83" t="inlineStr">
        <is>
          <t>FULL</t>
        </is>
      </c>
    </row>
    <row r="77" ht="16" customHeight="1">
      <c r="A77" s="13" t="n">
        <v>73</v>
      </c>
      <c r="B77" s="14" t="inlineStr">
        <is>
          <t>Kotak Nifty Next 50 Index Fund - Regular Plan - Payout of Income Distribution cum capital withdrawal option</t>
        </is>
      </c>
      <c r="C77" s="14" t="inlineStr">
        <is>
          <t>Kotak Mahindra Mutual Fund</t>
        </is>
      </c>
      <c r="D77" s="14" t="inlineStr">
        <is>
          <t>Index Funds</t>
        </is>
      </c>
      <c r="E77" s="14" t="inlineStr">
        <is>
          <t>Index Fund</t>
        </is>
      </c>
      <c r="F77" s="15" t="n">
        <v>3.65</v>
      </c>
      <c r="G77" s="15" t="n">
        <v>7.93</v>
      </c>
      <c r="H77" s="15" t="n">
        <v>6.02</v>
      </c>
      <c r="I77" s="15" t="n">
        <v>12.04</v>
      </c>
      <c r="J77" s="15" t="n">
        <v>1.183002525127708</v>
      </c>
      <c r="K77" s="15" t="n">
        <v>70.37</v>
      </c>
      <c r="L77" s="24" t="n">
        <v>92.59999999999999</v>
      </c>
      <c r="M77" s="18" t="n">
        <v>0</v>
      </c>
      <c r="N77" s="35" t="n">
        <v>50.9</v>
      </c>
      <c r="O77" s="108">
        <f>COUNTIFS($E:$E,$E77,$L:$L,"&gt;"&amp;$L77)+1</f>
        <v/>
      </c>
      <c r="P77" s="108">
        <f>COUNTIFS($E:$E,$E77,$M:$M,"&gt;"&amp;$M77)+1</f>
        <v/>
      </c>
      <c r="Q77" s="108">
        <f>COUNTIFS($E:$E,$E77,$N:$N,"&gt;"&amp;$N77)+1</f>
        <v/>
      </c>
      <c r="R77" s="20" t="inlineStr">
        <is>
          <t>🔥 Hot</t>
        </is>
      </c>
      <c r="S77" s="20" t="inlineStr">
        <is>
          <t>🔴 Not Qualified</t>
        </is>
      </c>
      <c r="T77" s="20" t="inlineStr">
        <is>
          <t>⚠️ Watch</t>
        </is>
      </c>
      <c r="U77" s="83" t="inlineStr">
        <is>
          <t>FULL</t>
        </is>
      </c>
    </row>
    <row r="78" ht="16" customHeight="1">
      <c r="A78" s="28" t="n">
        <v>74</v>
      </c>
      <c r="B78" s="29" t="inlineStr">
        <is>
          <t>SBI Nifty Next 50 Index Fund - Regular Plan - Growth</t>
        </is>
      </c>
      <c r="C78" s="29" t="inlineStr">
        <is>
          <t>SBI Mutual Fund</t>
        </is>
      </c>
      <c r="D78" s="29" t="inlineStr">
        <is>
          <t>Index Funds</t>
        </is>
      </c>
      <c r="E78" s="29" t="inlineStr">
        <is>
          <t>Index Fund</t>
        </is>
      </c>
      <c r="F78" s="30" t="n">
        <v>3.65</v>
      </c>
      <c r="G78" s="30" t="n">
        <v>7.95</v>
      </c>
      <c r="H78" s="30" t="n">
        <v>5.99</v>
      </c>
      <c r="I78" s="30" t="n">
        <v>11.98</v>
      </c>
      <c r="J78" s="30" t="n">
        <v>1.094015648800895</v>
      </c>
      <c r="K78" s="30" t="n">
        <v>70.31999999999999</v>
      </c>
      <c r="L78" s="24" t="n">
        <v>92.5</v>
      </c>
      <c r="M78" s="18" t="n">
        <v>0</v>
      </c>
      <c r="N78" s="35" t="n">
        <v>50.9</v>
      </c>
      <c r="O78" s="108">
        <f>COUNTIFS($E:$E,$E78,$L:$L,"&gt;"&amp;$L78)+1</f>
        <v/>
      </c>
      <c r="P78" s="108">
        <f>COUNTIFS($E:$E,$E78,$M:$M,"&gt;"&amp;$M78)+1</f>
        <v/>
      </c>
      <c r="Q78" s="108">
        <f>COUNTIFS($E:$E,$E78,$N:$N,"&gt;"&amp;$N78)+1</f>
        <v/>
      </c>
      <c r="R78" s="31" t="inlineStr">
        <is>
          <t>🔥 Hot</t>
        </is>
      </c>
      <c r="S78" s="31" t="inlineStr">
        <is>
          <t>🔴 Not Qualified</t>
        </is>
      </c>
      <c r="T78" s="31" t="inlineStr">
        <is>
          <t>⚠️ Watch</t>
        </is>
      </c>
      <c r="U78" s="83" t="inlineStr">
        <is>
          <t>FULL</t>
        </is>
      </c>
    </row>
    <row r="79" ht="16" customHeight="1">
      <c r="A79" s="13" t="n">
        <v>75</v>
      </c>
      <c r="B79" s="14" t="inlineStr">
        <is>
          <t>Edelweiss MSCI India Domestic &amp; World Healthcare 45 index Fund Regular Plan - Growth</t>
        </is>
      </c>
      <c r="C79" s="14" t="inlineStr">
        <is>
          <t>Edelweiss Mutual Fund</t>
        </is>
      </c>
      <c r="D79" s="14" t="inlineStr">
        <is>
          <t>Index Funds</t>
        </is>
      </c>
      <c r="E79" s="14" t="inlineStr">
        <is>
          <t>International</t>
        </is>
      </c>
      <c r="F79" s="15" t="n">
        <v>1.86</v>
      </c>
      <c r="G79" s="15" t="n">
        <v>7.87</v>
      </c>
      <c r="H79" s="15" t="n">
        <v>12.79</v>
      </c>
      <c r="I79" s="15" t="n">
        <v>20.77</v>
      </c>
      <c r="J79" s="15" t="n">
        <v>10.91438139393828</v>
      </c>
      <c r="K79" s="15" t="n">
        <v>68.20999999999999</v>
      </c>
      <c r="L79" s="24" t="n">
        <v>92.5</v>
      </c>
      <c r="M79" s="18" t="n">
        <v>0</v>
      </c>
      <c r="N79" s="35" t="n">
        <v>50.9</v>
      </c>
      <c r="O79" s="108">
        <f>COUNTIFS($E:$E,$E79,$L:$L,"&gt;"&amp;$L79)+1</f>
        <v/>
      </c>
      <c r="P79" s="108">
        <f>COUNTIFS($E:$E,$E79,$M:$M,"&gt;"&amp;$M79)+1</f>
        <v/>
      </c>
      <c r="Q79" s="108">
        <f>COUNTIFS($E:$E,$E79,$N:$N,"&gt;"&amp;$N79)+1</f>
        <v/>
      </c>
      <c r="R79" s="20" t="inlineStr">
        <is>
          <t>🔥 Hot</t>
        </is>
      </c>
      <c r="S79" s="20" t="inlineStr">
        <is>
          <t>🔴 Not Qualified</t>
        </is>
      </c>
      <c r="T79" s="20" t="inlineStr">
        <is>
          <t>⚠️ Watch</t>
        </is>
      </c>
      <c r="U79" s="83" t="inlineStr">
        <is>
          <t>FULL</t>
        </is>
      </c>
    </row>
    <row r="80" ht="16" customHeight="1">
      <c r="A80" s="28" t="n">
        <v>76</v>
      </c>
      <c r="B80" s="29" t="inlineStr">
        <is>
          <t>UTI Nifty Next 50 Index Fund - Regular Plan - Growth Option</t>
        </is>
      </c>
      <c r="C80" s="29" t="inlineStr">
        <is>
          <t>UTI Mutual Fund</t>
        </is>
      </c>
      <c r="D80" s="29" t="inlineStr">
        <is>
          <t>Index Funds</t>
        </is>
      </c>
      <c r="E80" s="29" t="inlineStr">
        <is>
          <t>Index Fund</t>
        </is>
      </c>
      <c r="F80" s="30" t="n">
        <v>3.65</v>
      </c>
      <c r="G80" s="30" t="n">
        <v>7.92</v>
      </c>
      <c r="H80" s="30" t="n">
        <v>5.97</v>
      </c>
      <c r="I80" s="30" t="n">
        <v>11.94</v>
      </c>
      <c r="J80" s="30" t="n">
        <v>1.113797278116313</v>
      </c>
      <c r="K80" s="30" t="n">
        <v>70.39</v>
      </c>
      <c r="L80" s="24" t="n">
        <v>92.09999999999999</v>
      </c>
      <c r="M80" s="18" t="n">
        <v>0</v>
      </c>
      <c r="N80" s="35" t="n">
        <v>50.7</v>
      </c>
      <c r="O80" s="108">
        <f>COUNTIFS($E:$E,$E80,$L:$L,"&gt;"&amp;$L80)+1</f>
        <v/>
      </c>
      <c r="P80" s="108">
        <f>COUNTIFS($E:$E,$E80,$M:$M,"&gt;"&amp;$M80)+1</f>
        <v/>
      </c>
      <c r="Q80" s="108">
        <f>COUNTIFS($E:$E,$E80,$N:$N,"&gt;"&amp;$N80)+1</f>
        <v/>
      </c>
      <c r="R80" s="31" t="inlineStr">
        <is>
          <t>🔥 Hot</t>
        </is>
      </c>
      <c r="S80" s="31" t="inlineStr">
        <is>
          <t>🔴 Not Qualified</t>
        </is>
      </c>
      <c r="T80" s="31" t="inlineStr">
        <is>
          <t>⚠️ Watch</t>
        </is>
      </c>
      <c r="U80" s="83" t="inlineStr">
        <is>
          <t>FULL</t>
        </is>
      </c>
    </row>
    <row r="81" ht="16" customHeight="1">
      <c r="A81" s="13" t="n">
        <v>77</v>
      </c>
      <c r="B81" s="14" t="inlineStr">
        <is>
          <t>ICICI Prudential Nifty Auto ETF</t>
        </is>
      </c>
      <c r="C81" s="14" t="inlineStr">
        <is>
          <t>ICICI Prudential Mutual Fund</t>
        </is>
      </c>
      <c r="D81" s="14" t="inlineStr">
        <is>
          <t>Other  Etfs</t>
        </is>
      </c>
      <c r="E81" s="14" t="inlineStr">
        <is>
          <t>Index Fund</t>
        </is>
      </c>
      <c r="F81" s="15" t="n">
        <v>8.289999999999999</v>
      </c>
      <c r="G81" s="15" t="n">
        <v>14.77</v>
      </c>
      <c r="H81" s="15" t="n">
        <v>4.12</v>
      </c>
      <c r="I81" s="15" t="n">
        <v>22.4</v>
      </c>
      <c r="J81" s="15" t="n">
        <v>7.763630228384577</v>
      </c>
      <c r="K81" s="16" t="n">
        <v>-80.59</v>
      </c>
      <c r="L81" s="24" t="n">
        <v>92.09999999999999</v>
      </c>
      <c r="M81" s="18" t="n">
        <v>0</v>
      </c>
      <c r="N81" s="35" t="n">
        <v>50.6</v>
      </c>
      <c r="O81" s="108">
        <f>COUNTIFS($E:$E,$E81,$L:$L,"&gt;"&amp;$L81)+1</f>
        <v/>
      </c>
      <c r="P81" s="108">
        <f>COUNTIFS($E:$E,$E81,$M:$M,"&gt;"&amp;$M81)+1</f>
        <v/>
      </c>
      <c r="Q81" s="108">
        <f>COUNTIFS($E:$E,$E81,$N:$N,"&gt;"&amp;$N81)+1</f>
        <v/>
      </c>
      <c r="R81" s="20" t="inlineStr">
        <is>
          <t>🔥 Hot</t>
        </is>
      </c>
      <c r="S81" s="20" t="inlineStr">
        <is>
          <t>🔴 Not Qualified</t>
        </is>
      </c>
      <c r="T81" s="20" t="inlineStr">
        <is>
          <t>⚠️ Watch</t>
        </is>
      </c>
      <c r="U81" s="83" t="inlineStr">
        <is>
          <t>FULL</t>
        </is>
      </c>
    </row>
    <row r="82" ht="16" customHeight="1">
      <c r="A82" s="28" t="n">
        <v>78</v>
      </c>
      <c r="B82" s="29" t="inlineStr">
        <is>
          <t>Nippon India Nifty Auto ETF</t>
        </is>
      </c>
      <c r="C82" s="29" t="inlineStr">
        <is>
          <t>Nippon India Mutual Fund</t>
        </is>
      </c>
      <c r="D82" s="29" t="inlineStr">
        <is>
          <t>Other  Etfs</t>
        </is>
      </c>
      <c r="E82" s="29" t="inlineStr">
        <is>
          <t>Index Fund</t>
        </is>
      </c>
      <c r="F82" s="30" t="n">
        <v>8.289999999999999</v>
      </c>
      <c r="G82" s="30" t="n">
        <v>14.76</v>
      </c>
      <c r="H82" s="30" t="n">
        <v>4.1</v>
      </c>
      <c r="I82" s="30" t="n">
        <v>22.31</v>
      </c>
      <c r="J82" s="30" t="n">
        <v>7.675438239182486</v>
      </c>
      <c r="K82" s="30" t="n">
        <v>93.7</v>
      </c>
      <c r="L82" s="24" t="n">
        <v>91.8</v>
      </c>
      <c r="M82" s="18" t="n">
        <v>0</v>
      </c>
      <c r="N82" s="35" t="n">
        <v>50.5</v>
      </c>
      <c r="O82" s="108">
        <f>COUNTIFS($E:$E,$E82,$L:$L,"&gt;"&amp;$L82)+1</f>
        <v/>
      </c>
      <c r="P82" s="108">
        <f>COUNTIFS($E:$E,$E82,$M:$M,"&gt;"&amp;$M82)+1</f>
        <v/>
      </c>
      <c r="Q82" s="108">
        <f>COUNTIFS($E:$E,$E82,$N:$N,"&gt;"&amp;$N82)+1</f>
        <v/>
      </c>
      <c r="R82" s="31" t="inlineStr">
        <is>
          <t>🔥 Hot</t>
        </is>
      </c>
      <c r="S82" s="31" t="inlineStr">
        <is>
          <t>🔴 Not Qualified</t>
        </is>
      </c>
      <c r="T82" s="31" t="inlineStr">
        <is>
          <t>⚠️ Watch</t>
        </is>
      </c>
      <c r="U82" s="83" t="inlineStr">
        <is>
          <t>FULL</t>
        </is>
      </c>
    </row>
    <row r="83" ht="16" customHeight="1">
      <c r="A83" s="13" t="n">
        <v>79</v>
      </c>
      <c r="B83" s="14" t="inlineStr">
        <is>
          <t>Edelweiss Nifty Smallcap 250 Index Fund - Regular Plan - Growth</t>
        </is>
      </c>
      <c r="C83" s="14" t="inlineStr">
        <is>
          <t>Edelweiss Mutual Fund</t>
        </is>
      </c>
      <c r="D83" s="14" t="inlineStr">
        <is>
          <t>Index Funds</t>
        </is>
      </c>
      <c r="E83" s="14" t="inlineStr">
        <is>
          <t>Index Fund</t>
        </is>
      </c>
      <c r="F83" s="15" t="n">
        <v>1.99</v>
      </c>
      <c r="G83" s="15" t="n">
        <v>10.17</v>
      </c>
      <c r="H83" s="15" t="n">
        <v>13.31</v>
      </c>
      <c r="I83" s="15" t="n">
        <v>9.77</v>
      </c>
      <c r="J83" s="15" t="n">
        <v>2.33279044372825</v>
      </c>
      <c r="K83" s="15" t="n">
        <v>60.05</v>
      </c>
      <c r="L83" s="24" t="n">
        <v>91.8</v>
      </c>
      <c r="M83" s="18" t="n">
        <v>0</v>
      </c>
      <c r="N83" s="35" t="n">
        <v>50.5</v>
      </c>
      <c r="O83" s="108">
        <f>COUNTIFS($E:$E,$E83,$L:$L,"&gt;"&amp;$L83)+1</f>
        <v/>
      </c>
      <c r="P83" s="108">
        <f>COUNTIFS($E:$E,$E83,$M:$M,"&gt;"&amp;$M83)+1</f>
        <v/>
      </c>
      <c r="Q83" s="108">
        <f>COUNTIFS($E:$E,$E83,$N:$N,"&gt;"&amp;$N83)+1</f>
        <v/>
      </c>
      <c r="R83" s="20" t="inlineStr">
        <is>
          <t>🔥 Hot</t>
        </is>
      </c>
      <c r="S83" s="20" t="inlineStr">
        <is>
          <t>🔴 Not Qualified</t>
        </is>
      </c>
      <c r="T83" s="20" t="inlineStr">
        <is>
          <t>⚠️ Watch</t>
        </is>
      </c>
      <c r="U83" s="83" t="inlineStr">
        <is>
          <t>FULL</t>
        </is>
      </c>
    </row>
    <row r="84" ht="16" customHeight="1">
      <c r="A84" s="28" t="n">
        <v>80</v>
      </c>
      <c r="B84" s="29" t="inlineStr">
        <is>
          <t>SBI Nifty Smallcap 250 Index Fund - Regular Plan - Growth</t>
        </is>
      </c>
      <c r="C84" s="29" t="inlineStr">
        <is>
          <t>SBI Mutual Fund</t>
        </is>
      </c>
      <c r="D84" s="29" t="inlineStr">
        <is>
          <t>Index Funds</t>
        </is>
      </c>
      <c r="E84" s="29" t="inlineStr">
        <is>
          <t>Index Fund</t>
        </is>
      </c>
      <c r="F84" s="30" t="n">
        <v>1.99</v>
      </c>
      <c r="G84" s="30" t="n">
        <v>10.19</v>
      </c>
      <c r="H84" s="30" t="n">
        <v>13.26</v>
      </c>
      <c r="I84" s="30" t="n">
        <v>9.75</v>
      </c>
      <c r="J84" s="30" t="n">
        <v>2.293694820355374</v>
      </c>
      <c r="K84" s="30" t="n">
        <v>59.41</v>
      </c>
      <c r="L84" s="24" t="n">
        <v>91.59999999999999</v>
      </c>
      <c r="M84" s="18" t="n">
        <v>0</v>
      </c>
      <c r="N84" s="35" t="n">
        <v>50.4</v>
      </c>
      <c r="O84" s="108">
        <f>COUNTIFS($E:$E,$E84,$L:$L,"&gt;"&amp;$L84)+1</f>
        <v/>
      </c>
      <c r="P84" s="108">
        <f>COUNTIFS($E:$E,$E84,$M:$M,"&gt;"&amp;$M84)+1</f>
        <v/>
      </c>
      <c r="Q84" s="108">
        <f>COUNTIFS($E:$E,$E84,$N:$N,"&gt;"&amp;$N84)+1</f>
        <v/>
      </c>
      <c r="R84" s="31" t="inlineStr">
        <is>
          <t>🔥 Hot</t>
        </is>
      </c>
      <c r="S84" s="31" t="inlineStr">
        <is>
          <t>🔴 Not Qualified</t>
        </is>
      </c>
      <c r="T84" s="31" t="inlineStr">
        <is>
          <t>⚠️ Watch</t>
        </is>
      </c>
      <c r="U84" s="83" t="inlineStr">
        <is>
          <t>FULL</t>
        </is>
      </c>
    </row>
    <row r="85" ht="16" customHeight="1">
      <c r="A85" s="13" t="n">
        <v>81</v>
      </c>
      <c r="B85" s="14" t="inlineStr">
        <is>
          <t>HDFC NIFTY Next 50 Index Fund - Growth Option</t>
        </is>
      </c>
      <c r="C85" s="14" t="inlineStr">
        <is>
          <t>HDFC Mutual Fund</t>
        </is>
      </c>
      <c r="D85" s="14" t="inlineStr">
        <is>
          <t>Index Funds</t>
        </is>
      </c>
      <c r="E85" s="14" t="inlineStr">
        <is>
          <t>Index Fund</t>
        </is>
      </c>
      <c r="F85" s="15" t="n">
        <v>3.63</v>
      </c>
      <c r="G85" s="15" t="n">
        <v>7.91</v>
      </c>
      <c r="H85" s="15" t="n">
        <v>5.93</v>
      </c>
      <c r="I85" s="15" t="n">
        <v>11.91</v>
      </c>
      <c r="J85" s="15" t="n">
        <v>0.9752444909147062</v>
      </c>
      <c r="K85" s="15" t="n">
        <v>69.69</v>
      </c>
      <c r="L85" s="24" t="n">
        <v>91.5</v>
      </c>
      <c r="M85" s="18" t="n">
        <v>0</v>
      </c>
      <c r="N85" s="35" t="n">
        <v>50.3</v>
      </c>
      <c r="O85" s="108">
        <f>COUNTIFS($E:$E,$E85,$L:$L,"&gt;"&amp;$L85)+1</f>
        <v/>
      </c>
      <c r="P85" s="108">
        <f>COUNTIFS($E:$E,$E85,$M:$M,"&gt;"&amp;$M85)+1</f>
        <v/>
      </c>
      <c r="Q85" s="108">
        <f>COUNTIFS($E:$E,$E85,$N:$N,"&gt;"&amp;$N85)+1</f>
        <v/>
      </c>
      <c r="R85" s="20" t="inlineStr">
        <is>
          <t>🔥 Hot</t>
        </is>
      </c>
      <c r="S85" s="20" t="inlineStr">
        <is>
          <t>🔴 Not Qualified</t>
        </is>
      </c>
      <c r="T85" s="20" t="inlineStr">
        <is>
          <t>⚠️ Watch</t>
        </is>
      </c>
      <c r="U85" s="83" t="inlineStr">
        <is>
          <t>FULL</t>
        </is>
      </c>
    </row>
    <row r="86" ht="16" customHeight="1">
      <c r="A86" s="28" t="n">
        <v>82</v>
      </c>
      <c r="B86" s="29" t="inlineStr">
        <is>
          <t>DSP Nifty Next 50 Index Fund - Regular Plan - Growth</t>
        </is>
      </c>
      <c r="C86" s="29" t="inlineStr">
        <is>
          <t>DSP Mutual Fund</t>
        </is>
      </c>
      <c r="D86" s="29" t="inlineStr">
        <is>
          <t>Index Funds</t>
        </is>
      </c>
      <c r="E86" s="29" t="inlineStr">
        <is>
          <t>Index Fund</t>
        </is>
      </c>
      <c r="F86" s="30" t="n">
        <v>3.66</v>
      </c>
      <c r="G86" s="30" t="n">
        <v>7.85</v>
      </c>
      <c r="H86" s="30" t="n">
        <v>5.84</v>
      </c>
      <c r="I86" s="30" t="n">
        <v>11.9</v>
      </c>
      <c r="J86" s="30" t="n">
        <v>1.064335944981121</v>
      </c>
      <c r="K86" s="30" t="n">
        <v>70.34</v>
      </c>
      <c r="L86" s="24" t="n">
        <v>91.40000000000001</v>
      </c>
      <c r="M86" s="18" t="n">
        <v>0</v>
      </c>
      <c r="N86" s="35" t="n">
        <v>50.3</v>
      </c>
      <c r="O86" s="108">
        <f>COUNTIFS($E:$E,$E86,$L:$L,"&gt;"&amp;$L86)+1</f>
        <v/>
      </c>
      <c r="P86" s="108">
        <f>COUNTIFS($E:$E,$E86,$M:$M,"&gt;"&amp;$M86)+1</f>
        <v/>
      </c>
      <c r="Q86" s="108">
        <f>COUNTIFS($E:$E,$E86,$N:$N,"&gt;"&amp;$N86)+1</f>
        <v/>
      </c>
      <c r="R86" s="31" t="inlineStr">
        <is>
          <t>🔥 Hot</t>
        </is>
      </c>
      <c r="S86" s="31" t="inlineStr">
        <is>
          <t>🔴 Not Qualified</t>
        </is>
      </c>
      <c r="T86" s="31" t="inlineStr">
        <is>
          <t>⚠️ Watch</t>
        </is>
      </c>
      <c r="U86" s="83" t="inlineStr">
        <is>
          <t>FULL</t>
        </is>
      </c>
    </row>
    <row r="87" ht="16" customHeight="1">
      <c r="A87" s="13" t="n">
        <v>83</v>
      </c>
      <c r="B87" s="14" t="inlineStr">
        <is>
          <t>HDFC NIFTY Smallcap 250 Index Fund - Growth Option</t>
        </is>
      </c>
      <c r="C87" s="14" t="inlineStr">
        <is>
          <t>HDFC Mutual Fund</t>
        </is>
      </c>
      <c r="D87" s="14" t="inlineStr">
        <is>
          <t>Index Funds</t>
        </is>
      </c>
      <c r="E87" s="14" t="inlineStr">
        <is>
          <t>Index Fund</t>
        </is>
      </c>
      <c r="F87" s="15" t="n">
        <v>1.99</v>
      </c>
      <c r="G87" s="15" t="n">
        <v>10.19</v>
      </c>
      <c r="H87" s="15" t="n">
        <v>13.24</v>
      </c>
      <c r="I87" s="15" t="n">
        <v>9.720000000000001</v>
      </c>
      <c r="J87" s="15" t="n">
        <v>2.31324449942929</v>
      </c>
      <c r="K87" s="15" t="n">
        <v>59.2</v>
      </c>
      <c r="L87" s="24" t="n">
        <v>91.40000000000001</v>
      </c>
      <c r="M87" s="18" t="n">
        <v>0</v>
      </c>
      <c r="N87" s="35" t="n">
        <v>50.3</v>
      </c>
      <c r="O87" s="108">
        <f>COUNTIFS($E:$E,$E87,$L:$L,"&gt;"&amp;$L87)+1</f>
        <v/>
      </c>
      <c r="P87" s="108">
        <f>COUNTIFS($E:$E,$E87,$M:$M,"&gt;"&amp;$M87)+1</f>
        <v/>
      </c>
      <c r="Q87" s="108">
        <f>COUNTIFS($E:$E,$E87,$N:$N,"&gt;"&amp;$N87)+1</f>
        <v/>
      </c>
      <c r="R87" s="20" t="inlineStr">
        <is>
          <t>🔥 Hot</t>
        </is>
      </c>
      <c r="S87" s="20" t="inlineStr">
        <is>
          <t>🔴 Not Qualified</t>
        </is>
      </c>
      <c r="T87" s="20" t="inlineStr">
        <is>
          <t>⚠️ Watch</t>
        </is>
      </c>
      <c r="U87" s="83" t="inlineStr">
        <is>
          <t>FULL</t>
        </is>
      </c>
    </row>
    <row r="88" ht="16" customHeight="1">
      <c r="A88" s="28" t="n">
        <v>84</v>
      </c>
      <c r="B88" s="29" t="inlineStr">
        <is>
          <t>Edelweiss Nifty Next 50 Index Fund - Regular Plan - Growth</t>
        </is>
      </c>
      <c r="C88" s="29" t="inlineStr">
        <is>
          <t>Edelweiss Mutual Fund</t>
        </is>
      </c>
      <c r="D88" s="29" t="inlineStr">
        <is>
          <t>Index Funds</t>
        </is>
      </c>
      <c r="E88" s="29" t="inlineStr">
        <is>
          <t>Index Fund</t>
        </is>
      </c>
      <c r="F88" s="30" t="n">
        <v>3.64</v>
      </c>
      <c r="G88" s="30" t="n">
        <v>7.91</v>
      </c>
      <c r="H88" s="30" t="n">
        <v>5.86</v>
      </c>
      <c r="I88" s="30" t="n">
        <v>11.73</v>
      </c>
      <c r="J88" s="30" t="n">
        <v>0.8563334649837495</v>
      </c>
      <c r="K88" s="30" t="n">
        <v>68.97</v>
      </c>
      <c r="L88" s="24" t="n">
        <v>91.2</v>
      </c>
      <c r="M88" s="18" t="n">
        <v>0</v>
      </c>
      <c r="N88" s="35" t="n">
        <v>50.2</v>
      </c>
      <c r="O88" s="108">
        <f>COUNTIFS($E:$E,$E88,$L:$L,"&gt;"&amp;$L88)+1</f>
        <v/>
      </c>
      <c r="P88" s="108">
        <f>COUNTIFS($E:$E,$E88,$M:$M,"&gt;"&amp;$M88)+1</f>
        <v/>
      </c>
      <c r="Q88" s="108">
        <f>COUNTIFS($E:$E,$E88,$N:$N,"&gt;"&amp;$N88)+1</f>
        <v/>
      </c>
      <c r="R88" s="31" t="inlineStr">
        <is>
          <t>🔥 Hot</t>
        </is>
      </c>
      <c r="S88" s="31" t="inlineStr">
        <is>
          <t>🔴 Not Qualified</t>
        </is>
      </c>
      <c r="T88" s="31" t="inlineStr">
        <is>
          <t>⚠️ Watch</t>
        </is>
      </c>
      <c r="U88" s="83" t="inlineStr">
        <is>
          <t>FULL</t>
        </is>
      </c>
    </row>
    <row r="89" ht="16" customHeight="1">
      <c r="A89" s="13" t="n">
        <v>85</v>
      </c>
      <c r="B89" s="14" t="inlineStr">
        <is>
          <t>Nippon India Nifty Smallcap 250 Index Fund - Regular Plan - Growth Option</t>
        </is>
      </c>
      <c r="C89" s="14" t="inlineStr">
        <is>
          <t>Nippon India Mutual Fund</t>
        </is>
      </c>
      <c r="D89" s="14" t="inlineStr">
        <is>
          <t>Index Funds</t>
        </is>
      </c>
      <c r="E89" s="14" t="inlineStr">
        <is>
          <t>Index Fund</t>
        </is>
      </c>
      <c r="F89" s="15" t="n">
        <v>1.98</v>
      </c>
      <c r="G89" s="15" t="n">
        <v>10.16</v>
      </c>
      <c r="H89" s="15" t="n">
        <v>13.2</v>
      </c>
      <c r="I89" s="15" t="n">
        <v>9.630000000000001</v>
      </c>
      <c r="J89" s="15" t="n">
        <v>1.970583993620445</v>
      </c>
      <c r="K89" s="15" t="n">
        <v>58.12</v>
      </c>
      <c r="L89" s="24" t="n">
        <v>91</v>
      </c>
      <c r="M89" s="18" t="n">
        <v>0</v>
      </c>
      <c r="N89" s="35" t="n">
        <v>50</v>
      </c>
      <c r="O89" s="108">
        <f>COUNTIFS($E:$E,$E89,$L:$L,"&gt;"&amp;$L89)+1</f>
        <v/>
      </c>
      <c r="P89" s="108">
        <f>COUNTIFS($E:$E,$E89,$M:$M,"&gt;"&amp;$M89)+1</f>
        <v/>
      </c>
      <c r="Q89" s="108">
        <f>COUNTIFS($E:$E,$E89,$N:$N,"&gt;"&amp;$N89)+1</f>
        <v/>
      </c>
      <c r="R89" s="20" t="inlineStr">
        <is>
          <t>🔥 Hot</t>
        </is>
      </c>
      <c r="S89" s="20" t="inlineStr">
        <is>
          <t>🔴 Not Qualified</t>
        </is>
      </c>
      <c r="T89" s="20" t="inlineStr">
        <is>
          <t>⚠️ Watch</t>
        </is>
      </c>
      <c r="U89" s="83" t="inlineStr">
        <is>
          <t>FULL</t>
        </is>
      </c>
    </row>
    <row r="90" ht="16" customHeight="1">
      <c r="A90" s="28" t="n">
        <v>86</v>
      </c>
      <c r="B90" s="29" t="inlineStr">
        <is>
          <t>ICICI Prudential Nifty Next 50 Index Fund - Growth</t>
        </is>
      </c>
      <c r="C90" s="29" t="inlineStr">
        <is>
          <t>ICICI Prudential Mutual Fund</t>
        </is>
      </c>
      <c r="D90" s="29" t="inlineStr">
        <is>
          <t>Index Funds</t>
        </is>
      </c>
      <c r="E90" s="29" t="inlineStr">
        <is>
          <t>Index Fund</t>
        </is>
      </c>
      <c r="F90" s="30" t="n">
        <v>3.64</v>
      </c>
      <c r="G90" s="30" t="n">
        <v>7.81</v>
      </c>
      <c r="H90" s="30" t="n">
        <v>5.84</v>
      </c>
      <c r="I90" s="30" t="n">
        <v>11.78</v>
      </c>
      <c r="J90" s="30" t="n">
        <v>0.8959860450355128</v>
      </c>
      <c r="K90" s="30" t="n">
        <v>69.93000000000001</v>
      </c>
      <c r="L90" s="24" t="n">
        <v>90.8</v>
      </c>
      <c r="M90" s="18" t="n">
        <v>0</v>
      </c>
      <c r="N90" s="19" t="n">
        <v>49.9</v>
      </c>
      <c r="O90" s="108">
        <f>COUNTIFS($E:$E,$E90,$L:$L,"&gt;"&amp;$L90)+1</f>
        <v/>
      </c>
      <c r="P90" s="108">
        <f>COUNTIFS($E:$E,$E90,$M:$M,"&gt;"&amp;$M90)+1</f>
        <v/>
      </c>
      <c r="Q90" s="108">
        <f>COUNTIFS($E:$E,$E90,$N:$N,"&gt;"&amp;$N90)+1</f>
        <v/>
      </c>
      <c r="R90" s="31" t="inlineStr">
        <is>
          <t>🔥 Hot</t>
        </is>
      </c>
      <c r="S90" s="31" t="inlineStr">
        <is>
          <t>🔴 Not Qualified</t>
        </is>
      </c>
      <c r="T90" s="31" t="inlineStr">
        <is>
          <t>⚠️ Watch</t>
        </is>
      </c>
      <c r="U90" s="83" t="inlineStr">
        <is>
          <t>FULL</t>
        </is>
      </c>
    </row>
    <row r="91" ht="16" customHeight="1">
      <c r="A91" s="13" t="n">
        <v>87</v>
      </c>
      <c r="B91" s="14" t="inlineStr">
        <is>
          <t>ICICI Prudential Nifty Smallcap 250 Index Fund - Growth</t>
        </is>
      </c>
      <c r="C91" s="14" t="inlineStr">
        <is>
          <t>ICICI Prudential Mutual Fund</t>
        </is>
      </c>
      <c r="D91" s="14" t="inlineStr">
        <is>
          <t>Index Funds</t>
        </is>
      </c>
      <c r="E91" s="14" t="inlineStr">
        <is>
          <t>Index Fund</t>
        </is>
      </c>
      <c r="F91" s="15" t="n">
        <v>1.98</v>
      </c>
      <c r="G91" s="15" t="n">
        <v>10.14</v>
      </c>
      <c r="H91" s="15" t="n">
        <v>13.16</v>
      </c>
      <c r="I91" s="15" t="n">
        <v>9.609999999999999</v>
      </c>
      <c r="J91" s="15" t="n">
        <v>2.190997646563764</v>
      </c>
      <c r="K91" s="15" t="n">
        <v>59.1</v>
      </c>
      <c r="L91" s="24" t="n">
        <v>90.59999999999999</v>
      </c>
      <c r="M91" s="18" t="n">
        <v>0</v>
      </c>
      <c r="N91" s="19" t="n">
        <v>49.8</v>
      </c>
      <c r="O91" s="108">
        <f>COUNTIFS($E:$E,$E91,$L:$L,"&gt;"&amp;$L91)+1</f>
        <v/>
      </c>
      <c r="P91" s="108">
        <f>COUNTIFS($E:$E,$E91,$M:$M,"&gt;"&amp;$M91)+1</f>
        <v/>
      </c>
      <c r="Q91" s="108">
        <f>COUNTIFS($E:$E,$E91,$N:$N,"&gt;"&amp;$N91)+1</f>
        <v/>
      </c>
      <c r="R91" s="20" t="inlineStr">
        <is>
          <t>🔥 Hot</t>
        </is>
      </c>
      <c r="S91" s="20" t="inlineStr">
        <is>
          <t>🔴 Not Qualified</t>
        </is>
      </c>
      <c r="T91" s="20" t="inlineStr">
        <is>
          <t>⚠️ Watch</t>
        </is>
      </c>
      <c r="U91" s="83" t="inlineStr">
        <is>
          <t>FULL</t>
        </is>
      </c>
    </row>
    <row r="92" ht="16" customHeight="1">
      <c r="A92" s="28" t="n">
        <v>88</v>
      </c>
      <c r="B92" s="29" t="inlineStr">
        <is>
          <t>Navi Nifty India Manufacturing Index Fund- Regular Plan- Growth</t>
        </is>
      </c>
      <c r="C92" s="29" t="inlineStr">
        <is>
          <t>Navi Mutual Fund</t>
        </is>
      </c>
      <c r="D92" s="29" t="inlineStr">
        <is>
          <t>Index Funds</t>
        </is>
      </c>
      <c r="E92" s="29" t="inlineStr">
        <is>
          <t>Index Fund</t>
        </is>
      </c>
      <c r="F92" s="30" t="n">
        <v>3.99</v>
      </c>
      <c r="G92" s="30" t="n">
        <v>6.23</v>
      </c>
      <c r="H92" s="30" t="n">
        <v>5.29</v>
      </c>
      <c r="I92" s="30" t="n">
        <v>16.75</v>
      </c>
      <c r="J92" s="30" t="n">
        <v>5.621967412087137</v>
      </c>
      <c r="K92" s="30" t="n">
        <v>70.73</v>
      </c>
      <c r="L92" s="24" t="n">
        <v>90</v>
      </c>
      <c r="M92" s="18" t="n">
        <v>0</v>
      </c>
      <c r="N92" s="19" t="n">
        <v>49.5</v>
      </c>
      <c r="O92" s="108">
        <f>COUNTIFS($E:$E,$E92,$L:$L,"&gt;"&amp;$L92)+1</f>
        <v/>
      </c>
      <c r="P92" s="108">
        <f>COUNTIFS($E:$E,$E92,$M:$M,"&gt;"&amp;$M92)+1</f>
        <v/>
      </c>
      <c r="Q92" s="108">
        <f>COUNTIFS($E:$E,$E92,$N:$N,"&gt;"&amp;$N92)+1</f>
        <v/>
      </c>
      <c r="R92" s="31" t="inlineStr">
        <is>
          <t>⭐ Strong</t>
        </is>
      </c>
      <c r="S92" s="31" t="inlineStr">
        <is>
          <t>🔴 Not Qualified</t>
        </is>
      </c>
      <c r="T92" s="31" t="inlineStr">
        <is>
          <t>⚠️ Watch</t>
        </is>
      </c>
      <c r="U92" s="83" t="inlineStr">
        <is>
          <t>FULL</t>
        </is>
      </c>
    </row>
    <row r="93" ht="16" customHeight="1">
      <c r="A93" s="13" t="n">
        <v>89</v>
      </c>
      <c r="B93" s="14" t="inlineStr">
        <is>
          <t>Motilal Oswal Nifty Smallcap 250 Index - Regular Plan</t>
        </is>
      </c>
      <c r="C93" s="14" t="inlineStr">
        <is>
          <t>Motilal Oswal Mutual Fund</t>
        </is>
      </c>
      <c r="D93" s="14" t="inlineStr">
        <is>
          <t>Index Funds</t>
        </is>
      </c>
      <c r="E93" s="14" t="inlineStr">
        <is>
          <t>Index Fund</t>
        </is>
      </c>
      <c r="F93" s="15" t="n">
        <v>1.97</v>
      </c>
      <c r="G93" s="15" t="n">
        <v>10.13</v>
      </c>
      <c r="H93" s="15" t="n">
        <v>13.11</v>
      </c>
      <c r="I93" s="15" t="n">
        <v>9.550000000000001</v>
      </c>
      <c r="J93" s="15" t="n">
        <v>2.264363294355864</v>
      </c>
      <c r="K93" s="15" t="n">
        <v>59.41</v>
      </c>
      <c r="L93" s="24" t="n">
        <v>90</v>
      </c>
      <c r="M93" s="18" t="n">
        <v>0</v>
      </c>
      <c r="N93" s="19" t="n">
        <v>49.5</v>
      </c>
      <c r="O93" s="108">
        <f>COUNTIFS($E:$E,$E93,$L:$L,"&gt;"&amp;$L93)+1</f>
        <v/>
      </c>
      <c r="P93" s="108">
        <f>COUNTIFS($E:$E,$E93,$M:$M,"&gt;"&amp;$M93)+1</f>
        <v/>
      </c>
      <c r="Q93" s="108">
        <f>COUNTIFS($E:$E,$E93,$N:$N,"&gt;"&amp;$N93)+1</f>
        <v/>
      </c>
      <c r="R93" s="20" t="inlineStr">
        <is>
          <t>⭐ Strong</t>
        </is>
      </c>
      <c r="S93" s="20" t="inlineStr">
        <is>
          <t>🔴 Not Qualified</t>
        </is>
      </c>
      <c r="T93" s="20" t="inlineStr">
        <is>
          <t>⚠️ Watch</t>
        </is>
      </c>
      <c r="U93" s="83" t="inlineStr">
        <is>
          <t>FULL</t>
        </is>
      </c>
    </row>
    <row r="94" ht="16" customHeight="1">
      <c r="A94" s="28" t="n">
        <v>90</v>
      </c>
      <c r="B94" s="29" t="inlineStr">
        <is>
          <t>Motilal Oswal Nifty Next 50 Index Fund - Regular plan - Growth</t>
        </is>
      </c>
      <c r="C94" s="29" t="inlineStr">
        <is>
          <t>Motilal Oswal Mutual Fund</t>
        </is>
      </c>
      <c r="D94" s="29" t="inlineStr">
        <is>
          <t>Index Funds</t>
        </is>
      </c>
      <c r="E94" s="29" t="inlineStr">
        <is>
          <t>Index Fund</t>
        </is>
      </c>
      <c r="F94" s="30" t="n">
        <v>3.61</v>
      </c>
      <c r="G94" s="30" t="n">
        <v>7.8</v>
      </c>
      <c r="H94" s="30" t="n">
        <v>5.74</v>
      </c>
      <c r="I94" s="30" t="n">
        <v>11.53</v>
      </c>
      <c r="J94" s="30" t="n">
        <v>0.8216246645529779</v>
      </c>
      <c r="K94" s="30" t="n">
        <v>68.89</v>
      </c>
      <c r="L94" s="24" t="n">
        <v>89.8</v>
      </c>
      <c r="M94" s="18" t="n">
        <v>0</v>
      </c>
      <c r="N94" s="19" t="n">
        <v>49.4</v>
      </c>
      <c r="O94" s="108">
        <f>COUNTIFS($E:$E,$E94,$L:$L,"&gt;"&amp;$L94)+1</f>
        <v/>
      </c>
      <c r="P94" s="108">
        <f>COUNTIFS($E:$E,$E94,$M:$M,"&gt;"&amp;$M94)+1</f>
        <v/>
      </c>
      <c r="Q94" s="108">
        <f>COUNTIFS($E:$E,$E94,$N:$N,"&gt;"&amp;$N94)+1</f>
        <v/>
      </c>
      <c r="R94" s="31" t="inlineStr">
        <is>
          <t>⭐ Strong</t>
        </is>
      </c>
      <c r="S94" s="31" t="inlineStr">
        <is>
          <t>🔴 Not Qualified</t>
        </is>
      </c>
      <c r="T94" s="31" t="inlineStr">
        <is>
          <t>⚠️ Watch</t>
        </is>
      </c>
      <c r="U94" s="83" t="inlineStr">
        <is>
          <t>FULL</t>
        </is>
      </c>
    </row>
    <row r="95" ht="16" customHeight="1">
      <c r="A95" s="13" t="n">
        <v>91</v>
      </c>
      <c r="B95" s="14" t="inlineStr">
        <is>
          <t>DSP Global Clean Energy Overseas Equity Omni FoF - Regular Plan - Growth</t>
        </is>
      </c>
      <c r="C95" s="14" t="inlineStr">
        <is>
          <t>DSP Mutual Fund</t>
        </is>
      </c>
      <c r="D95" s="14" t="inlineStr">
        <is>
          <t>Fof Overseas</t>
        </is>
      </c>
      <c r="E95" s="14" t="inlineStr">
        <is>
          <t>International</t>
        </is>
      </c>
      <c r="F95" s="15" t="n">
        <v>3.21</v>
      </c>
      <c r="G95" s="15" t="n">
        <v>0.46</v>
      </c>
      <c r="H95" s="15" t="n">
        <v>10.03</v>
      </c>
      <c r="I95" s="15" t="n">
        <v>48.58</v>
      </c>
      <c r="J95" s="15" t="n">
        <v>29.18591254467337</v>
      </c>
      <c r="K95" s="15" t="n">
        <v>73.72</v>
      </c>
      <c r="L95" s="37" t="n">
        <v>46.9</v>
      </c>
      <c r="M95" s="42" t="n">
        <v>52.3</v>
      </c>
      <c r="N95" s="19" t="n">
        <v>49.4</v>
      </c>
      <c r="O95" s="108">
        <f>COUNTIFS($E:$E,$E95,$L:$L,"&gt;"&amp;$L95)+1</f>
        <v/>
      </c>
      <c r="P95" s="108">
        <f>COUNTIFS($E:$E,$E95,$M:$M,"&gt;"&amp;$M95)+1</f>
        <v/>
      </c>
      <c r="Q95" s="108">
        <f>COUNTIFS($E:$E,$E95,$N:$N,"&gt;"&amp;$N95)+1</f>
        <v/>
      </c>
      <c r="R95" s="20" t="inlineStr">
        <is>
          <t>➡️ Neutral</t>
        </is>
      </c>
      <c r="S95" s="20" t="inlineStr">
        <is>
          <t>➡️ Average</t>
        </is>
      </c>
      <c r="T95" s="20" t="inlineStr">
        <is>
          <t>⚠️ Watch</t>
        </is>
      </c>
      <c r="U95" s="83" t="inlineStr">
        <is>
          <t>FULL</t>
        </is>
      </c>
    </row>
    <row r="96" ht="16" customHeight="1">
      <c r="A96" s="28" t="n">
        <v>92</v>
      </c>
      <c r="B96" s="29" t="inlineStr">
        <is>
          <t>Axis Nifty Next 50 Index Fund - Regular Plan - Growth</t>
        </is>
      </c>
      <c r="C96" s="29" t="inlineStr">
        <is>
          <t>Axis Mutual Fund</t>
        </is>
      </c>
      <c r="D96" s="29" t="inlineStr">
        <is>
          <t>Index Funds</t>
        </is>
      </c>
      <c r="E96" s="29" t="inlineStr">
        <is>
          <t>Index Fund</t>
        </is>
      </c>
      <c r="F96" s="30" t="n">
        <v>3.6</v>
      </c>
      <c r="G96" s="30" t="n">
        <v>7.79</v>
      </c>
      <c r="H96" s="30" t="n">
        <v>5.77</v>
      </c>
      <c r="I96" s="30" t="n">
        <v>11.57</v>
      </c>
      <c r="J96" s="30" t="n">
        <v>0.8117056695302605</v>
      </c>
      <c r="K96" s="30" t="n">
        <v>68.73999999999999</v>
      </c>
      <c r="L96" s="24" t="n">
        <v>89.59999999999999</v>
      </c>
      <c r="M96" s="18" t="n">
        <v>0</v>
      </c>
      <c r="N96" s="19" t="n">
        <v>49.3</v>
      </c>
      <c r="O96" s="108">
        <f>COUNTIFS($E:$E,$E96,$L:$L,"&gt;"&amp;$L96)+1</f>
        <v/>
      </c>
      <c r="P96" s="108">
        <f>COUNTIFS($E:$E,$E96,$M:$M,"&gt;"&amp;$M96)+1</f>
        <v/>
      </c>
      <c r="Q96" s="108">
        <f>COUNTIFS($E:$E,$E96,$N:$N,"&gt;"&amp;$N96)+1</f>
        <v/>
      </c>
      <c r="R96" s="31" t="inlineStr">
        <is>
          <t>⭐ Strong</t>
        </is>
      </c>
      <c r="S96" s="31" t="inlineStr">
        <is>
          <t>🔴 Not Qualified</t>
        </is>
      </c>
      <c r="T96" s="31" t="inlineStr">
        <is>
          <t>⚠️ Watch</t>
        </is>
      </c>
      <c r="U96" s="83" t="inlineStr">
        <is>
          <t>FULL</t>
        </is>
      </c>
    </row>
    <row r="97" ht="16" customHeight="1">
      <c r="A97" s="13" t="n">
        <v>93</v>
      </c>
      <c r="B97" s="14" t="inlineStr">
        <is>
          <t>Navi Nifty Next 50 Index Fund- Regular Plan- Growth</t>
        </is>
      </c>
      <c r="C97" s="14" t="inlineStr">
        <is>
          <t>Navi Mutual Fund</t>
        </is>
      </c>
      <c r="D97" s="14" t="inlineStr">
        <is>
          <t>Index Funds</t>
        </is>
      </c>
      <c r="E97" s="14" t="inlineStr">
        <is>
          <t>Index Fund</t>
        </is>
      </c>
      <c r="F97" s="15" t="n">
        <v>3.59</v>
      </c>
      <c r="G97" s="15" t="n">
        <v>7.8</v>
      </c>
      <c r="H97" s="15" t="n">
        <v>5.66</v>
      </c>
      <c r="I97" s="15" t="n">
        <v>11.44</v>
      </c>
      <c r="J97" s="15" t="n">
        <v>0.8662480713940379</v>
      </c>
      <c r="K97" s="15" t="n">
        <v>69.12</v>
      </c>
      <c r="L97" s="24" t="n">
        <v>89</v>
      </c>
      <c r="M97" s="18" t="n">
        <v>0</v>
      </c>
      <c r="N97" s="19" t="n">
        <v>48.9</v>
      </c>
      <c r="O97" s="108">
        <f>COUNTIFS($E:$E,$E97,$L:$L,"&gt;"&amp;$L97)+1</f>
        <v/>
      </c>
      <c r="P97" s="108">
        <f>COUNTIFS($E:$E,$E97,$M:$M,"&gt;"&amp;$M97)+1</f>
        <v/>
      </c>
      <c r="Q97" s="108">
        <f>COUNTIFS($E:$E,$E97,$N:$N,"&gt;"&amp;$N97)+1</f>
        <v/>
      </c>
      <c r="R97" s="20" t="inlineStr">
        <is>
          <t>⭐ Strong</t>
        </is>
      </c>
      <c r="S97" s="20" t="inlineStr">
        <is>
          <t>🔴 Not Qualified</t>
        </is>
      </c>
      <c r="T97" s="20" t="inlineStr">
        <is>
          <t>⚠️ Watch</t>
        </is>
      </c>
      <c r="U97" s="83" t="inlineStr">
        <is>
          <t>FULL</t>
        </is>
      </c>
    </row>
    <row r="98" ht="16" customHeight="1">
      <c r="A98" s="28" t="n">
        <v>94</v>
      </c>
      <c r="B98" s="29" t="inlineStr">
        <is>
          <t>Nippon India Nifty Pharma ETF</t>
        </is>
      </c>
      <c r="C98" s="29" t="inlineStr">
        <is>
          <t>Nippon India Mutual Fund</t>
        </is>
      </c>
      <c r="D98" s="29" t="inlineStr">
        <is>
          <t>Other  Etfs</t>
        </is>
      </c>
      <c r="E98" s="29" t="inlineStr">
        <is>
          <t>Pharma/Healthcare</t>
        </is>
      </c>
      <c r="F98" s="30" t="n">
        <v>2.86</v>
      </c>
      <c r="G98" s="30" t="n">
        <v>6.3</v>
      </c>
      <c r="H98" s="30" t="n">
        <v>17.24</v>
      </c>
      <c r="I98" s="30" t="n">
        <v>19.43</v>
      </c>
      <c r="J98" s="30" t="n">
        <v>9.654001294982395</v>
      </c>
      <c r="K98" s="30" t="n">
        <v>74.77</v>
      </c>
      <c r="L98" s="24" t="n">
        <v>88.90000000000001</v>
      </c>
      <c r="M98" s="18" t="n">
        <v>0</v>
      </c>
      <c r="N98" s="19" t="n">
        <v>48.9</v>
      </c>
      <c r="O98" s="108">
        <f>COUNTIFS($E:$E,$E98,$L:$L,"&gt;"&amp;$L98)+1</f>
        <v/>
      </c>
      <c r="P98" s="108">
        <f>COUNTIFS($E:$E,$E98,$M:$M,"&gt;"&amp;$M98)+1</f>
        <v/>
      </c>
      <c r="Q98" s="108">
        <f>COUNTIFS($E:$E,$E98,$N:$N,"&gt;"&amp;$N98)+1</f>
        <v/>
      </c>
      <c r="R98" s="31" t="inlineStr">
        <is>
          <t>⭐ Strong</t>
        </is>
      </c>
      <c r="S98" s="31" t="inlineStr">
        <is>
          <t>🔴 Not Qualified</t>
        </is>
      </c>
      <c r="T98" s="31" t="inlineStr">
        <is>
          <t>⚠️ Watch</t>
        </is>
      </c>
      <c r="U98" s="83" t="inlineStr">
        <is>
          <t>FULL</t>
        </is>
      </c>
    </row>
    <row r="99" ht="16" customHeight="1">
      <c r="A99" s="13" t="n">
        <v>95</v>
      </c>
      <c r="B99" s="14" t="inlineStr">
        <is>
          <t>SBI Nifty Next 50 ETF</t>
        </is>
      </c>
      <c r="C99" s="14" t="inlineStr">
        <is>
          <t>SBI Mutual Fund</t>
        </is>
      </c>
      <c r="D99" s="14" t="inlineStr">
        <is>
          <t>Other  Etfs</t>
        </is>
      </c>
      <c r="E99" s="14" t="inlineStr">
        <is>
          <t>Index Fund</t>
        </is>
      </c>
      <c r="F99" s="15" t="n">
        <v>3.71</v>
      </c>
      <c r="G99" s="15" t="n">
        <v>8.17</v>
      </c>
      <c r="H99" s="15" t="n">
        <v>6.36</v>
      </c>
      <c r="I99" s="15" t="n">
        <v>12.73</v>
      </c>
      <c r="J99" s="15" t="n">
        <v>1.769347054994896</v>
      </c>
      <c r="K99" s="15" t="n">
        <v>73.81999999999999</v>
      </c>
      <c r="L99" s="24" t="n">
        <v>88</v>
      </c>
      <c r="M99" s="18" t="n">
        <v>0</v>
      </c>
      <c r="N99" s="19" t="n">
        <v>48.4</v>
      </c>
      <c r="O99" s="108">
        <f>COUNTIFS($E:$E,$E99,$L:$L,"&gt;"&amp;$L99)+1</f>
        <v/>
      </c>
      <c r="P99" s="108">
        <f>COUNTIFS($E:$E,$E99,$M:$M,"&gt;"&amp;$M99)+1</f>
        <v/>
      </c>
      <c r="Q99" s="108">
        <f>COUNTIFS($E:$E,$E99,$N:$N,"&gt;"&amp;$N99)+1</f>
        <v/>
      </c>
      <c r="R99" s="20" t="inlineStr">
        <is>
          <t>⭐ Strong</t>
        </is>
      </c>
      <c r="S99" s="20" t="inlineStr">
        <is>
          <t>🔴 Not Qualified</t>
        </is>
      </c>
      <c r="T99" s="20" t="inlineStr">
        <is>
          <t>⚠️ Watch</t>
        </is>
      </c>
      <c r="U99" s="83" t="inlineStr">
        <is>
          <t>FULL</t>
        </is>
      </c>
    </row>
    <row r="100" ht="16" customHeight="1">
      <c r="A100" s="28" t="n">
        <v>96</v>
      </c>
      <c r="B100" s="29" t="inlineStr">
        <is>
          <t>UTI Nifty Next 50 Exchange Traded Fund</t>
        </is>
      </c>
      <c r="C100" s="29" t="inlineStr">
        <is>
          <t>UTI Mutual Fund</t>
        </is>
      </c>
      <c r="D100" s="29" t="inlineStr">
        <is>
          <t>Other  Etfs</t>
        </is>
      </c>
      <c r="E100" s="29" t="inlineStr">
        <is>
          <t>Index Fund</t>
        </is>
      </c>
      <c r="F100" s="30" t="n">
        <v>3.69</v>
      </c>
      <c r="G100" s="30" t="n">
        <v>8.15</v>
      </c>
      <c r="H100" s="30" t="n">
        <v>6.37</v>
      </c>
      <c r="I100" s="30" t="n">
        <v>12.74</v>
      </c>
      <c r="J100" s="30" t="n">
        <v>1.833196944807725</v>
      </c>
      <c r="K100" s="30" t="n">
        <v>74.06</v>
      </c>
      <c r="L100" s="24" t="n">
        <v>88</v>
      </c>
      <c r="M100" s="18" t="n">
        <v>0</v>
      </c>
      <c r="N100" s="19" t="n">
        <v>48.4</v>
      </c>
      <c r="O100" s="108">
        <f>COUNTIFS($E:$E,$E100,$L:$L,"&gt;"&amp;$L100)+1</f>
        <v/>
      </c>
      <c r="P100" s="108">
        <f>COUNTIFS($E:$E,$E100,$M:$M,"&gt;"&amp;$M100)+1</f>
        <v/>
      </c>
      <c r="Q100" s="108">
        <f>COUNTIFS($E:$E,$E100,$N:$N,"&gt;"&amp;$N100)+1</f>
        <v/>
      </c>
      <c r="R100" s="31" t="inlineStr">
        <is>
          <t>⭐ Strong</t>
        </is>
      </c>
      <c r="S100" s="31" t="inlineStr">
        <is>
          <t>🔴 Not Qualified</t>
        </is>
      </c>
      <c r="T100" s="31" t="inlineStr">
        <is>
          <t>⚠️ Watch</t>
        </is>
      </c>
      <c r="U100" s="83" t="inlineStr">
        <is>
          <t>FULL</t>
        </is>
      </c>
    </row>
    <row r="101" ht="16" customHeight="1">
      <c r="A101" s="13" t="n">
        <v>97</v>
      </c>
      <c r="B101" s="14" t="inlineStr">
        <is>
          <t>DSP Nifty PSU Bank ETF</t>
        </is>
      </c>
      <c r="C101" s="14" t="inlineStr">
        <is>
          <t>DSP Mutual Fund</t>
        </is>
      </c>
      <c r="D101" s="14" t="inlineStr">
        <is>
          <t>Other  Etfs</t>
        </is>
      </c>
      <c r="E101" s="14" t="inlineStr">
        <is>
          <t>Banking/Financial</t>
        </is>
      </c>
      <c r="F101" s="15" t="n">
        <v>2.81</v>
      </c>
      <c r="G101" s="15" t="n">
        <v>8.630000000000001</v>
      </c>
      <c r="H101" s="16" t="n">
        <v>-9.91</v>
      </c>
      <c r="I101" s="15" t="n">
        <v>23.42</v>
      </c>
      <c r="J101" s="15" t="n">
        <v>12.73863579093015</v>
      </c>
      <c r="K101" s="15" t="n">
        <v>89.58</v>
      </c>
      <c r="L101" s="17" t="n">
        <v>61.9</v>
      </c>
      <c r="M101" s="18" t="n">
        <v>31.9</v>
      </c>
      <c r="N101" s="19" t="n">
        <v>48.4</v>
      </c>
      <c r="O101" s="108">
        <f>COUNTIFS($E:$E,$E101,$L:$L,"&gt;"&amp;$L101)+1</f>
        <v/>
      </c>
      <c r="P101" s="108">
        <f>COUNTIFS($E:$E,$E101,$M:$M,"&gt;"&amp;$M101)+1</f>
        <v/>
      </c>
      <c r="Q101" s="108">
        <f>COUNTIFS($E:$E,$E101,$N:$N,"&gt;"&amp;$N101)+1</f>
        <v/>
      </c>
      <c r="R101" s="20" t="inlineStr">
        <is>
          <t>📈 Good</t>
        </is>
      </c>
      <c r="S101" s="20" t="inlineStr">
        <is>
          <t>⚠️ Below Avg</t>
        </is>
      </c>
      <c r="T101" s="20" t="inlineStr">
        <is>
          <t>⚠️ Watch</t>
        </is>
      </c>
      <c r="U101" s="83" t="inlineStr">
        <is>
          <t>FULL</t>
        </is>
      </c>
    </row>
    <row r="102" ht="16" customHeight="1">
      <c r="A102" s="28" t="n">
        <v>98</v>
      </c>
      <c r="B102" s="29" t="inlineStr">
        <is>
          <t>Mirae Asset Nifty Next 50 ETF</t>
        </is>
      </c>
      <c r="C102" s="29" t="inlineStr">
        <is>
          <t>Mirae Asset Mutual Fund</t>
        </is>
      </c>
      <c r="D102" s="29" t="inlineStr">
        <is>
          <t>Other  Etfs</t>
        </is>
      </c>
      <c r="E102" s="29" t="inlineStr">
        <is>
          <t>Index Fund</t>
        </is>
      </c>
      <c r="F102" s="30" t="n">
        <v>3.72</v>
      </c>
      <c r="G102" s="30" t="n">
        <v>8.109999999999999</v>
      </c>
      <c r="H102" s="30" t="n">
        <v>6.32</v>
      </c>
      <c r="I102" s="30" t="n">
        <v>12.72</v>
      </c>
      <c r="J102" s="30" t="n">
        <v>1.784085199995777</v>
      </c>
      <c r="K102" s="30" t="n">
        <v>73.76000000000001</v>
      </c>
      <c r="L102" s="24" t="n">
        <v>87.59999999999999</v>
      </c>
      <c r="M102" s="18" t="n">
        <v>0</v>
      </c>
      <c r="N102" s="19" t="n">
        <v>48.2</v>
      </c>
      <c r="O102" s="108">
        <f>COUNTIFS($E:$E,$E102,$L:$L,"&gt;"&amp;$L102)+1</f>
        <v/>
      </c>
      <c r="P102" s="108">
        <f>COUNTIFS($E:$E,$E102,$M:$M,"&gt;"&amp;$M102)+1</f>
        <v/>
      </c>
      <c r="Q102" s="108">
        <f>COUNTIFS($E:$E,$E102,$N:$N,"&gt;"&amp;$N102)+1</f>
        <v/>
      </c>
      <c r="R102" s="31" t="inlineStr">
        <is>
          <t>⭐ Strong</t>
        </is>
      </c>
      <c r="S102" s="31" t="inlineStr">
        <is>
          <t>🔴 Not Qualified</t>
        </is>
      </c>
      <c r="T102" s="31" t="inlineStr">
        <is>
          <t>⚠️ Watch</t>
        </is>
      </c>
      <c r="U102" s="83" t="inlineStr">
        <is>
          <t>FULL</t>
        </is>
      </c>
    </row>
    <row r="103" ht="16" customHeight="1">
      <c r="A103" s="13" t="n">
        <v>99</v>
      </c>
      <c r="B103" s="14" t="inlineStr">
        <is>
          <t>Nippon India ETF Nifty Next 50 Junior BeES</t>
        </is>
      </c>
      <c r="C103" s="14" t="inlineStr">
        <is>
          <t>Nippon India Mutual Fund</t>
        </is>
      </c>
      <c r="D103" s="14" t="inlineStr">
        <is>
          <t>Other  Etfs</t>
        </is>
      </c>
      <c r="E103" s="14" t="inlineStr">
        <is>
          <t>Index Fund</t>
        </is>
      </c>
      <c r="F103" s="15" t="n">
        <v>3.72</v>
      </c>
      <c r="G103" s="15" t="n">
        <v>8.119999999999999</v>
      </c>
      <c r="H103" s="15" t="n">
        <v>6.32</v>
      </c>
      <c r="I103" s="15" t="n">
        <v>12.68</v>
      </c>
      <c r="J103" s="15" t="n">
        <v>1.720204482688681</v>
      </c>
      <c r="K103" s="15" t="n">
        <v>73.53</v>
      </c>
      <c r="L103" s="24" t="n">
        <v>87.5</v>
      </c>
      <c r="M103" s="18" t="n">
        <v>0</v>
      </c>
      <c r="N103" s="19" t="n">
        <v>48.1</v>
      </c>
      <c r="O103" s="108">
        <f>COUNTIFS($E:$E,$E103,$L:$L,"&gt;"&amp;$L103)+1</f>
        <v/>
      </c>
      <c r="P103" s="108">
        <f>COUNTIFS($E:$E,$E103,$M:$M,"&gt;"&amp;$M103)+1</f>
        <v/>
      </c>
      <c r="Q103" s="108">
        <f>COUNTIFS($E:$E,$E103,$N:$N,"&gt;"&amp;$N103)+1</f>
        <v/>
      </c>
      <c r="R103" s="20" t="inlineStr">
        <is>
          <t>⭐ Strong</t>
        </is>
      </c>
      <c r="S103" s="20" t="inlineStr">
        <is>
          <t>🔴 Not Qualified</t>
        </is>
      </c>
      <c r="T103" s="20" t="inlineStr">
        <is>
          <t>⚠️ Watch</t>
        </is>
      </c>
      <c r="U103" s="83" t="inlineStr">
        <is>
          <t>FULL</t>
        </is>
      </c>
    </row>
    <row r="104" ht="16" customHeight="1">
      <c r="A104" s="28" t="n">
        <v>100</v>
      </c>
      <c r="B104" s="29" t="inlineStr">
        <is>
          <t>ICICI Prudential Nifty Next 50 ETF</t>
        </is>
      </c>
      <c r="C104" s="29" t="inlineStr">
        <is>
          <t>ICICI Prudential Mutual Fund</t>
        </is>
      </c>
      <c r="D104" s="29" t="inlineStr">
        <is>
          <t>Other  Etfs</t>
        </is>
      </c>
      <c r="E104" s="29" t="inlineStr">
        <is>
          <t>Index Fund</t>
        </is>
      </c>
      <c r="F104" s="30" t="n">
        <v>3.71</v>
      </c>
      <c r="G104" s="30" t="n">
        <v>7.99</v>
      </c>
      <c r="H104" s="30" t="n">
        <v>6.2</v>
      </c>
      <c r="I104" s="30" t="n">
        <v>12.6</v>
      </c>
      <c r="J104" s="30" t="n">
        <v>1.734949746879022</v>
      </c>
      <c r="K104" s="30" t="n">
        <v>73.72</v>
      </c>
      <c r="L104" s="24" t="n">
        <v>86.2</v>
      </c>
      <c r="M104" s="18" t="n">
        <v>0</v>
      </c>
      <c r="N104" s="19" t="n">
        <v>47.4</v>
      </c>
      <c r="O104" s="108">
        <f>COUNTIFS($E:$E,$E104,$L:$L,"&gt;"&amp;$L104)+1</f>
        <v/>
      </c>
      <c r="P104" s="108">
        <f>COUNTIFS($E:$E,$E104,$M:$M,"&gt;"&amp;$M104)+1</f>
        <v/>
      </c>
      <c r="Q104" s="108">
        <f>COUNTIFS($E:$E,$E104,$N:$N,"&gt;"&amp;$N104)+1</f>
        <v/>
      </c>
      <c r="R104" s="31" t="inlineStr">
        <is>
          <t>⭐ Strong</t>
        </is>
      </c>
      <c r="S104" s="31" t="inlineStr">
        <is>
          <t>🔴 Not Qualified</t>
        </is>
      </c>
      <c r="T104" s="31" t="inlineStr">
        <is>
          <t>⚠️ Watch</t>
        </is>
      </c>
      <c r="U104" s="83" t="inlineStr">
        <is>
          <t>FULL</t>
        </is>
      </c>
    </row>
    <row r="105" ht="16" customHeight="1">
      <c r="A105" s="13" t="n">
        <v>101</v>
      </c>
      <c r="B105" s="14" t="inlineStr">
        <is>
          <t>HDFC NIFTY NEXT 50 ETF - Growth Option</t>
        </is>
      </c>
      <c r="C105" s="14" t="inlineStr">
        <is>
          <t>HDFC Mutual Fund</t>
        </is>
      </c>
      <c r="D105" s="14" t="inlineStr">
        <is>
          <t>Other  Etfs</t>
        </is>
      </c>
      <c r="E105" s="14" t="inlineStr">
        <is>
          <t>Index Fund</t>
        </is>
      </c>
      <c r="F105" s="15" t="n">
        <v>3.68</v>
      </c>
      <c r="G105" s="15" t="n">
        <v>8.06</v>
      </c>
      <c r="H105" s="15" t="n">
        <v>6.23</v>
      </c>
      <c r="I105" s="15" t="n">
        <v>12.51</v>
      </c>
      <c r="J105" s="15" t="n">
        <v>1.616927723681938</v>
      </c>
      <c r="K105" s="16" t="n">
        <v>-82.68000000000001</v>
      </c>
      <c r="L105" s="24" t="n">
        <v>86.09999999999999</v>
      </c>
      <c r="M105" s="18" t="n">
        <v>0</v>
      </c>
      <c r="N105" s="19" t="n">
        <v>47.4</v>
      </c>
      <c r="O105" s="108">
        <f>COUNTIFS($E:$E,$E105,$L:$L,"&gt;"&amp;$L105)+1</f>
        <v/>
      </c>
      <c r="P105" s="108">
        <f>COUNTIFS($E:$E,$E105,$M:$M,"&gt;"&amp;$M105)+1</f>
        <v/>
      </c>
      <c r="Q105" s="108">
        <f>COUNTIFS($E:$E,$E105,$N:$N,"&gt;"&amp;$N105)+1</f>
        <v/>
      </c>
      <c r="R105" s="20" t="inlineStr">
        <is>
          <t>⭐ Strong</t>
        </is>
      </c>
      <c r="S105" s="20" t="inlineStr">
        <is>
          <t>🔴 Not Qualified</t>
        </is>
      </c>
      <c r="T105" s="20" t="inlineStr">
        <is>
          <t>⚠️ Watch</t>
        </is>
      </c>
      <c r="U105" s="83" t="inlineStr">
        <is>
          <t>FULL</t>
        </is>
      </c>
    </row>
    <row r="106" ht="16" customHeight="1">
      <c r="A106" s="28" t="n">
        <v>102</v>
      </c>
      <c r="B106" s="29" t="inlineStr">
        <is>
          <t>Kotak Nifty MNC ETF</t>
        </is>
      </c>
      <c r="C106" s="29" t="inlineStr">
        <is>
          <t>Kotak Mahindra Mutual Fund</t>
        </is>
      </c>
      <c r="D106" s="29" t="inlineStr">
        <is>
          <t>Other  Etfs</t>
        </is>
      </c>
      <c r="E106" s="29" t="inlineStr">
        <is>
          <t>Index Fund</t>
        </is>
      </c>
      <c r="F106" s="30" t="n">
        <v>2.9</v>
      </c>
      <c r="G106" s="30" t="n">
        <v>5.91</v>
      </c>
      <c r="H106" s="30" t="n">
        <v>7.16</v>
      </c>
      <c r="I106" s="30" t="n">
        <v>18.87</v>
      </c>
      <c r="J106" s="30" t="n">
        <v>5.356537528527383</v>
      </c>
      <c r="K106" s="30" t="n">
        <v>57.49</v>
      </c>
      <c r="L106" s="24" t="n">
        <v>86</v>
      </c>
      <c r="M106" s="18" t="n">
        <v>0</v>
      </c>
      <c r="N106" s="19" t="n">
        <v>47.3</v>
      </c>
      <c r="O106" s="108">
        <f>COUNTIFS($E:$E,$E106,$L:$L,"&gt;"&amp;$L106)+1</f>
        <v/>
      </c>
      <c r="P106" s="108">
        <f>COUNTIFS($E:$E,$E106,$M:$M,"&gt;"&amp;$M106)+1</f>
        <v/>
      </c>
      <c r="Q106" s="108">
        <f>COUNTIFS($E:$E,$E106,$N:$N,"&gt;"&amp;$N106)+1</f>
        <v/>
      </c>
      <c r="R106" s="31" t="inlineStr">
        <is>
          <t>⭐ Strong</t>
        </is>
      </c>
      <c r="S106" s="31" t="inlineStr">
        <is>
          <t>🔴 Not Qualified</t>
        </is>
      </c>
      <c r="T106" s="31" t="inlineStr">
        <is>
          <t>⚠️ Watch</t>
        </is>
      </c>
      <c r="U106" s="83" t="inlineStr">
        <is>
          <t>FULL</t>
        </is>
      </c>
    </row>
    <row r="107" ht="16" customHeight="1">
      <c r="A107" s="13" t="n">
        <v>103</v>
      </c>
      <c r="B107" s="14" t="inlineStr">
        <is>
          <t>HDFC NIFTY Smallcap 250 ETF - Growth Option</t>
        </is>
      </c>
      <c r="C107" s="14" t="inlineStr">
        <is>
          <t>HDFC Mutual Fund</t>
        </is>
      </c>
      <c r="D107" s="14" t="inlineStr">
        <is>
          <t>Other  Etfs</t>
        </is>
      </c>
      <c r="E107" s="14" t="inlineStr">
        <is>
          <t>Index Fund</t>
        </is>
      </c>
      <c r="F107" s="15" t="n">
        <v>2.04</v>
      </c>
      <c r="G107" s="15" t="n">
        <v>10.34</v>
      </c>
      <c r="H107" s="15" t="n">
        <v>13.56</v>
      </c>
      <c r="I107" s="15" t="n">
        <v>10.38</v>
      </c>
      <c r="J107" s="15" t="n">
        <v>2.946588093049507</v>
      </c>
      <c r="K107" s="15" t="n">
        <v>62.85</v>
      </c>
      <c r="L107" s="24" t="n">
        <v>85.90000000000001</v>
      </c>
      <c r="M107" s="18" t="n">
        <v>0</v>
      </c>
      <c r="N107" s="19" t="n">
        <v>47.2</v>
      </c>
      <c r="O107" s="108">
        <f>COUNTIFS($E:$E,$E107,$L:$L,"&gt;"&amp;$L107)+1</f>
        <v/>
      </c>
      <c r="P107" s="108">
        <f>COUNTIFS($E:$E,$E107,$M:$M,"&gt;"&amp;$M107)+1</f>
        <v/>
      </c>
      <c r="Q107" s="108">
        <f>COUNTIFS($E:$E,$E107,$N:$N,"&gt;"&amp;$N107)+1</f>
        <v/>
      </c>
      <c r="R107" s="20" t="inlineStr">
        <is>
          <t>⭐ Strong</t>
        </is>
      </c>
      <c r="S107" s="20" t="inlineStr">
        <is>
          <t>🔴 Not Qualified</t>
        </is>
      </c>
      <c r="T107" s="20" t="inlineStr">
        <is>
          <t>⚠️ Watch</t>
        </is>
      </c>
      <c r="U107" s="83" t="inlineStr">
        <is>
          <t>FULL</t>
        </is>
      </c>
    </row>
    <row r="108" ht="16" customHeight="1">
      <c r="A108" s="28" t="n">
        <v>104</v>
      </c>
      <c r="B108" s="29" t="inlineStr">
        <is>
          <t>Franklin U.S. Opportunities Equity Active Fund of Funds - Growth</t>
        </is>
      </c>
      <c r="C108" s="29" t="inlineStr">
        <is>
          <t>Franklin Templeton Mutual Fund</t>
        </is>
      </c>
      <c r="D108" s="29" t="inlineStr">
        <is>
          <t>Fof Overseas</t>
        </is>
      </c>
      <c r="E108" s="29" t="inlineStr">
        <is>
          <t>Standard Equity/Debt</t>
        </is>
      </c>
      <c r="F108" s="30" t="n">
        <v>4.13</v>
      </c>
      <c r="G108" s="30" t="n">
        <v>4.63</v>
      </c>
      <c r="H108" s="30" t="n">
        <v>19.7</v>
      </c>
      <c r="I108" s="30" t="n">
        <v>19.64</v>
      </c>
      <c r="J108" s="30" t="n">
        <v>18.04236527620073</v>
      </c>
      <c r="K108" s="30" t="n">
        <v>87.52</v>
      </c>
      <c r="L108" s="17" t="n">
        <v>60.9</v>
      </c>
      <c r="M108" s="18" t="n">
        <v>29.7</v>
      </c>
      <c r="N108" s="19" t="n">
        <v>46.9</v>
      </c>
      <c r="O108" s="108">
        <f>COUNTIFS($E:$E,$E108,$L:$L,"&gt;"&amp;$L108)+1</f>
        <v/>
      </c>
      <c r="P108" s="108">
        <f>COUNTIFS($E:$E,$E108,$M:$M,"&gt;"&amp;$M108)+1</f>
        <v/>
      </c>
      <c r="Q108" s="108">
        <f>COUNTIFS($E:$E,$E108,$N:$N,"&gt;"&amp;$N108)+1</f>
        <v/>
      </c>
      <c r="R108" s="31" t="inlineStr">
        <is>
          <t>📈 Good</t>
        </is>
      </c>
      <c r="S108" s="31" t="inlineStr">
        <is>
          <t>⚠️ Below Avg</t>
        </is>
      </c>
      <c r="T108" s="31" t="inlineStr">
        <is>
          <t>⚠️ Watch</t>
        </is>
      </c>
      <c r="U108" s="83" t="inlineStr">
        <is>
          <t>FULL</t>
        </is>
      </c>
    </row>
    <row r="109" ht="16" customHeight="1">
      <c r="A109" s="13" t="n">
        <v>105</v>
      </c>
      <c r="B109" s="14" t="inlineStr">
        <is>
          <t>Axis Gold Fund - Regular Plan - Growth Option</t>
        </is>
      </c>
      <c r="C109" s="14" t="inlineStr">
        <is>
          <t>Axis Mutual Fund</t>
        </is>
      </c>
      <c r="D109" s="14" t="inlineStr">
        <is>
          <t>Fof Domestic</t>
        </is>
      </c>
      <c r="E109" s="14" t="inlineStr">
        <is>
          <t>Gold</t>
        </is>
      </c>
      <c r="F109" s="15" t="n">
        <v>9.220000000000001</v>
      </c>
      <c r="G109" s="16" t="n">
        <v>-3.39</v>
      </c>
      <c r="H109" s="15" t="n">
        <v>1.29</v>
      </c>
      <c r="I109" s="15" t="n">
        <v>51.37</v>
      </c>
      <c r="J109" s="15" t="n">
        <v>44.86200329969208</v>
      </c>
      <c r="K109" s="15" t="n">
        <v>149.83</v>
      </c>
      <c r="L109" s="17" t="n">
        <v>62.8</v>
      </c>
      <c r="M109" s="18" t="n">
        <v>27.4</v>
      </c>
      <c r="N109" s="19" t="n">
        <v>46.9</v>
      </c>
      <c r="O109" s="108">
        <f>COUNTIFS($E:$E,$E109,$L:$L,"&gt;"&amp;$L109)+1</f>
        <v/>
      </c>
      <c r="P109" s="108">
        <f>COUNTIFS($E:$E,$E109,$M:$M,"&gt;"&amp;$M109)+1</f>
        <v/>
      </c>
      <c r="Q109" s="108">
        <f>COUNTIFS($E:$E,$E109,$N:$N,"&gt;"&amp;$N109)+1</f>
        <v/>
      </c>
      <c r="R109" s="20" t="inlineStr">
        <is>
          <t>📈 Good</t>
        </is>
      </c>
      <c r="S109" s="20" t="inlineStr">
        <is>
          <t>⚠️ Below Avg</t>
        </is>
      </c>
      <c r="T109" s="20" t="inlineStr">
        <is>
          <t>⚠️ Watch</t>
        </is>
      </c>
      <c r="U109" s="83" t="inlineStr">
        <is>
          <t>FULL</t>
        </is>
      </c>
    </row>
    <row r="110" ht="16" customHeight="1">
      <c r="A110" s="28" t="n">
        <v>106</v>
      </c>
      <c r="B110" s="29" t="inlineStr">
        <is>
          <t>ICICI Prudential BSE Midcap Select ETF</t>
        </is>
      </c>
      <c r="C110" s="29" t="inlineStr">
        <is>
          <t>ICICI Prudential Mutual Fund</t>
        </is>
      </c>
      <c r="D110" s="29" t="inlineStr">
        <is>
          <t>Other  Etfs</t>
        </is>
      </c>
      <c r="E110" s="29" t="inlineStr">
        <is>
          <t>Index Fund</t>
        </is>
      </c>
      <c r="F110" s="30" t="n">
        <v>2.36</v>
      </c>
      <c r="G110" s="30" t="n">
        <v>9.56</v>
      </c>
      <c r="H110" s="30" t="n">
        <v>8.83</v>
      </c>
      <c r="I110" s="30" t="n">
        <v>15.8</v>
      </c>
      <c r="J110" s="30" t="n">
        <v>5.014284742600617</v>
      </c>
      <c r="K110" s="91" t="n">
        <v>-82.61</v>
      </c>
      <c r="L110" s="24" t="n">
        <v>84.7</v>
      </c>
      <c r="M110" s="18" t="n">
        <v>0</v>
      </c>
      <c r="N110" s="19" t="n">
        <v>46.6</v>
      </c>
      <c r="O110" s="108">
        <f>COUNTIFS($E:$E,$E110,$L:$L,"&gt;"&amp;$L110)+1</f>
        <v/>
      </c>
      <c r="P110" s="108">
        <f>COUNTIFS($E:$E,$E110,$M:$M,"&gt;"&amp;$M110)+1</f>
        <v/>
      </c>
      <c r="Q110" s="108">
        <f>COUNTIFS($E:$E,$E110,$N:$N,"&gt;"&amp;$N110)+1</f>
        <v/>
      </c>
      <c r="R110" s="31" t="inlineStr">
        <is>
          <t>⭐ Strong</t>
        </is>
      </c>
      <c r="S110" s="31" t="inlineStr">
        <is>
          <t>🔴 Not Qualified</t>
        </is>
      </c>
      <c r="T110" s="31" t="inlineStr">
        <is>
          <t>⚠️ Watch</t>
        </is>
      </c>
      <c r="U110" s="83" t="inlineStr">
        <is>
          <t>FULL</t>
        </is>
      </c>
    </row>
    <row r="111" ht="16" customHeight="1">
      <c r="A111" s="13" t="n">
        <v>107</v>
      </c>
      <c r="B111" s="14" t="inlineStr">
        <is>
          <t>Aditya Birla SUn Life Global Emerging Opportunities Fund - Regular Plan - Growth Option</t>
        </is>
      </c>
      <c r="C111" s="14" t="inlineStr">
        <is>
          <t>Aditya Birla Sun Life Mutual Fund</t>
        </is>
      </c>
      <c r="D111" s="14" t="inlineStr">
        <is>
          <t>Fof Overseas</t>
        </is>
      </c>
      <c r="E111" s="14" t="inlineStr">
        <is>
          <t>International</t>
        </is>
      </c>
      <c r="F111" s="15" t="n">
        <v>4.45</v>
      </c>
      <c r="G111" s="15" t="n">
        <v>2.64</v>
      </c>
      <c r="H111" s="15" t="n">
        <v>19.21</v>
      </c>
      <c r="I111" s="15" t="n">
        <v>25.91</v>
      </c>
      <c r="J111" s="15" t="n">
        <v>18.911731969558</v>
      </c>
      <c r="K111" s="15" t="n">
        <v>77.56</v>
      </c>
      <c r="L111" s="17" t="n">
        <v>59.3</v>
      </c>
      <c r="M111" s="18" t="n">
        <v>31</v>
      </c>
      <c r="N111" s="19" t="n">
        <v>46.6</v>
      </c>
      <c r="O111" s="108">
        <f>COUNTIFS($E:$E,$E111,$L:$L,"&gt;"&amp;$L111)+1</f>
        <v/>
      </c>
      <c r="P111" s="108">
        <f>COUNTIFS($E:$E,$E111,$M:$M,"&gt;"&amp;$M111)+1</f>
        <v/>
      </c>
      <c r="Q111" s="108">
        <f>COUNTIFS($E:$E,$E111,$N:$N,"&gt;"&amp;$N111)+1</f>
        <v/>
      </c>
      <c r="R111" s="20" t="inlineStr">
        <is>
          <t>➡️ Neutral</t>
        </is>
      </c>
      <c r="S111" s="20" t="inlineStr">
        <is>
          <t>⚠️ Below Avg</t>
        </is>
      </c>
      <c r="T111" s="20" t="inlineStr">
        <is>
          <t>⚠️ Watch</t>
        </is>
      </c>
      <c r="U111" s="83" t="inlineStr">
        <is>
          <t>FULL</t>
        </is>
      </c>
    </row>
    <row r="112" ht="16" customHeight="1">
      <c r="A112" s="28" t="n">
        <v>108</v>
      </c>
      <c r="B112" s="29" t="inlineStr">
        <is>
          <t>Mirae Asset Nifty India Manufacturing ETF</t>
        </is>
      </c>
      <c r="C112" s="29" t="inlineStr">
        <is>
          <t>Mirae Asset Mutual Fund</t>
        </is>
      </c>
      <c r="D112" s="29" t="inlineStr">
        <is>
          <t>Other  Etfs</t>
        </is>
      </c>
      <c r="E112" s="29" t="inlineStr">
        <is>
          <t>Index Fund</t>
        </is>
      </c>
      <c r="F112" s="30" t="n">
        <v>4.05</v>
      </c>
      <c r="G112" s="30" t="n">
        <v>6.41</v>
      </c>
      <c r="H112" s="30" t="n">
        <v>5.48</v>
      </c>
      <c r="I112" s="30" t="n">
        <v>17.27</v>
      </c>
      <c r="J112" s="30" t="n">
        <v>6.155546251714994</v>
      </c>
      <c r="K112" s="30" t="n">
        <v>74.23</v>
      </c>
      <c r="L112" s="24" t="n">
        <v>84.5</v>
      </c>
      <c r="M112" s="18" t="n">
        <v>0</v>
      </c>
      <c r="N112" s="19" t="n">
        <v>46.5</v>
      </c>
      <c r="O112" s="108">
        <f>COUNTIFS($E:$E,$E112,$L:$L,"&gt;"&amp;$L112)+1</f>
        <v/>
      </c>
      <c r="P112" s="108">
        <f>COUNTIFS($E:$E,$E112,$M:$M,"&gt;"&amp;$M112)+1</f>
        <v/>
      </c>
      <c r="Q112" s="108">
        <f>COUNTIFS($E:$E,$E112,$N:$N,"&gt;"&amp;$N112)+1</f>
        <v/>
      </c>
      <c r="R112" s="31" t="inlineStr">
        <is>
          <t>⭐ Strong</t>
        </is>
      </c>
      <c r="S112" s="31" t="inlineStr">
        <is>
          <t>🔴 Not Qualified</t>
        </is>
      </c>
      <c r="T112" s="31" t="inlineStr">
        <is>
          <t>⚠️ Watch</t>
        </is>
      </c>
      <c r="U112" s="83" t="inlineStr">
        <is>
          <t>FULL</t>
        </is>
      </c>
    </row>
    <row r="113" ht="16" customHeight="1">
      <c r="A113" s="13" t="n">
        <v>109</v>
      </c>
      <c r="B113" s="14" t="inlineStr">
        <is>
          <t>Axis Nifty Midcap 50 Index Fund - Regular Plan - Growth Option</t>
        </is>
      </c>
      <c r="C113" s="14" t="inlineStr">
        <is>
          <t>Axis Mutual Fund</t>
        </is>
      </c>
      <c r="D113" s="14" t="inlineStr">
        <is>
          <t>Index Funds</t>
        </is>
      </c>
      <c r="E113" s="14" t="inlineStr">
        <is>
          <t>Index Fund</t>
        </is>
      </c>
      <c r="F113" s="15" t="n">
        <v>1.61</v>
      </c>
      <c r="G113" s="15" t="n">
        <v>4.62</v>
      </c>
      <c r="H113" s="15" t="n">
        <v>6.08</v>
      </c>
      <c r="I113" s="15" t="n">
        <v>13.7</v>
      </c>
      <c r="J113" s="15" t="n">
        <v>5.313816757346701</v>
      </c>
      <c r="K113" s="15" t="n">
        <v>64.92</v>
      </c>
      <c r="L113" s="24" t="n">
        <v>84.40000000000001</v>
      </c>
      <c r="M113" s="18" t="n">
        <v>0</v>
      </c>
      <c r="N113" s="19" t="n">
        <v>46.4</v>
      </c>
      <c r="O113" s="108">
        <f>COUNTIFS($E:$E,$E113,$L:$L,"&gt;"&amp;$L113)+1</f>
        <v/>
      </c>
      <c r="P113" s="108">
        <f>COUNTIFS($E:$E,$E113,$M:$M,"&gt;"&amp;$M113)+1</f>
        <v/>
      </c>
      <c r="Q113" s="108">
        <f>COUNTIFS($E:$E,$E113,$N:$N,"&gt;"&amp;$N113)+1</f>
        <v/>
      </c>
      <c r="R113" s="20" t="inlineStr">
        <is>
          <t>⭐ Strong</t>
        </is>
      </c>
      <c r="S113" s="20" t="inlineStr">
        <is>
          <t>🔴 Not Qualified</t>
        </is>
      </c>
      <c r="T113" s="20" t="inlineStr">
        <is>
          <t>⚠️ Watch</t>
        </is>
      </c>
      <c r="U113" s="83" t="inlineStr">
        <is>
          <t>FULL</t>
        </is>
      </c>
    </row>
    <row r="114" ht="16" customHeight="1">
      <c r="A114" s="28" t="n">
        <v>110</v>
      </c>
      <c r="B114" s="29" t="inlineStr">
        <is>
          <t>Aditya Birla Sun Life Global Excellence Equity Fund Of Fund- Retail Plan - Regular Plan - Growth Option</t>
        </is>
      </c>
      <c r="C114" s="29" t="inlineStr">
        <is>
          <t>Aditya Birla Sun Life Mutual Fund</t>
        </is>
      </c>
      <c r="D114" s="29" t="inlineStr">
        <is>
          <t>Fof Overseas</t>
        </is>
      </c>
      <c r="E114" s="29" t="inlineStr">
        <is>
          <t>International</t>
        </is>
      </c>
      <c r="F114" s="30" t="n">
        <v>3.02</v>
      </c>
      <c r="G114" s="30" t="n">
        <v>4.73</v>
      </c>
      <c r="H114" s="30" t="n">
        <v>14.26</v>
      </c>
      <c r="I114" s="30" t="n">
        <v>26.8</v>
      </c>
      <c r="J114" s="30" t="n">
        <v>18.52425912023243</v>
      </c>
      <c r="K114" s="30" t="n">
        <v>83.47</v>
      </c>
      <c r="L114" s="17" t="n">
        <v>55</v>
      </c>
      <c r="M114" s="18" t="n">
        <v>33.2</v>
      </c>
      <c r="N114" s="19" t="n">
        <v>45.2</v>
      </c>
      <c r="O114" s="108">
        <f>COUNTIFS($E:$E,$E114,$L:$L,"&gt;"&amp;$L114)+1</f>
        <v/>
      </c>
      <c r="P114" s="108">
        <f>COUNTIFS($E:$E,$E114,$M:$M,"&gt;"&amp;$M114)+1</f>
        <v/>
      </c>
      <c r="Q114" s="108">
        <f>COUNTIFS($E:$E,$E114,$N:$N,"&gt;"&amp;$N114)+1</f>
        <v/>
      </c>
      <c r="R114" s="31" t="inlineStr">
        <is>
          <t>➡️ Neutral</t>
        </is>
      </c>
      <c r="S114" s="31" t="inlineStr">
        <is>
          <t>⚠️ Below Avg</t>
        </is>
      </c>
      <c r="T114" s="31" t="inlineStr">
        <is>
          <t>⚠️ Watch</t>
        </is>
      </c>
      <c r="U114" s="83" t="inlineStr">
        <is>
          <t>FULL</t>
        </is>
      </c>
    </row>
    <row r="115" ht="16" customHeight="1">
      <c r="A115" s="13" t="n">
        <v>111</v>
      </c>
      <c r="B115" s="14" t="inlineStr">
        <is>
          <t>SBI Nifty Midcap 150 Index Fund - Regular Plan - Growth</t>
        </is>
      </c>
      <c r="C115" s="14" t="inlineStr">
        <is>
          <t>SBI Mutual Fund</t>
        </is>
      </c>
      <c r="D115" s="14" t="inlineStr">
        <is>
          <t>Index Funds</t>
        </is>
      </c>
      <c r="E115" s="14" t="inlineStr">
        <is>
          <t>Index Fund</t>
        </is>
      </c>
      <c r="F115" s="15" t="n">
        <v>1.77</v>
      </c>
      <c r="G115" s="15" t="n">
        <v>4.56</v>
      </c>
      <c r="H115" s="15" t="n">
        <v>5.44</v>
      </c>
      <c r="I115" s="15" t="n">
        <v>11.05</v>
      </c>
      <c r="J115" s="15" t="n">
        <v>4.494018967594515</v>
      </c>
      <c r="K115" s="15" t="n">
        <v>63.1</v>
      </c>
      <c r="L115" s="24" t="n">
        <v>82</v>
      </c>
      <c r="M115" s="18" t="n">
        <v>0</v>
      </c>
      <c r="N115" s="19" t="n">
        <v>45.1</v>
      </c>
      <c r="O115" s="108">
        <f>COUNTIFS($E:$E,$E115,$L:$L,"&gt;"&amp;$L115)+1</f>
        <v/>
      </c>
      <c r="P115" s="108">
        <f>COUNTIFS($E:$E,$E115,$M:$M,"&gt;"&amp;$M115)+1</f>
        <v/>
      </c>
      <c r="Q115" s="108">
        <f>COUNTIFS($E:$E,$E115,$N:$N,"&gt;"&amp;$N115)+1</f>
        <v/>
      </c>
      <c r="R115" s="20" t="inlineStr">
        <is>
          <t>⭐ Strong</t>
        </is>
      </c>
      <c r="S115" s="20" t="inlineStr">
        <is>
          <t>🔴 Not Qualified</t>
        </is>
      </c>
      <c r="T115" s="20" t="inlineStr">
        <is>
          <t>⚠️ Watch</t>
        </is>
      </c>
      <c r="U115" s="83" t="inlineStr">
        <is>
          <t>FULL</t>
        </is>
      </c>
    </row>
    <row r="116" ht="16" customHeight="1">
      <c r="A116" s="28" t="n">
        <v>112</v>
      </c>
      <c r="B116" s="29" t="inlineStr">
        <is>
          <t>Nippon India Nifty Next 50 Junior BeES FoF - Growth Plan - Growth Option</t>
        </is>
      </c>
      <c r="C116" s="29" t="inlineStr">
        <is>
          <t>Nippon India Mutual Fund</t>
        </is>
      </c>
      <c r="D116" s="29" t="inlineStr">
        <is>
          <t>Fof Domestic</t>
        </is>
      </c>
      <c r="E116" s="29" t="inlineStr">
        <is>
          <t>Index Fund</t>
        </is>
      </c>
      <c r="F116" s="30" t="n">
        <v>3.8</v>
      </c>
      <c r="G116" s="30" t="n">
        <v>8.109999999999999</v>
      </c>
      <c r="H116" s="30" t="n">
        <v>6.52</v>
      </c>
      <c r="I116" s="30" t="n">
        <v>12.33</v>
      </c>
      <c r="J116" s="30" t="n">
        <v>1.567711404756977</v>
      </c>
      <c r="K116" s="30" t="n">
        <v>71.94</v>
      </c>
      <c r="L116" s="24" t="n">
        <v>81.90000000000001</v>
      </c>
      <c r="M116" s="18" t="n">
        <v>0</v>
      </c>
      <c r="N116" s="19" t="n">
        <v>45</v>
      </c>
      <c r="O116" s="108">
        <f>COUNTIFS($E:$E,$E116,$L:$L,"&gt;"&amp;$L116)+1</f>
        <v/>
      </c>
      <c r="P116" s="108">
        <f>COUNTIFS($E:$E,$E116,$M:$M,"&gt;"&amp;$M116)+1</f>
        <v/>
      </c>
      <c r="Q116" s="108">
        <f>COUNTIFS($E:$E,$E116,$N:$N,"&gt;"&amp;$N116)+1</f>
        <v/>
      </c>
      <c r="R116" s="31" t="inlineStr">
        <is>
          <t>⭐ Strong</t>
        </is>
      </c>
      <c r="S116" s="31" t="inlineStr">
        <is>
          <t>🔴 Not Qualified</t>
        </is>
      </c>
      <c r="T116" s="31" t="inlineStr">
        <is>
          <t>⚠️ Watch</t>
        </is>
      </c>
      <c r="U116" s="83" t="inlineStr">
        <is>
          <t>FULL</t>
        </is>
      </c>
    </row>
    <row r="117" ht="16" customHeight="1">
      <c r="A117" s="13" t="n">
        <v>113</v>
      </c>
      <c r="B117" s="14" t="inlineStr">
        <is>
          <t>Nippon India Nifty Midcap 150 Index Fund - Regular Plan - Growth Option</t>
        </is>
      </c>
      <c r="C117" s="14" t="inlineStr">
        <is>
          <t>Nippon India Mutual Fund</t>
        </is>
      </c>
      <c r="D117" s="14" t="inlineStr">
        <is>
          <t>Index Funds</t>
        </is>
      </c>
      <c r="E117" s="14" t="inlineStr">
        <is>
          <t>Index Fund</t>
        </is>
      </c>
      <c r="F117" s="15" t="n">
        <v>1.79</v>
      </c>
      <c r="G117" s="15" t="n">
        <v>4.53</v>
      </c>
      <c r="H117" s="15" t="n">
        <v>5.39</v>
      </c>
      <c r="I117" s="15" t="n">
        <v>10.99</v>
      </c>
      <c r="J117" s="15" t="n">
        <v>4.446158378372145</v>
      </c>
      <c r="K117" s="15" t="n">
        <v>63.15</v>
      </c>
      <c r="L117" s="24" t="n">
        <v>81.7</v>
      </c>
      <c r="M117" s="18" t="n">
        <v>0</v>
      </c>
      <c r="N117" s="19" t="n">
        <v>45</v>
      </c>
      <c r="O117" s="108">
        <f>COUNTIFS($E:$E,$E117,$L:$L,"&gt;"&amp;$L117)+1</f>
        <v/>
      </c>
      <c r="P117" s="108">
        <f>COUNTIFS($E:$E,$E117,$M:$M,"&gt;"&amp;$M117)+1</f>
        <v/>
      </c>
      <c r="Q117" s="108">
        <f>COUNTIFS($E:$E,$E117,$N:$N,"&gt;"&amp;$N117)+1</f>
        <v/>
      </c>
      <c r="R117" s="20" t="inlineStr">
        <is>
          <t>⭐ Strong</t>
        </is>
      </c>
      <c r="S117" s="20" t="inlineStr">
        <is>
          <t>🔴 Not Qualified</t>
        </is>
      </c>
      <c r="T117" s="20" t="inlineStr">
        <is>
          <t>⚠️ Watch</t>
        </is>
      </c>
      <c r="U117" s="83" t="inlineStr">
        <is>
          <t>FULL</t>
        </is>
      </c>
    </row>
    <row r="118" ht="16" customHeight="1">
      <c r="A118" s="28" t="n">
        <v>114</v>
      </c>
      <c r="B118" s="29" t="inlineStr">
        <is>
          <t>ICICI Prudential Nifty PSU Bank ETF</t>
        </is>
      </c>
      <c r="C118" s="29" t="inlineStr">
        <is>
          <t>ICICI Prudential Mutual Fund</t>
        </is>
      </c>
      <c r="D118" s="29" t="inlineStr">
        <is>
          <t>Other  Etfs</t>
        </is>
      </c>
      <c r="E118" s="29" t="inlineStr">
        <is>
          <t>Banking/Financial</t>
        </is>
      </c>
      <c r="F118" s="30" t="n">
        <v>2.79</v>
      </c>
      <c r="G118" s="30" t="n">
        <v>8.51</v>
      </c>
      <c r="H118" s="91" t="n">
        <v>-10.06</v>
      </c>
      <c r="I118" s="30" t="n">
        <v>23.05</v>
      </c>
      <c r="J118" s="30" t="n">
        <v>12.48999955551604</v>
      </c>
      <c r="K118" s="30" t="n">
        <v>89.12</v>
      </c>
      <c r="L118" s="17" t="n">
        <v>60.7</v>
      </c>
      <c r="M118" s="18" t="n">
        <v>25.6</v>
      </c>
      <c r="N118" s="19" t="n">
        <v>44.9</v>
      </c>
      <c r="O118" s="108">
        <f>COUNTIFS($E:$E,$E118,$L:$L,"&gt;"&amp;$L118)+1</f>
        <v/>
      </c>
      <c r="P118" s="108">
        <f>COUNTIFS($E:$E,$E118,$M:$M,"&gt;"&amp;$M118)+1</f>
        <v/>
      </c>
      <c r="Q118" s="108">
        <f>COUNTIFS($E:$E,$E118,$N:$N,"&gt;"&amp;$N118)+1</f>
        <v/>
      </c>
      <c r="R118" s="31" t="inlineStr">
        <is>
          <t>📈 Good</t>
        </is>
      </c>
      <c r="S118" s="31" t="inlineStr">
        <is>
          <t>⚠️ Below Avg</t>
        </is>
      </c>
      <c r="T118" s="31" t="inlineStr">
        <is>
          <t>⚠️ Watch</t>
        </is>
      </c>
      <c r="U118" s="83" t="inlineStr">
        <is>
          <t>FULL</t>
        </is>
      </c>
    </row>
    <row r="119" ht="16" customHeight="1">
      <c r="A119" s="13" t="n">
        <v>115</v>
      </c>
      <c r="B119" s="14" t="inlineStr">
        <is>
          <t>HDFC NIFTY Midcap 150 Index Fund - Growth Option</t>
        </is>
      </c>
      <c r="C119" s="14" t="inlineStr">
        <is>
          <t>HDFC Mutual Fund</t>
        </is>
      </c>
      <c r="D119" s="14" t="inlineStr">
        <is>
          <t>Index Funds</t>
        </is>
      </c>
      <c r="E119" s="14" t="inlineStr">
        <is>
          <t>Index Fund</t>
        </is>
      </c>
      <c r="F119" s="15" t="n">
        <v>1.76</v>
      </c>
      <c r="G119" s="15" t="n">
        <v>4.5</v>
      </c>
      <c r="H119" s="15" t="n">
        <v>5.3</v>
      </c>
      <c r="I119" s="15" t="n">
        <v>10.84</v>
      </c>
      <c r="J119" s="15" t="n">
        <v>4.383906805599103</v>
      </c>
      <c r="K119" s="15" t="n">
        <v>62.31</v>
      </c>
      <c r="L119" s="24" t="n">
        <v>80.90000000000001</v>
      </c>
      <c r="M119" s="18" t="n">
        <v>0</v>
      </c>
      <c r="N119" s="19" t="n">
        <v>44.5</v>
      </c>
      <c r="O119" s="108">
        <f>COUNTIFS($E:$E,$E119,$L:$L,"&gt;"&amp;$L119)+1</f>
        <v/>
      </c>
      <c r="P119" s="108">
        <f>COUNTIFS($E:$E,$E119,$M:$M,"&gt;"&amp;$M119)+1</f>
        <v/>
      </c>
      <c r="Q119" s="108">
        <f>COUNTIFS($E:$E,$E119,$N:$N,"&gt;"&amp;$N119)+1</f>
        <v/>
      </c>
      <c r="R119" s="20" t="inlineStr">
        <is>
          <t>⭐ Strong</t>
        </is>
      </c>
      <c r="S119" s="20" t="inlineStr">
        <is>
          <t>🔴 Not Qualified</t>
        </is>
      </c>
      <c r="T119" s="20" t="inlineStr">
        <is>
          <t>⚠️ Watch</t>
        </is>
      </c>
      <c r="U119" s="83" t="inlineStr">
        <is>
          <t>FULL</t>
        </is>
      </c>
    </row>
    <row r="120" ht="16" customHeight="1">
      <c r="A120" s="28" t="n">
        <v>116</v>
      </c>
      <c r="B120" s="29" t="inlineStr">
        <is>
          <t>SBI US Specific Equity Active FoF- Regular Plan - Growth</t>
        </is>
      </c>
      <c r="C120" s="29" t="inlineStr">
        <is>
          <t>SBI Mutual Fund</t>
        </is>
      </c>
      <c r="D120" s="29" t="inlineStr">
        <is>
          <t>Fof Overseas</t>
        </is>
      </c>
      <c r="E120" s="29" t="inlineStr">
        <is>
          <t>Standard Equity/Debt</t>
        </is>
      </c>
      <c r="F120" s="30" t="n">
        <v>2.38</v>
      </c>
      <c r="G120" s="30" t="n">
        <v>1.35</v>
      </c>
      <c r="H120" s="30" t="n">
        <v>11.64</v>
      </c>
      <c r="I120" s="30" t="n">
        <v>28.43</v>
      </c>
      <c r="J120" s="30" t="n">
        <v>23.30450113438683</v>
      </c>
      <c r="K120" s="30" t="n">
        <v>105.11</v>
      </c>
      <c r="L120" s="37" t="n">
        <v>38.9</v>
      </c>
      <c r="M120" s="42" t="n">
        <v>51.2</v>
      </c>
      <c r="N120" s="19" t="n">
        <v>44.4</v>
      </c>
      <c r="O120" s="108">
        <f>COUNTIFS($E:$E,$E120,$L:$L,"&gt;"&amp;$L120)+1</f>
        <v/>
      </c>
      <c r="P120" s="108">
        <f>COUNTIFS($E:$E,$E120,$M:$M,"&gt;"&amp;$M120)+1</f>
        <v/>
      </c>
      <c r="Q120" s="108">
        <f>COUNTIFS($E:$E,$E120,$N:$N,"&gt;"&amp;$N120)+1</f>
        <v/>
      </c>
      <c r="R120" s="31" t="inlineStr">
        <is>
          <t>📉 Weak</t>
        </is>
      </c>
      <c r="S120" s="31" t="inlineStr">
        <is>
          <t>➡️ Average</t>
        </is>
      </c>
      <c r="T120" s="31" t="inlineStr">
        <is>
          <t>⚠️ Watch</t>
        </is>
      </c>
      <c r="U120" s="83" t="inlineStr">
        <is>
          <t>FULL</t>
        </is>
      </c>
    </row>
    <row r="121" ht="16" customHeight="1">
      <c r="A121" s="13" t="n">
        <v>117</v>
      </c>
      <c r="B121" s="14" t="inlineStr">
        <is>
          <t>Motilal Oswal Nifty Midcap 150 Index Fund - Regular Plan</t>
        </is>
      </c>
      <c r="C121" s="14" t="inlineStr">
        <is>
          <t>Motilal Oswal Mutual Fund</t>
        </is>
      </c>
      <c r="D121" s="14" t="inlineStr">
        <is>
          <t>Index Funds</t>
        </is>
      </c>
      <c r="E121" s="14" t="inlineStr">
        <is>
          <t>Index Fund</t>
        </is>
      </c>
      <c r="F121" s="15" t="n">
        <v>1.74</v>
      </c>
      <c r="G121" s="15" t="n">
        <v>4.45</v>
      </c>
      <c r="H121" s="15" t="n">
        <v>5.25</v>
      </c>
      <c r="I121" s="15" t="n">
        <v>10.77</v>
      </c>
      <c r="J121" s="15" t="n">
        <v>4.379116685283369</v>
      </c>
      <c r="K121" s="15" t="n">
        <v>62.92</v>
      </c>
      <c r="L121" s="24" t="n">
        <v>79.8</v>
      </c>
      <c r="M121" s="18" t="n">
        <v>0</v>
      </c>
      <c r="N121" s="19" t="n">
        <v>43.9</v>
      </c>
      <c r="O121" s="108">
        <f>COUNTIFS($E:$E,$E121,$L:$L,"&gt;"&amp;$L121)+1</f>
        <v/>
      </c>
      <c r="P121" s="108">
        <f>COUNTIFS($E:$E,$E121,$M:$M,"&gt;"&amp;$M121)+1</f>
        <v/>
      </c>
      <c r="Q121" s="108">
        <f>COUNTIFS($E:$E,$E121,$N:$N,"&gt;"&amp;$N121)+1</f>
        <v/>
      </c>
      <c r="R121" s="20" t="inlineStr">
        <is>
          <t>⭐ Strong</t>
        </is>
      </c>
      <c r="S121" s="20" t="inlineStr">
        <is>
          <t>🔴 Not Qualified</t>
        </is>
      </c>
      <c r="T121" s="20" t="inlineStr">
        <is>
          <t>⚠️ Watch</t>
        </is>
      </c>
      <c r="U121" s="83" t="inlineStr">
        <is>
          <t>FULL</t>
        </is>
      </c>
    </row>
    <row r="122" ht="16" customHeight="1">
      <c r="A122" s="28" t="n">
        <v>118</v>
      </c>
      <c r="B122" s="29" t="inlineStr">
        <is>
          <t>ICICI Prudential Nifty Healthcare ETF</t>
        </is>
      </c>
      <c r="C122" s="29" t="inlineStr">
        <is>
          <t>ICICI Prudential Mutual Fund</t>
        </is>
      </c>
      <c r="D122" s="29" t="inlineStr">
        <is>
          <t>Other  Etfs</t>
        </is>
      </c>
      <c r="E122" s="29" t="inlineStr">
        <is>
          <t>Pharma/Healthcare</t>
        </is>
      </c>
      <c r="F122" s="30" t="n">
        <v>1.16</v>
      </c>
      <c r="G122" s="30" t="n">
        <v>4.26</v>
      </c>
      <c r="H122" s="30" t="n">
        <v>13.08</v>
      </c>
      <c r="I122" s="30" t="n">
        <v>12.86</v>
      </c>
      <c r="J122" s="30" t="n">
        <v>9.366356801349095</v>
      </c>
      <c r="K122" s="30" t="n">
        <v>74.59</v>
      </c>
      <c r="L122" s="24" t="n">
        <v>79.59999999999999</v>
      </c>
      <c r="M122" s="18" t="n">
        <v>0</v>
      </c>
      <c r="N122" s="19" t="n">
        <v>43.8</v>
      </c>
      <c r="O122" s="108">
        <f>COUNTIFS($E:$E,$E122,$L:$L,"&gt;"&amp;$L122)+1</f>
        <v/>
      </c>
      <c r="P122" s="108">
        <f>COUNTIFS($E:$E,$E122,$M:$M,"&gt;"&amp;$M122)+1</f>
        <v/>
      </c>
      <c r="Q122" s="108">
        <f>COUNTIFS($E:$E,$E122,$N:$N,"&gt;"&amp;$N122)+1</f>
        <v/>
      </c>
      <c r="R122" s="31" t="inlineStr">
        <is>
          <t>⭐ Strong</t>
        </is>
      </c>
      <c r="S122" s="31" t="inlineStr">
        <is>
          <t>🔴 Not Qualified</t>
        </is>
      </c>
      <c r="T122" s="31" t="inlineStr">
        <is>
          <t>⚠️ Watch</t>
        </is>
      </c>
      <c r="U122" s="83" t="inlineStr">
        <is>
          <t>FULL</t>
        </is>
      </c>
    </row>
    <row r="123" ht="16" customHeight="1">
      <c r="A123" s="13" t="n">
        <v>119</v>
      </c>
      <c r="B123" s="14" t="inlineStr">
        <is>
          <t>ICICI Prudential Nifty Midcap 150 Index Fund - Growth</t>
        </is>
      </c>
      <c r="C123" s="14" t="inlineStr">
        <is>
          <t>ICICI Prudential Mutual Fund</t>
        </is>
      </c>
      <c r="D123" s="14" t="inlineStr">
        <is>
          <t>Index Funds</t>
        </is>
      </c>
      <c r="E123" s="14" t="inlineStr">
        <is>
          <t>Index Fund</t>
        </is>
      </c>
      <c r="F123" s="15" t="n">
        <v>1.74</v>
      </c>
      <c r="G123" s="15" t="n">
        <v>4.44</v>
      </c>
      <c r="H123" s="15" t="n">
        <v>5.23</v>
      </c>
      <c r="I123" s="15" t="n">
        <v>10.72</v>
      </c>
      <c r="J123" s="15" t="n">
        <v>4.278473329829668</v>
      </c>
      <c r="K123" s="15" t="n">
        <v>62.06</v>
      </c>
      <c r="L123" s="24" t="n">
        <v>79.59999999999999</v>
      </c>
      <c r="M123" s="18" t="n">
        <v>0</v>
      </c>
      <c r="N123" s="19" t="n">
        <v>43.8</v>
      </c>
      <c r="O123" s="108">
        <f>COUNTIFS($E:$E,$E123,$L:$L,"&gt;"&amp;$L123)+1</f>
        <v/>
      </c>
      <c r="P123" s="108">
        <f>COUNTIFS($E:$E,$E123,$M:$M,"&gt;"&amp;$M123)+1</f>
        <v/>
      </c>
      <c r="Q123" s="108">
        <f>COUNTIFS($E:$E,$E123,$N:$N,"&gt;"&amp;$N123)+1</f>
        <v/>
      </c>
      <c r="R123" s="20" t="inlineStr">
        <is>
          <t>⭐ Strong</t>
        </is>
      </c>
      <c r="S123" s="20" t="inlineStr">
        <is>
          <t>🔴 Not Qualified</t>
        </is>
      </c>
      <c r="T123" s="20" t="inlineStr">
        <is>
          <t>⚠️ Watch</t>
        </is>
      </c>
      <c r="U123" s="83" t="inlineStr">
        <is>
          <t>FULL</t>
        </is>
      </c>
    </row>
    <row r="124" ht="16" customHeight="1">
      <c r="A124" s="28" t="n">
        <v>120</v>
      </c>
      <c r="B124" s="29" t="inlineStr">
        <is>
          <t>Navi Nifty Midcap 150 Index Fund Regular Plan- Growth</t>
        </is>
      </c>
      <c r="C124" s="29" t="inlineStr">
        <is>
          <t>Navi Mutual Fund</t>
        </is>
      </c>
      <c r="D124" s="29" t="inlineStr">
        <is>
          <t>Index Funds</t>
        </is>
      </c>
      <c r="E124" s="29" t="inlineStr">
        <is>
          <t>Index Fund</t>
        </is>
      </c>
      <c r="F124" s="30" t="n">
        <v>1.72</v>
      </c>
      <c r="G124" s="30" t="n">
        <v>4.41</v>
      </c>
      <c r="H124" s="30" t="n">
        <v>5.17</v>
      </c>
      <c r="I124" s="30" t="n">
        <v>10.47</v>
      </c>
      <c r="J124" s="30" t="n">
        <v>4.086502487114041</v>
      </c>
      <c r="K124" s="30" t="n">
        <v>61.14</v>
      </c>
      <c r="L124" s="24" t="n">
        <v>78.8</v>
      </c>
      <c r="M124" s="18" t="n">
        <v>0</v>
      </c>
      <c r="N124" s="19" t="n">
        <v>43.3</v>
      </c>
      <c r="O124" s="108">
        <f>COUNTIFS($E:$E,$E124,$L:$L,"&gt;"&amp;$L124)+1</f>
        <v/>
      </c>
      <c r="P124" s="108">
        <f>COUNTIFS($E:$E,$E124,$M:$M,"&gt;"&amp;$M124)+1</f>
        <v/>
      </c>
      <c r="Q124" s="108">
        <f>COUNTIFS($E:$E,$E124,$N:$N,"&gt;"&amp;$N124)+1</f>
        <v/>
      </c>
      <c r="R124" s="31" t="inlineStr">
        <is>
          <t>⭐ Strong</t>
        </is>
      </c>
      <c r="S124" s="31" t="inlineStr">
        <is>
          <t>🔴 Not Qualified</t>
        </is>
      </c>
      <c r="T124" s="31" t="inlineStr">
        <is>
          <t>⚠️ Watch</t>
        </is>
      </c>
      <c r="U124" s="83" t="inlineStr">
        <is>
          <t>FULL</t>
        </is>
      </c>
    </row>
    <row r="125" ht="16" customHeight="1">
      <c r="A125" s="13" t="n">
        <v>121</v>
      </c>
      <c r="B125" s="14" t="inlineStr">
        <is>
          <t>Edelweiss ASEAN Equity Off-shore Fund - Regular Plan - Growth Option</t>
        </is>
      </c>
      <c r="C125" s="14" t="inlineStr">
        <is>
          <t>Edelweiss Mutual Fund</t>
        </is>
      </c>
      <c r="D125" s="14" t="inlineStr">
        <is>
          <t>Fof Overseas</t>
        </is>
      </c>
      <c r="E125" s="14" t="inlineStr">
        <is>
          <t>Standard Equity/Debt</t>
        </is>
      </c>
      <c r="F125" s="15" t="n">
        <v>3.4</v>
      </c>
      <c r="G125" s="15" t="n">
        <v>7.88</v>
      </c>
      <c r="H125" s="15" t="n">
        <v>12.9</v>
      </c>
      <c r="I125" s="15" t="n">
        <v>24.06</v>
      </c>
      <c r="J125" s="15" t="n">
        <v>21.97950647547318</v>
      </c>
      <c r="K125" s="15" t="n">
        <v>61.77</v>
      </c>
      <c r="L125" s="17" t="n">
        <v>57.6</v>
      </c>
      <c r="M125" s="18" t="n">
        <v>25.9</v>
      </c>
      <c r="N125" s="19" t="n">
        <v>43.3</v>
      </c>
      <c r="O125" s="108">
        <f>COUNTIFS($E:$E,$E125,$L:$L,"&gt;"&amp;$L125)+1</f>
        <v/>
      </c>
      <c r="P125" s="108">
        <f>COUNTIFS($E:$E,$E125,$M:$M,"&gt;"&amp;$M125)+1</f>
        <v/>
      </c>
      <c r="Q125" s="108">
        <f>COUNTIFS($E:$E,$E125,$N:$N,"&gt;"&amp;$N125)+1</f>
        <v/>
      </c>
      <c r="R125" s="20" t="inlineStr">
        <is>
          <t>➡️ Neutral</t>
        </is>
      </c>
      <c r="S125" s="20" t="inlineStr">
        <is>
          <t>⚠️ Below Avg</t>
        </is>
      </c>
      <c r="T125" s="20" t="inlineStr">
        <is>
          <t>⚠️ Watch</t>
        </is>
      </c>
      <c r="U125" s="83" t="inlineStr">
        <is>
          <t>FULL</t>
        </is>
      </c>
    </row>
    <row r="126" ht="16" customHeight="1">
      <c r="A126" s="28" t="n">
        <v>122</v>
      </c>
      <c r="B126" s="29" t="inlineStr">
        <is>
          <t>Axis NIFTY Healthcare ETF</t>
        </is>
      </c>
      <c r="C126" s="29" t="inlineStr">
        <is>
          <t>Axis Mutual Fund</t>
        </is>
      </c>
      <c r="D126" s="29" t="inlineStr">
        <is>
          <t>Other  Etfs</t>
        </is>
      </c>
      <c r="E126" s="29" t="inlineStr">
        <is>
          <t>Pharma/Healthcare</t>
        </is>
      </c>
      <c r="F126" s="30" t="n">
        <v>1.14</v>
      </c>
      <c r="G126" s="30" t="n">
        <v>4.2</v>
      </c>
      <c r="H126" s="30" t="n">
        <v>12.94</v>
      </c>
      <c r="I126" s="30" t="n">
        <v>12.58</v>
      </c>
      <c r="J126" s="30" t="n">
        <v>9.128364782030896</v>
      </c>
      <c r="K126" s="30" t="n">
        <v>73.45999999999999</v>
      </c>
      <c r="L126" s="24" t="n">
        <v>78.5</v>
      </c>
      <c r="M126" s="18" t="n">
        <v>0</v>
      </c>
      <c r="N126" s="19" t="n">
        <v>43.2</v>
      </c>
      <c r="O126" s="108">
        <f>COUNTIFS($E:$E,$E126,$L:$L,"&gt;"&amp;$L126)+1</f>
        <v/>
      </c>
      <c r="P126" s="108">
        <f>COUNTIFS($E:$E,$E126,$M:$M,"&gt;"&amp;$M126)+1</f>
        <v/>
      </c>
      <c r="Q126" s="108">
        <f>COUNTIFS($E:$E,$E126,$N:$N,"&gt;"&amp;$N126)+1</f>
        <v/>
      </c>
      <c r="R126" s="31" t="inlineStr">
        <is>
          <t>⭐ Strong</t>
        </is>
      </c>
      <c r="S126" s="31" t="inlineStr">
        <is>
          <t>🔴 Not Qualified</t>
        </is>
      </c>
      <c r="T126" s="31" t="inlineStr">
        <is>
          <t>⚠️ Watch</t>
        </is>
      </c>
      <c r="U126" s="83" t="inlineStr">
        <is>
          <t>FULL</t>
        </is>
      </c>
    </row>
    <row r="127" ht="16" customHeight="1">
      <c r="A127" s="13" t="n">
        <v>123</v>
      </c>
      <c r="B127" s="14" t="inlineStr">
        <is>
          <t>LIC MF Gold ETF Fund of Fund-Regular Plan-Growth</t>
        </is>
      </c>
      <c r="C127" s="14" t="inlineStr">
        <is>
          <t>LIC Mutual Fund</t>
        </is>
      </c>
      <c r="D127" s="14" t="inlineStr">
        <is>
          <t>Fof Domestic</t>
        </is>
      </c>
      <c r="E127" s="14" t="inlineStr">
        <is>
          <t>Gold</t>
        </is>
      </c>
      <c r="F127" s="15" t="n">
        <v>8.75</v>
      </c>
      <c r="G127" s="16" t="n">
        <v>-3.39</v>
      </c>
      <c r="H127" s="15" t="n">
        <v>0.8100000000000001</v>
      </c>
      <c r="I127" s="15" t="n">
        <v>50.49</v>
      </c>
      <c r="J127" s="15" t="n">
        <v>44.84474446799924</v>
      </c>
      <c r="K127" s="15" t="n">
        <v>150.05</v>
      </c>
      <c r="L127" s="17" t="n">
        <v>55.7</v>
      </c>
      <c r="M127" s="18" t="n">
        <v>27</v>
      </c>
      <c r="N127" s="19" t="n">
        <v>42.8</v>
      </c>
      <c r="O127" s="108">
        <f>COUNTIFS($E:$E,$E127,$L:$L,"&gt;"&amp;$L127)+1</f>
        <v/>
      </c>
      <c r="P127" s="108">
        <f>COUNTIFS($E:$E,$E127,$M:$M,"&gt;"&amp;$M127)+1</f>
        <v/>
      </c>
      <c r="Q127" s="108">
        <f>COUNTIFS($E:$E,$E127,$N:$N,"&gt;"&amp;$N127)+1</f>
        <v/>
      </c>
      <c r="R127" s="20" t="inlineStr">
        <is>
          <t>➡️ Neutral</t>
        </is>
      </c>
      <c r="S127" s="20" t="inlineStr">
        <is>
          <t>⚠️ Below Avg</t>
        </is>
      </c>
      <c r="T127" s="20" t="inlineStr">
        <is>
          <t>⚠️ Watch</t>
        </is>
      </c>
      <c r="U127" s="83" t="inlineStr">
        <is>
          <t>FULL</t>
        </is>
      </c>
    </row>
    <row r="128" ht="16" customHeight="1">
      <c r="A128" s="28" t="n">
        <v>124</v>
      </c>
      <c r="B128" s="29" t="inlineStr">
        <is>
          <t>Bandhan Aggressive Hybrid Passive FOF - Regular Plan - Growth</t>
        </is>
      </c>
      <c r="C128" s="29" t="inlineStr">
        <is>
          <t>Bandhan Mutual Fund</t>
        </is>
      </c>
      <c r="D128" s="29" t="inlineStr">
        <is>
          <t>Fof Domestic</t>
        </is>
      </c>
      <c r="E128" s="29" t="inlineStr">
        <is>
          <t>Standard Equity/Debt</t>
        </is>
      </c>
      <c r="F128" s="30" t="n">
        <v>2.25</v>
      </c>
      <c r="G128" s="30" t="n">
        <v>5.08</v>
      </c>
      <c r="H128" s="30" t="n">
        <v>5.17</v>
      </c>
      <c r="I128" s="30" t="n">
        <v>11.13</v>
      </c>
      <c r="J128" s="30" t="n">
        <v>7.126093926736643</v>
      </c>
      <c r="K128" s="30" t="n">
        <v>46.81</v>
      </c>
      <c r="L128" s="24" t="n">
        <v>77.59999999999999</v>
      </c>
      <c r="M128" s="18" t="n">
        <v>0</v>
      </c>
      <c r="N128" s="19" t="n">
        <v>42.7</v>
      </c>
      <c r="O128" s="108">
        <f>COUNTIFS($E:$E,$E128,$L:$L,"&gt;"&amp;$L128)+1</f>
        <v/>
      </c>
      <c r="P128" s="108">
        <f>COUNTIFS($E:$E,$E128,$M:$M,"&gt;"&amp;$M128)+1</f>
        <v/>
      </c>
      <c r="Q128" s="108">
        <f>COUNTIFS($E:$E,$E128,$N:$N,"&gt;"&amp;$N128)+1</f>
        <v/>
      </c>
      <c r="R128" s="31" t="inlineStr">
        <is>
          <t>⭐ Strong</t>
        </is>
      </c>
      <c r="S128" s="31" t="inlineStr">
        <is>
          <t>🔴 Not Qualified</t>
        </is>
      </c>
      <c r="T128" s="31" t="inlineStr">
        <is>
          <t>⚠️ Watch</t>
        </is>
      </c>
      <c r="U128" s="83" t="inlineStr">
        <is>
          <t>FULL</t>
        </is>
      </c>
    </row>
    <row r="129" ht="16" customHeight="1">
      <c r="A129" s="13" t="n">
        <v>125</v>
      </c>
      <c r="B129" s="14" t="inlineStr">
        <is>
          <t>Motilal Oswal Nifty Midcap 100 ETF</t>
        </is>
      </c>
      <c r="C129" s="14" t="inlineStr">
        <is>
          <t>Motilal Oswal Mutual Fund</t>
        </is>
      </c>
      <c r="D129" s="14" t="inlineStr">
        <is>
          <t>Other  Etfs</t>
        </is>
      </c>
      <c r="E129" s="14" t="inlineStr">
        <is>
          <t>Index Fund</t>
        </is>
      </c>
      <c r="F129" s="15" t="n">
        <v>1.87</v>
      </c>
      <c r="G129" s="15" t="n">
        <v>4.37</v>
      </c>
      <c r="H129" s="15" t="n">
        <v>5.82</v>
      </c>
      <c r="I129" s="15" t="n">
        <v>13</v>
      </c>
      <c r="J129" s="15" t="n">
        <v>5.484596031837752</v>
      </c>
      <c r="K129" s="15" t="n">
        <v>70.53</v>
      </c>
      <c r="L129" s="24" t="n">
        <v>77.59999999999999</v>
      </c>
      <c r="M129" s="18" t="n">
        <v>0</v>
      </c>
      <c r="N129" s="19" t="n">
        <v>42.7</v>
      </c>
      <c r="O129" s="108">
        <f>COUNTIFS($E:$E,$E129,$L:$L,"&gt;"&amp;$L129)+1</f>
        <v/>
      </c>
      <c r="P129" s="108">
        <f>COUNTIFS($E:$E,$E129,$M:$M,"&gt;"&amp;$M129)+1</f>
        <v/>
      </c>
      <c r="Q129" s="108">
        <f>COUNTIFS($E:$E,$E129,$N:$N,"&gt;"&amp;$N129)+1</f>
        <v/>
      </c>
      <c r="R129" s="20" t="inlineStr">
        <is>
          <t>⭐ Strong</t>
        </is>
      </c>
      <c r="S129" s="20" t="inlineStr">
        <is>
          <t>🔴 Not Qualified</t>
        </is>
      </c>
      <c r="T129" s="20" t="inlineStr">
        <is>
          <t>⚠️ Watch</t>
        </is>
      </c>
      <c r="U129" s="83" t="inlineStr">
        <is>
          <t>FULL</t>
        </is>
      </c>
    </row>
    <row r="130" ht="16" customHeight="1">
      <c r="A130" s="28" t="n">
        <v>126</v>
      </c>
      <c r="B130" s="29" t="inlineStr">
        <is>
          <t>Nippon India Multi - Asset Omni FoF - Regular Plan - Growth Option</t>
        </is>
      </c>
      <c r="C130" s="29" t="inlineStr">
        <is>
          <t>Nippon India Mutual Fund</t>
        </is>
      </c>
      <c r="D130" s="29" t="inlineStr">
        <is>
          <t>Fof Domestic</t>
        </is>
      </c>
      <c r="E130" s="29" t="inlineStr">
        <is>
          <t>Standard Equity/Debt</t>
        </is>
      </c>
      <c r="F130" s="30" t="n">
        <v>2.47</v>
      </c>
      <c r="G130" s="30" t="n">
        <v>2.78</v>
      </c>
      <c r="H130" s="30" t="n">
        <v>2.8</v>
      </c>
      <c r="I130" s="30" t="n">
        <v>13.07</v>
      </c>
      <c r="J130" s="30" t="n">
        <v>11.14405067298925</v>
      </c>
      <c r="K130" s="30" t="n">
        <v>61.36</v>
      </c>
      <c r="L130" s="17" t="n">
        <v>67.90000000000001</v>
      </c>
      <c r="M130" s="18" t="n">
        <v>10.8</v>
      </c>
      <c r="N130" s="19" t="n">
        <v>42.2</v>
      </c>
      <c r="O130" s="108">
        <f>COUNTIFS($E:$E,$E130,$L:$L,"&gt;"&amp;$L130)+1</f>
        <v/>
      </c>
      <c r="P130" s="108">
        <f>COUNTIFS($E:$E,$E130,$M:$M,"&gt;"&amp;$M130)+1</f>
        <v/>
      </c>
      <c r="Q130" s="108">
        <f>COUNTIFS($E:$E,$E130,$N:$N,"&gt;"&amp;$N130)+1</f>
        <v/>
      </c>
      <c r="R130" s="31" t="inlineStr">
        <is>
          <t>📈 Good</t>
        </is>
      </c>
      <c r="S130" s="31" t="inlineStr">
        <is>
          <t>⚠️ Below Avg</t>
        </is>
      </c>
      <c r="T130" s="31" t="inlineStr">
        <is>
          <t>⚠️ Watch</t>
        </is>
      </c>
      <c r="U130" s="83" t="inlineStr">
        <is>
          <t>FULL</t>
        </is>
      </c>
    </row>
    <row r="131" ht="16" customHeight="1">
      <c r="A131" s="13" t="n">
        <v>127</v>
      </c>
      <c r="B131" s="14" t="inlineStr">
        <is>
          <t>Mirae Asset Nifty Midcap 150 ETF</t>
        </is>
      </c>
      <c r="C131" s="14" t="inlineStr">
        <is>
          <t>Mirae Asset Mutual Fund</t>
        </is>
      </c>
      <c r="D131" s="14" t="inlineStr">
        <is>
          <t>Other  Etfs</t>
        </is>
      </c>
      <c r="E131" s="14" t="inlineStr">
        <is>
          <t>Index Fund</t>
        </is>
      </c>
      <c r="F131" s="15" t="n">
        <v>1.83</v>
      </c>
      <c r="G131" s="15" t="n">
        <v>4.72</v>
      </c>
      <c r="H131" s="15" t="n">
        <v>5.77</v>
      </c>
      <c r="I131" s="15" t="n">
        <v>11.83</v>
      </c>
      <c r="J131" s="15" t="n">
        <v>5.304320899002057</v>
      </c>
      <c r="K131" s="15" t="n">
        <v>67.09</v>
      </c>
      <c r="L131" s="24" t="n">
        <v>76.40000000000001</v>
      </c>
      <c r="M131" s="18" t="n">
        <v>0</v>
      </c>
      <c r="N131" s="19" t="n">
        <v>42</v>
      </c>
      <c r="O131" s="108">
        <f>COUNTIFS($E:$E,$E131,$L:$L,"&gt;"&amp;$L131)+1</f>
        <v/>
      </c>
      <c r="P131" s="108">
        <f>COUNTIFS($E:$E,$E131,$M:$M,"&gt;"&amp;$M131)+1</f>
        <v/>
      </c>
      <c r="Q131" s="108">
        <f>COUNTIFS($E:$E,$E131,$N:$N,"&gt;"&amp;$N131)+1</f>
        <v/>
      </c>
      <c r="R131" s="20" t="inlineStr">
        <is>
          <t>⭐ Strong</t>
        </is>
      </c>
      <c r="S131" s="20" t="inlineStr">
        <is>
          <t>🔴 Not Qualified</t>
        </is>
      </c>
      <c r="T131" s="20" t="inlineStr">
        <is>
          <t>⚠️ Watch</t>
        </is>
      </c>
      <c r="U131" s="83" t="inlineStr">
        <is>
          <t>FULL</t>
        </is>
      </c>
    </row>
    <row r="132" ht="16" customHeight="1">
      <c r="A132" s="28" t="n">
        <v>128</v>
      </c>
      <c r="B132" s="29" t="inlineStr">
        <is>
          <t>Nippon India ETF Nifty PSU Bank BeES</t>
        </is>
      </c>
      <c r="C132" s="29" t="inlineStr">
        <is>
          <t>Nippon India Mutual Fund</t>
        </is>
      </c>
      <c r="D132" s="29" t="inlineStr">
        <is>
          <t>Other  Etfs</t>
        </is>
      </c>
      <c r="E132" s="29" t="inlineStr">
        <is>
          <t>Banking/Financial</t>
        </is>
      </c>
      <c r="F132" s="30" t="n">
        <v>2.78</v>
      </c>
      <c r="G132" s="30" t="n">
        <v>8.49</v>
      </c>
      <c r="H132" s="91" t="n">
        <v>-10.1</v>
      </c>
      <c r="I132" s="30" t="n">
        <v>22.93</v>
      </c>
      <c r="J132" s="30" t="n">
        <v>12.37882362794158</v>
      </c>
      <c r="K132" s="30" t="n">
        <v>88.20999999999999</v>
      </c>
      <c r="L132" s="17" t="n">
        <v>60.3</v>
      </c>
      <c r="M132" s="18" t="n">
        <v>19.4</v>
      </c>
      <c r="N132" s="19" t="n">
        <v>41.9</v>
      </c>
      <c r="O132" s="108">
        <f>COUNTIFS($E:$E,$E132,$L:$L,"&gt;"&amp;$L132)+1</f>
        <v/>
      </c>
      <c r="P132" s="108">
        <f>COUNTIFS($E:$E,$E132,$M:$M,"&gt;"&amp;$M132)+1</f>
        <v/>
      </c>
      <c r="Q132" s="108">
        <f>COUNTIFS($E:$E,$E132,$N:$N,"&gt;"&amp;$N132)+1</f>
        <v/>
      </c>
      <c r="R132" s="31" t="inlineStr">
        <is>
          <t>📈 Good</t>
        </is>
      </c>
      <c r="S132" s="31" t="inlineStr">
        <is>
          <t>⚠️ Below Avg</t>
        </is>
      </c>
      <c r="T132" s="31" t="inlineStr">
        <is>
          <t>⚠️ Watch</t>
        </is>
      </c>
      <c r="U132" s="83" t="inlineStr">
        <is>
          <t>FULL</t>
        </is>
      </c>
    </row>
    <row r="133" ht="16" customHeight="1">
      <c r="A133" s="13" t="n">
        <v>129</v>
      </c>
      <c r="B133" s="14" t="inlineStr">
        <is>
          <t>Nippon India ETF Hang Seng BeES</t>
        </is>
      </c>
      <c r="C133" s="14" t="inlineStr">
        <is>
          <t>Nippon India Mutual Fund</t>
        </is>
      </c>
      <c r="D133" s="14" t="inlineStr">
        <is>
          <t>Other  Etfs</t>
        </is>
      </c>
      <c r="E133" s="14" t="inlineStr">
        <is>
          <t>International</t>
        </is>
      </c>
      <c r="F133" s="15" t="n">
        <v>3.01</v>
      </c>
      <c r="G133" s="16" t="n">
        <v>-1.24</v>
      </c>
      <c r="H133" s="15" t="n">
        <v>1.76</v>
      </c>
      <c r="I133" s="15" t="n">
        <v>11.15</v>
      </c>
      <c r="J133" s="15" t="n">
        <v>31.35828866120325</v>
      </c>
      <c r="K133" s="15" t="n">
        <v>76.06</v>
      </c>
      <c r="L133" s="17" t="n">
        <v>59.4</v>
      </c>
      <c r="M133" s="18" t="n">
        <v>20.3</v>
      </c>
      <c r="N133" s="19" t="n">
        <v>41.8</v>
      </c>
      <c r="O133" s="108">
        <f>COUNTIFS($E:$E,$E133,$L:$L,"&gt;"&amp;$L133)+1</f>
        <v/>
      </c>
      <c r="P133" s="108">
        <f>COUNTIFS($E:$E,$E133,$M:$M,"&gt;"&amp;$M133)+1</f>
        <v/>
      </c>
      <c r="Q133" s="108">
        <f>COUNTIFS($E:$E,$E133,$N:$N,"&gt;"&amp;$N133)+1</f>
        <v/>
      </c>
      <c r="R133" s="20" t="inlineStr">
        <is>
          <t>➡️ Neutral</t>
        </is>
      </c>
      <c r="S133" s="20" t="inlineStr">
        <is>
          <t>⚠️ Below Avg</t>
        </is>
      </c>
      <c r="T133" s="20" t="inlineStr">
        <is>
          <t>⚠️ Watch</t>
        </is>
      </c>
      <c r="U133" s="83" t="inlineStr">
        <is>
          <t>FULL</t>
        </is>
      </c>
    </row>
    <row r="134" ht="16" customHeight="1">
      <c r="A134" s="28" t="n">
        <v>130</v>
      </c>
      <c r="B134" s="29" t="inlineStr">
        <is>
          <t>ICICI Prudential Nifty Midcap 150 ETF</t>
        </is>
      </c>
      <c r="C134" s="29" t="inlineStr">
        <is>
          <t>ICICI Prudential Mutual Fund</t>
        </is>
      </c>
      <c r="D134" s="29" t="inlineStr">
        <is>
          <t>Other  Etfs</t>
        </is>
      </c>
      <c r="E134" s="29" t="inlineStr">
        <is>
          <t>Index Fund</t>
        </is>
      </c>
      <c r="F134" s="30" t="n">
        <v>1.82</v>
      </c>
      <c r="G134" s="30" t="n">
        <v>4.7</v>
      </c>
      <c r="H134" s="30" t="n">
        <v>5.74</v>
      </c>
      <c r="I134" s="30" t="n">
        <v>11.79</v>
      </c>
      <c r="J134" s="30" t="n">
        <v>5.252078364277435</v>
      </c>
      <c r="K134" s="91" t="n">
        <v>-83.31999999999999</v>
      </c>
      <c r="L134" s="24" t="n">
        <v>75.59999999999999</v>
      </c>
      <c r="M134" s="18" t="n">
        <v>0</v>
      </c>
      <c r="N134" s="19" t="n">
        <v>41.6</v>
      </c>
      <c r="O134" s="108">
        <f>COUNTIFS($E:$E,$E134,$L:$L,"&gt;"&amp;$L134)+1</f>
        <v/>
      </c>
      <c r="P134" s="108">
        <f>COUNTIFS($E:$E,$E134,$M:$M,"&gt;"&amp;$M134)+1</f>
        <v/>
      </c>
      <c r="Q134" s="108">
        <f>COUNTIFS($E:$E,$E134,$N:$N,"&gt;"&amp;$N134)+1</f>
        <v/>
      </c>
      <c r="R134" s="31" t="inlineStr">
        <is>
          <t>⭐ Strong</t>
        </is>
      </c>
      <c r="S134" s="31" t="inlineStr">
        <is>
          <t>🔴 Not Qualified</t>
        </is>
      </c>
      <c r="T134" s="31" t="inlineStr">
        <is>
          <t>⚠️ Watch</t>
        </is>
      </c>
      <c r="U134" s="83" t="inlineStr">
        <is>
          <t>FULL</t>
        </is>
      </c>
    </row>
    <row r="135" ht="16" customHeight="1">
      <c r="A135" s="13" t="n">
        <v>131</v>
      </c>
      <c r="B135" s="14" t="inlineStr">
        <is>
          <t>Nippon India ETF Nifty Midcap 150</t>
        </is>
      </c>
      <c r="C135" s="14" t="inlineStr">
        <is>
          <t>Nippon India Mutual Fund</t>
        </is>
      </c>
      <c r="D135" s="14" t="inlineStr">
        <is>
          <t>Other  Etfs</t>
        </is>
      </c>
      <c r="E135" s="14" t="inlineStr">
        <is>
          <t>Index Fund</t>
        </is>
      </c>
      <c r="F135" s="15" t="n">
        <v>1.84</v>
      </c>
      <c r="G135" s="15" t="n">
        <v>4.68</v>
      </c>
      <c r="H135" s="15" t="n">
        <v>5.7</v>
      </c>
      <c r="I135" s="15" t="n">
        <v>11.69</v>
      </c>
      <c r="J135" s="15" t="n">
        <v>5.123736615476138</v>
      </c>
      <c r="K135" s="15" t="n">
        <v>66.45</v>
      </c>
      <c r="L135" s="24" t="n">
        <v>75.2</v>
      </c>
      <c r="M135" s="18" t="n">
        <v>0</v>
      </c>
      <c r="N135" s="19" t="n">
        <v>41.4</v>
      </c>
      <c r="O135" s="108">
        <f>COUNTIFS($E:$E,$E135,$L:$L,"&gt;"&amp;$L135)+1</f>
        <v/>
      </c>
      <c r="P135" s="108">
        <f>COUNTIFS($E:$E,$E135,$M:$M,"&gt;"&amp;$M135)+1</f>
        <v/>
      </c>
      <c r="Q135" s="108">
        <f>COUNTIFS($E:$E,$E135,$N:$N,"&gt;"&amp;$N135)+1</f>
        <v/>
      </c>
      <c r="R135" s="20" t="inlineStr">
        <is>
          <t>⭐ Strong</t>
        </is>
      </c>
      <c r="S135" s="20" t="inlineStr">
        <is>
          <t>🔴 Not Qualified</t>
        </is>
      </c>
      <c r="T135" s="20" t="inlineStr">
        <is>
          <t>⚠️ Watch</t>
        </is>
      </c>
      <c r="U135" s="83" t="inlineStr">
        <is>
          <t>FULL</t>
        </is>
      </c>
    </row>
    <row r="136" ht="16" customHeight="1">
      <c r="A136" s="28" t="n">
        <v>132</v>
      </c>
      <c r="B136" s="29" t="inlineStr">
        <is>
          <t>UTI - BSE Sensex Next 50 Exchange Traded Fund</t>
        </is>
      </c>
      <c r="C136" s="29" t="inlineStr">
        <is>
          <t>UTI Mutual Fund</t>
        </is>
      </c>
      <c r="D136" s="29" t="inlineStr">
        <is>
          <t>Other  Etfs</t>
        </is>
      </c>
      <c r="E136" s="29" t="inlineStr">
        <is>
          <t>Index Fund</t>
        </is>
      </c>
      <c r="F136" s="30" t="n">
        <v>2.71</v>
      </c>
      <c r="G136" s="30" t="n">
        <v>7.34</v>
      </c>
      <c r="H136" s="30" t="n">
        <v>3.12</v>
      </c>
      <c r="I136" s="30" t="n">
        <v>9.460000000000001</v>
      </c>
      <c r="J136" s="30" t="n">
        <v>4.014422076940849</v>
      </c>
      <c r="K136" s="30" t="n">
        <v>68.93000000000001</v>
      </c>
      <c r="L136" s="17" t="n">
        <v>74.59999999999999</v>
      </c>
      <c r="M136" s="18" t="n">
        <v>0</v>
      </c>
      <c r="N136" s="19" t="n">
        <v>41</v>
      </c>
      <c r="O136" s="108">
        <f>COUNTIFS($E:$E,$E136,$L:$L,"&gt;"&amp;$L136)+1</f>
        <v/>
      </c>
      <c r="P136" s="108">
        <f>COUNTIFS($E:$E,$E136,$M:$M,"&gt;"&amp;$M136)+1</f>
        <v/>
      </c>
      <c r="Q136" s="108">
        <f>COUNTIFS($E:$E,$E136,$N:$N,"&gt;"&amp;$N136)+1</f>
        <v/>
      </c>
      <c r="R136" s="31" t="inlineStr">
        <is>
          <t>📈 Good</t>
        </is>
      </c>
      <c r="S136" s="31" t="inlineStr">
        <is>
          <t>🔴 Not Qualified</t>
        </is>
      </c>
      <c r="T136" s="31" t="inlineStr">
        <is>
          <t>⚠️ Watch</t>
        </is>
      </c>
      <c r="U136" s="83" t="inlineStr">
        <is>
          <t>FULL</t>
        </is>
      </c>
    </row>
    <row r="137" ht="16" customHeight="1">
      <c r="A137" s="13" t="n">
        <v>133</v>
      </c>
      <c r="B137" s="14" t="inlineStr">
        <is>
          <t>SBI BSE Sensex Next 50 ETF</t>
        </is>
      </c>
      <c r="C137" s="14" t="inlineStr">
        <is>
          <t>SBI Mutual Fund</t>
        </is>
      </c>
      <c r="D137" s="14" t="inlineStr">
        <is>
          <t>Other  Etfs</t>
        </is>
      </c>
      <c r="E137" s="14" t="inlineStr">
        <is>
          <t>Index Fund</t>
        </is>
      </c>
      <c r="F137" s="15" t="n">
        <v>2.7</v>
      </c>
      <c r="G137" s="15" t="n">
        <v>7.34</v>
      </c>
      <c r="H137" s="15" t="n">
        <v>3.1</v>
      </c>
      <c r="I137" s="15" t="n">
        <v>9.43</v>
      </c>
      <c r="J137" s="15" t="n">
        <v>3.9759587597056</v>
      </c>
      <c r="K137" s="15" t="n">
        <v>68.75</v>
      </c>
      <c r="L137" s="17" t="n">
        <v>74.2</v>
      </c>
      <c r="M137" s="18" t="n">
        <v>0</v>
      </c>
      <c r="N137" s="19" t="n">
        <v>40.8</v>
      </c>
      <c r="O137" s="108">
        <f>COUNTIFS($E:$E,$E137,$L:$L,"&gt;"&amp;$L137)+1</f>
        <v/>
      </c>
      <c r="P137" s="108">
        <f>COUNTIFS($E:$E,$E137,$M:$M,"&gt;"&amp;$M137)+1</f>
        <v/>
      </c>
      <c r="Q137" s="108">
        <f>COUNTIFS($E:$E,$E137,$N:$N,"&gt;"&amp;$N137)+1</f>
        <v/>
      </c>
      <c r="R137" s="20" t="inlineStr">
        <is>
          <t>📈 Good</t>
        </is>
      </c>
      <c r="S137" s="20" t="inlineStr">
        <is>
          <t>🔴 Not Qualified</t>
        </is>
      </c>
      <c r="T137" s="20" t="inlineStr">
        <is>
          <t>⚠️ Watch</t>
        </is>
      </c>
      <c r="U137" s="83" t="inlineStr">
        <is>
          <t>FULL</t>
        </is>
      </c>
    </row>
    <row r="138" ht="16" customHeight="1">
      <c r="A138" s="28" t="n">
        <v>134</v>
      </c>
      <c r="B138" s="29" t="inlineStr">
        <is>
          <t>HDFC NIFTY Midcap 150 ETF - Growth Option</t>
        </is>
      </c>
      <c r="C138" s="29" t="inlineStr">
        <is>
          <t>HDFC Mutual Fund</t>
        </is>
      </c>
      <c r="D138" s="29" t="inlineStr">
        <is>
          <t>Other  Etfs</t>
        </is>
      </c>
      <c r="E138" s="29" t="inlineStr">
        <is>
          <t>Index Fund</t>
        </is>
      </c>
      <c r="F138" s="30" t="n">
        <v>1.81</v>
      </c>
      <c r="G138" s="30" t="n">
        <v>4.66</v>
      </c>
      <c r="H138" s="30" t="n">
        <v>5.64</v>
      </c>
      <c r="I138" s="30" t="n">
        <v>11.6</v>
      </c>
      <c r="J138" s="30" t="n">
        <v>5.133248784578126</v>
      </c>
      <c r="K138" s="91" t="n">
        <v>-83.37</v>
      </c>
      <c r="L138" s="17" t="n">
        <v>74.09999999999999</v>
      </c>
      <c r="M138" s="18" t="n">
        <v>0</v>
      </c>
      <c r="N138" s="19" t="n">
        <v>40.8</v>
      </c>
      <c r="O138" s="108">
        <f>COUNTIFS($E:$E,$E138,$L:$L,"&gt;"&amp;$L138)+1</f>
        <v/>
      </c>
      <c r="P138" s="108">
        <f>COUNTIFS($E:$E,$E138,$M:$M,"&gt;"&amp;$M138)+1</f>
        <v/>
      </c>
      <c r="Q138" s="108">
        <f>COUNTIFS($E:$E,$E138,$N:$N,"&gt;"&amp;$N138)+1</f>
        <v/>
      </c>
      <c r="R138" s="31" t="inlineStr">
        <is>
          <t>📈 Good</t>
        </is>
      </c>
      <c r="S138" s="31" t="inlineStr">
        <is>
          <t>🔴 Not Qualified</t>
        </is>
      </c>
      <c r="T138" s="31" t="inlineStr">
        <is>
          <t>⚠️ Watch</t>
        </is>
      </c>
      <c r="U138" s="83" t="inlineStr">
        <is>
          <t>FULL</t>
        </is>
      </c>
    </row>
    <row r="139" ht="16" customHeight="1">
      <c r="A139" s="13" t="n">
        <v>135</v>
      </c>
      <c r="B139" s="14" t="inlineStr">
        <is>
          <t>Nippon India ETF BSE Sensex Next 50</t>
        </is>
      </c>
      <c r="C139" s="14" t="inlineStr">
        <is>
          <t>Nippon India Mutual Fund</t>
        </is>
      </c>
      <c r="D139" s="14" t="inlineStr">
        <is>
          <t>Other  Etfs</t>
        </is>
      </c>
      <c r="E139" s="14" t="inlineStr">
        <is>
          <t>Index Fund</t>
        </is>
      </c>
      <c r="F139" s="15" t="n">
        <v>2.69</v>
      </c>
      <c r="G139" s="15" t="n">
        <v>7.31</v>
      </c>
      <c r="H139" s="15" t="n">
        <v>3.06</v>
      </c>
      <c r="I139" s="15" t="n">
        <v>9.33</v>
      </c>
      <c r="J139" s="15" t="n">
        <v>3.884551305764417</v>
      </c>
      <c r="K139" s="15" t="n">
        <v>68.12</v>
      </c>
      <c r="L139" s="17" t="n">
        <v>73.59999999999999</v>
      </c>
      <c r="M139" s="18" t="n">
        <v>0</v>
      </c>
      <c r="N139" s="19" t="n">
        <v>40.5</v>
      </c>
      <c r="O139" s="108">
        <f>COUNTIFS($E:$E,$E139,$L:$L,"&gt;"&amp;$L139)+1</f>
        <v/>
      </c>
      <c r="P139" s="108">
        <f>COUNTIFS($E:$E,$E139,$M:$M,"&gt;"&amp;$M139)+1</f>
        <v/>
      </c>
      <c r="Q139" s="108">
        <f>COUNTIFS($E:$E,$E139,$N:$N,"&gt;"&amp;$N139)+1</f>
        <v/>
      </c>
      <c r="R139" s="20" t="inlineStr">
        <is>
          <t>📈 Good</t>
        </is>
      </c>
      <c r="S139" s="20" t="inlineStr">
        <is>
          <t>🔴 Not Qualified</t>
        </is>
      </c>
      <c r="T139" s="20" t="inlineStr">
        <is>
          <t>⚠️ Watch</t>
        </is>
      </c>
      <c r="U139" s="83" t="inlineStr">
        <is>
          <t>FULL</t>
        </is>
      </c>
    </row>
    <row r="140" ht="16" customHeight="1">
      <c r="A140" s="28" t="n">
        <v>136</v>
      </c>
      <c r="B140" s="29" t="inlineStr">
        <is>
          <t>ICICI Prudential Nifty Financial Services Ex-BaNk ETF</t>
        </is>
      </c>
      <c r="C140" s="29" t="inlineStr">
        <is>
          <t>ICICI Prudential Mutual Fund</t>
        </is>
      </c>
      <c r="D140" s="29" t="inlineStr">
        <is>
          <t>Other  Etfs</t>
        </is>
      </c>
      <c r="E140" s="29" t="inlineStr">
        <is>
          <t>Banking/Financial</t>
        </is>
      </c>
      <c r="F140" s="30" t="n">
        <v>1.78</v>
      </c>
      <c r="G140" s="30" t="n">
        <v>3.53</v>
      </c>
      <c r="H140" s="30" t="n">
        <v>1.23</v>
      </c>
      <c r="I140" s="30" t="n">
        <v>11.48</v>
      </c>
      <c r="J140" s="30" t="n">
        <v>14.45523142259597</v>
      </c>
      <c r="K140" s="30" t="n">
        <v>74.48</v>
      </c>
      <c r="L140" s="17" t="n">
        <v>61.5</v>
      </c>
      <c r="M140" s="18" t="n">
        <v>13.4</v>
      </c>
      <c r="N140" s="19" t="n">
        <v>39.8</v>
      </c>
      <c r="O140" s="108">
        <f>COUNTIFS($E:$E,$E140,$L:$L,"&gt;"&amp;$L140)+1</f>
        <v/>
      </c>
      <c r="P140" s="108">
        <f>COUNTIFS($E:$E,$E140,$M:$M,"&gt;"&amp;$M140)+1</f>
        <v/>
      </c>
      <c r="Q140" s="108">
        <f>COUNTIFS($E:$E,$E140,$N:$N,"&gt;"&amp;$N140)+1</f>
        <v/>
      </c>
      <c r="R140" s="31" t="inlineStr">
        <is>
          <t>📈 Good</t>
        </is>
      </c>
      <c r="S140" s="31" t="inlineStr">
        <is>
          <t>⚠️ Below Avg</t>
        </is>
      </c>
      <c r="T140" s="31" t="inlineStr">
        <is>
          <t>🔴 Avoid</t>
        </is>
      </c>
      <c r="U140" s="83" t="inlineStr">
        <is>
          <t>FULL</t>
        </is>
      </c>
    </row>
    <row r="141" ht="16" customHeight="1">
      <c r="A141" s="13" t="n">
        <v>137</v>
      </c>
      <c r="B141" s="14" t="inlineStr">
        <is>
          <t>Sundaram Nifty 100 Equal Weight Fund (Formerly Known as Principal Nifty 100 Equal Weight Fund)-Growth</t>
        </is>
      </c>
      <c r="C141" s="14" t="inlineStr">
        <is>
          <t>Sundaram Mutual Fund</t>
        </is>
      </c>
      <c r="D141" s="14" t="inlineStr">
        <is>
          <t>Index Funds</t>
        </is>
      </c>
      <c r="E141" s="14" t="inlineStr">
        <is>
          <t>Index Fund</t>
        </is>
      </c>
      <c r="F141" s="15" t="n">
        <v>1.91</v>
      </c>
      <c r="G141" s="15" t="n">
        <v>5.47</v>
      </c>
      <c r="H141" s="15" t="n">
        <v>2.71</v>
      </c>
      <c r="I141" s="15" t="n">
        <v>9.119999999999999</v>
      </c>
      <c r="J141" s="15" t="n">
        <v>2.43534546239399</v>
      </c>
      <c r="K141" s="15" t="n">
        <v>55.41</v>
      </c>
      <c r="L141" s="17" t="n">
        <v>72.09999999999999</v>
      </c>
      <c r="M141" s="18" t="n">
        <v>0</v>
      </c>
      <c r="N141" s="19" t="n">
        <v>39.6</v>
      </c>
      <c r="O141" s="108">
        <f>COUNTIFS($E:$E,$E141,$L:$L,"&gt;"&amp;$L141)+1</f>
        <v/>
      </c>
      <c r="P141" s="108">
        <f>COUNTIFS($E:$E,$E141,$M:$M,"&gt;"&amp;$M141)+1</f>
        <v/>
      </c>
      <c r="Q141" s="108">
        <f>COUNTIFS($E:$E,$E141,$N:$N,"&gt;"&amp;$N141)+1</f>
        <v/>
      </c>
      <c r="R141" s="20" t="inlineStr">
        <is>
          <t>📈 Good</t>
        </is>
      </c>
      <c r="S141" s="20" t="inlineStr">
        <is>
          <t>🔴 Not Qualified</t>
        </is>
      </c>
      <c r="T141" s="20" t="inlineStr">
        <is>
          <t>🔴 Avoid</t>
        </is>
      </c>
      <c r="U141" s="83" t="inlineStr">
        <is>
          <t>FULL</t>
        </is>
      </c>
    </row>
    <row r="142" ht="16" customHeight="1">
      <c r="A142" s="28" t="n">
        <v>138</v>
      </c>
      <c r="B142" s="29" t="inlineStr">
        <is>
          <t>Motilal Oswal Asset Allocation FOF- C- Regular Growth</t>
        </is>
      </c>
      <c r="C142" s="29" t="inlineStr">
        <is>
          <t>Motilal Oswal Mutual Fund</t>
        </is>
      </c>
      <c r="D142" s="29" t="inlineStr">
        <is>
          <t>Fof Domestic</t>
        </is>
      </c>
      <c r="E142" s="29" t="inlineStr">
        <is>
          <t>Standard Equity/Debt</t>
        </is>
      </c>
      <c r="F142" s="30" t="n">
        <v>1.77</v>
      </c>
      <c r="G142" s="30" t="n">
        <v>2.92</v>
      </c>
      <c r="H142" s="30" t="n">
        <v>3</v>
      </c>
      <c r="I142" s="30" t="n">
        <v>11.67</v>
      </c>
      <c r="J142" s="30" t="n">
        <v>10.75648965184839</v>
      </c>
      <c r="K142" s="30" t="n">
        <v>47.29</v>
      </c>
      <c r="L142" s="17" t="n">
        <v>68.90000000000001</v>
      </c>
      <c r="M142" s="18" t="n">
        <v>3.2</v>
      </c>
      <c r="N142" s="19" t="n">
        <v>39.3</v>
      </c>
      <c r="O142" s="108">
        <f>COUNTIFS($E:$E,$E142,$L:$L,"&gt;"&amp;$L142)+1</f>
        <v/>
      </c>
      <c r="P142" s="108">
        <f>COUNTIFS($E:$E,$E142,$M:$M,"&gt;"&amp;$M142)+1</f>
        <v/>
      </c>
      <c r="Q142" s="108">
        <f>COUNTIFS($E:$E,$E142,$N:$N,"&gt;"&amp;$N142)+1</f>
        <v/>
      </c>
      <c r="R142" s="31" t="inlineStr">
        <is>
          <t>📈 Good</t>
        </is>
      </c>
      <c r="S142" s="31" t="inlineStr">
        <is>
          <t>⚠️ Below Avg</t>
        </is>
      </c>
      <c r="T142" s="31" t="inlineStr">
        <is>
          <t>🔴 Avoid</t>
        </is>
      </c>
      <c r="U142" s="83" t="inlineStr">
        <is>
          <t>FULL</t>
        </is>
      </c>
    </row>
    <row r="143" ht="16" customHeight="1">
      <c r="A143" s="13" t="n">
        <v>139</v>
      </c>
      <c r="B143" s="14" t="inlineStr">
        <is>
          <t>HDFC Nifty 100 Equal Weight Index Fund - Growth Option</t>
        </is>
      </c>
      <c r="C143" s="14" t="inlineStr">
        <is>
          <t>HDFC Mutual Fund</t>
        </is>
      </c>
      <c r="D143" s="14" t="inlineStr">
        <is>
          <t>Index Funds</t>
        </is>
      </c>
      <c r="E143" s="14" t="inlineStr">
        <is>
          <t>Index Fund</t>
        </is>
      </c>
      <c r="F143" s="15" t="n">
        <v>1.94</v>
      </c>
      <c r="G143" s="15" t="n">
        <v>5.35</v>
      </c>
      <c r="H143" s="15" t="n">
        <v>2.45</v>
      </c>
      <c r="I143" s="15" t="n">
        <v>8.960000000000001</v>
      </c>
      <c r="J143" s="15" t="n">
        <v>2.337676346495177</v>
      </c>
      <c r="K143" s="15" t="n">
        <v>56.26</v>
      </c>
      <c r="L143" s="17" t="n">
        <v>69.8</v>
      </c>
      <c r="M143" s="18" t="n">
        <v>0</v>
      </c>
      <c r="N143" s="19" t="n">
        <v>38.4</v>
      </c>
      <c r="O143" s="108">
        <f>COUNTIFS($E:$E,$E143,$L:$L,"&gt;"&amp;$L143)+1</f>
        <v/>
      </c>
      <c r="P143" s="108">
        <f>COUNTIFS($E:$E,$E143,$M:$M,"&gt;"&amp;$M143)+1</f>
        <v/>
      </c>
      <c r="Q143" s="108">
        <f>COUNTIFS($E:$E,$E143,$N:$N,"&gt;"&amp;$N143)+1</f>
        <v/>
      </c>
      <c r="R143" s="20" t="inlineStr">
        <is>
          <t>📈 Good</t>
        </is>
      </c>
      <c r="S143" s="20" t="inlineStr">
        <is>
          <t>🔴 Not Qualified</t>
        </is>
      </c>
      <c r="T143" s="20" t="inlineStr">
        <is>
          <t>🔴 Avoid</t>
        </is>
      </c>
      <c r="U143" s="83" t="inlineStr">
        <is>
          <t>FULL</t>
        </is>
      </c>
    </row>
    <row r="144" ht="16" customHeight="1">
      <c r="A144" s="28" t="n">
        <v>140</v>
      </c>
      <c r="B144" s="29" t="inlineStr">
        <is>
          <t>UTI Nifty Midcap 150 Quality 50 Index Fund - Regular Plan - Growth Option</t>
        </is>
      </c>
      <c r="C144" s="29" t="inlineStr">
        <is>
          <t>UTI Mutual Fund</t>
        </is>
      </c>
      <c r="D144" s="29" t="inlineStr">
        <is>
          <t>Index Funds</t>
        </is>
      </c>
      <c r="E144" s="29" t="inlineStr">
        <is>
          <t>Index Fund</t>
        </is>
      </c>
      <c r="F144" s="30" t="n">
        <v>2.99</v>
      </c>
      <c r="G144" s="30" t="n">
        <v>5.03</v>
      </c>
      <c r="H144" s="30" t="n">
        <v>4.58</v>
      </c>
      <c r="I144" s="30" t="n">
        <v>3.48</v>
      </c>
      <c r="J144" s="91" t="n">
        <v>-0.2553259567208754</v>
      </c>
      <c r="K144" s="30" t="n">
        <v>35.9</v>
      </c>
      <c r="L144" s="17" t="n">
        <v>69.59999999999999</v>
      </c>
      <c r="M144" s="18" t="n">
        <v>0</v>
      </c>
      <c r="N144" s="19" t="n">
        <v>38.3</v>
      </c>
      <c r="O144" s="108">
        <f>COUNTIFS($E:$E,$E144,$L:$L,"&gt;"&amp;$L144)+1</f>
        <v/>
      </c>
      <c r="P144" s="108">
        <f>COUNTIFS($E:$E,$E144,$M:$M,"&gt;"&amp;$M144)+1</f>
        <v/>
      </c>
      <c r="Q144" s="108">
        <f>COUNTIFS($E:$E,$E144,$N:$N,"&gt;"&amp;$N144)+1</f>
        <v/>
      </c>
      <c r="R144" s="31" t="inlineStr">
        <is>
          <t>📈 Good</t>
        </is>
      </c>
      <c r="S144" s="31" t="inlineStr">
        <is>
          <t>🔴 Not Qualified</t>
        </is>
      </c>
      <c r="T144" s="31" t="inlineStr">
        <is>
          <t>🔴 Avoid</t>
        </is>
      </c>
      <c r="U144" s="83" t="inlineStr">
        <is>
          <t>FULL</t>
        </is>
      </c>
    </row>
    <row r="145" ht="16" customHeight="1">
      <c r="A145" s="13" t="n">
        <v>141</v>
      </c>
      <c r="B145" s="14" t="inlineStr">
        <is>
          <t>Aditya Birla Sun Life Multi-Asset Passive FOF-Regular Growth</t>
        </is>
      </c>
      <c r="C145" s="14" t="inlineStr">
        <is>
          <t>Aditya Birla Sun Life Mutual Fund</t>
        </is>
      </c>
      <c r="D145" s="14" t="inlineStr">
        <is>
          <t>Fof Domestic</t>
        </is>
      </c>
      <c r="E145" s="14" t="inlineStr">
        <is>
          <t>Standard Equity/Debt</t>
        </is>
      </c>
      <c r="F145" s="15" t="n">
        <v>2.83</v>
      </c>
      <c r="G145" s="15" t="n">
        <v>5.18</v>
      </c>
      <c r="H145" s="15" t="n">
        <v>2.14</v>
      </c>
      <c r="I145" s="15" t="n">
        <v>15.25</v>
      </c>
      <c r="J145" s="15" t="n">
        <v>8.558739860040742</v>
      </c>
      <c r="K145" s="15" t="n">
        <v>62.2</v>
      </c>
      <c r="L145" s="17" t="n">
        <v>69.5</v>
      </c>
      <c r="M145" s="18" t="n">
        <v>0</v>
      </c>
      <c r="N145" s="19" t="n">
        <v>38.2</v>
      </c>
      <c r="O145" s="108">
        <f>COUNTIFS($E:$E,$E145,$L:$L,"&gt;"&amp;$L145)+1</f>
        <v/>
      </c>
      <c r="P145" s="108">
        <f>COUNTIFS($E:$E,$E145,$M:$M,"&gt;"&amp;$M145)+1</f>
        <v/>
      </c>
      <c r="Q145" s="108">
        <f>COUNTIFS($E:$E,$E145,$N:$N,"&gt;"&amp;$N145)+1</f>
        <v/>
      </c>
      <c r="R145" s="20" t="inlineStr">
        <is>
          <t>📈 Good</t>
        </is>
      </c>
      <c r="S145" s="20" t="inlineStr">
        <is>
          <t>🔴 Not Qualified</t>
        </is>
      </c>
      <c r="T145" s="20" t="inlineStr">
        <is>
          <t>🔴 Avoid</t>
        </is>
      </c>
      <c r="U145" s="83" t="inlineStr">
        <is>
          <t>FULL</t>
        </is>
      </c>
    </row>
    <row r="146" ht="16" customHeight="1">
      <c r="A146" s="28" t="n">
        <v>142</v>
      </c>
      <c r="B146" s="29" t="inlineStr">
        <is>
          <t>DSP Nifty Midcap 150 Quality 50 Index Fund - Regular - Growth</t>
        </is>
      </c>
      <c r="C146" s="29" t="inlineStr">
        <is>
          <t>DSP Mutual Fund</t>
        </is>
      </c>
      <c r="D146" s="29" t="inlineStr">
        <is>
          <t>Index Funds</t>
        </is>
      </c>
      <c r="E146" s="29" t="inlineStr">
        <is>
          <t>Index Fund</t>
        </is>
      </c>
      <c r="F146" s="30" t="n">
        <v>2.95</v>
      </c>
      <c r="G146" s="30" t="n">
        <v>4.99</v>
      </c>
      <c r="H146" s="30" t="n">
        <v>4.54</v>
      </c>
      <c r="I146" s="30" t="n">
        <v>3.48</v>
      </c>
      <c r="J146" s="91" t="n">
        <v>-0.2753791684320328</v>
      </c>
      <c r="K146" s="30" t="n">
        <v>35.75</v>
      </c>
      <c r="L146" s="17" t="n">
        <v>69.09999999999999</v>
      </c>
      <c r="M146" s="18" t="n">
        <v>0</v>
      </c>
      <c r="N146" s="19" t="n">
        <v>38</v>
      </c>
      <c r="O146" s="108">
        <f>COUNTIFS($E:$E,$E146,$L:$L,"&gt;"&amp;$L146)+1</f>
        <v/>
      </c>
      <c r="P146" s="108">
        <f>COUNTIFS($E:$E,$E146,$M:$M,"&gt;"&amp;$M146)+1</f>
        <v/>
      </c>
      <c r="Q146" s="108">
        <f>COUNTIFS($E:$E,$E146,$N:$N,"&gt;"&amp;$N146)+1</f>
        <v/>
      </c>
      <c r="R146" s="31" t="inlineStr">
        <is>
          <t>📈 Good</t>
        </is>
      </c>
      <c r="S146" s="31" t="inlineStr">
        <is>
          <t>🔴 Not Qualified</t>
        </is>
      </c>
      <c r="T146" s="31" t="inlineStr">
        <is>
          <t>🔴 Avoid</t>
        </is>
      </c>
      <c r="U146" s="83" t="inlineStr">
        <is>
          <t>FULL</t>
        </is>
      </c>
    </row>
    <row r="147" ht="16" customHeight="1">
      <c r="A147" s="13" t="n">
        <v>143</v>
      </c>
      <c r="B147" s="14" t="inlineStr">
        <is>
          <t>Motilal Oswal BSE Financials ex Bank 30 Index Fund Regular Growth</t>
        </is>
      </c>
      <c r="C147" s="14" t="inlineStr">
        <is>
          <t>Motilal Oswal Mutual Fund</t>
        </is>
      </c>
      <c r="D147" s="14" t="inlineStr">
        <is>
          <t>Index Funds</t>
        </is>
      </c>
      <c r="E147" s="14" t="inlineStr">
        <is>
          <t>Banking/Financial</t>
        </is>
      </c>
      <c r="F147" s="15" t="n">
        <v>3.01</v>
      </c>
      <c r="G147" s="15" t="n">
        <v>6.38</v>
      </c>
      <c r="H147" s="16" t="n">
        <v>-0.9399999999999999</v>
      </c>
      <c r="I147" s="15" t="n">
        <v>7.53</v>
      </c>
      <c r="J147" s="15" t="n">
        <v>8.494239478416542</v>
      </c>
      <c r="K147" s="15" t="n">
        <v>58.08</v>
      </c>
      <c r="L147" s="17" t="n">
        <v>68.09999999999999</v>
      </c>
      <c r="M147" s="18" t="n">
        <v>0</v>
      </c>
      <c r="N147" s="19" t="n">
        <v>37.4</v>
      </c>
      <c r="O147" s="108">
        <f>COUNTIFS($E:$E,$E147,$L:$L,"&gt;"&amp;$L147)+1</f>
        <v/>
      </c>
      <c r="P147" s="108">
        <f>COUNTIFS($E:$E,$E147,$M:$M,"&gt;"&amp;$M147)+1</f>
        <v/>
      </c>
      <c r="Q147" s="108">
        <f>COUNTIFS($E:$E,$E147,$N:$N,"&gt;"&amp;$N147)+1</f>
        <v/>
      </c>
      <c r="R147" s="20" t="inlineStr">
        <is>
          <t>📈 Good</t>
        </is>
      </c>
      <c r="S147" s="20" t="inlineStr">
        <is>
          <t>🔴 Not Qualified</t>
        </is>
      </c>
      <c r="T147" s="20" t="inlineStr">
        <is>
          <t>🔴 Avoid</t>
        </is>
      </c>
      <c r="U147" s="83" t="inlineStr">
        <is>
          <t>FULL</t>
        </is>
      </c>
    </row>
    <row r="148" ht="16" customHeight="1">
      <c r="A148" s="28" t="n">
        <v>144</v>
      </c>
      <c r="B148" s="29" t="inlineStr">
        <is>
          <t>Axis Gold ETF</t>
        </is>
      </c>
      <c r="C148" s="29" t="inlineStr">
        <is>
          <t>Axis Mutual Fund</t>
        </is>
      </c>
      <c r="D148" s="29" t="inlineStr">
        <is>
          <t>Gold Etf</t>
        </is>
      </c>
      <c r="E148" s="29" t="inlineStr">
        <is>
          <t>Gold</t>
        </is>
      </c>
      <c r="F148" s="30" t="n">
        <v>8.98</v>
      </c>
      <c r="G148" s="91" t="n">
        <v>-3.19</v>
      </c>
      <c r="H148" s="30" t="n">
        <v>1.15</v>
      </c>
      <c r="I148" s="30" t="n">
        <v>52.07</v>
      </c>
      <c r="J148" s="30" t="n">
        <v>46.05820757492543</v>
      </c>
      <c r="K148" s="30" t="n">
        <v>156.04</v>
      </c>
      <c r="L148" s="37" t="n">
        <v>31.3</v>
      </c>
      <c r="M148" s="18" t="n">
        <v>44.4</v>
      </c>
      <c r="N148" s="19" t="n">
        <v>37.2</v>
      </c>
      <c r="O148" s="108">
        <f>COUNTIFS($E:$E,$E148,$L:$L,"&gt;"&amp;$L148)+1</f>
        <v/>
      </c>
      <c r="P148" s="108">
        <f>COUNTIFS($E:$E,$E148,$M:$M,"&gt;"&amp;$M148)+1</f>
        <v/>
      </c>
      <c r="Q148" s="108">
        <f>COUNTIFS($E:$E,$E148,$N:$N,"&gt;"&amp;$N148)+1</f>
        <v/>
      </c>
      <c r="R148" s="31" t="inlineStr">
        <is>
          <t>📉 Weak</t>
        </is>
      </c>
      <c r="S148" s="31" t="inlineStr">
        <is>
          <t>➡️ Average</t>
        </is>
      </c>
      <c r="T148" s="31" t="inlineStr">
        <is>
          <t>🔴 Avoid</t>
        </is>
      </c>
      <c r="U148" s="83" t="inlineStr">
        <is>
          <t>FULL</t>
        </is>
      </c>
    </row>
    <row r="149" ht="16" customHeight="1">
      <c r="A149" s="13" t="n">
        <v>145</v>
      </c>
      <c r="B149" s="14" t="inlineStr">
        <is>
          <t>Tata Nifty India Digital Exchange Traded Fund</t>
        </is>
      </c>
      <c r="C149" s="14" t="inlineStr">
        <is>
          <t>Tata Mutual Fund</t>
        </is>
      </c>
      <c r="D149" s="14" t="inlineStr">
        <is>
          <t>Other  Etfs</t>
        </is>
      </c>
      <c r="E149" s="14" t="inlineStr">
        <is>
          <t>Technology</t>
        </is>
      </c>
      <c r="F149" s="15" t="n">
        <v>4.77</v>
      </c>
      <c r="G149" s="15" t="n">
        <v>9.91</v>
      </c>
      <c r="H149" s="15" t="n">
        <v>2.53</v>
      </c>
      <c r="I149" s="16" t="n">
        <v>-1.61</v>
      </c>
      <c r="J149" s="16" t="n">
        <v>-2.51153914436848</v>
      </c>
      <c r="K149" s="15" t="n">
        <v>44.75</v>
      </c>
      <c r="L149" s="17" t="n">
        <v>67.59999999999999</v>
      </c>
      <c r="M149" s="18" t="n">
        <v>0</v>
      </c>
      <c r="N149" s="19" t="n">
        <v>37.2</v>
      </c>
      <c r="O149" s="108">
        <f>COUNTIFS($E:$E,$E149,$L:$L,"&gt;"&amp;$L149)+1</f>
        <v/>
      </c>
      <c r="P149" s="108">
        <f>COUNTIFS($E:$E,$E149,$M:$M,"&gt;"&amp;$M149)+1</f>
        <v/>
      </c>
      <c r="Q149" s="108">
        <f>COUNTIFS($E:$E,$E149,$N:$N,"&gt;"&amp;$N149)+1</f>
        <v/>
      </c>
      <c r="R149" s="20" t="inlineStr">
        <is>
          <t>📈 Good</t>
        </is>
      </c>
      <c r="S149" s="20" t="inlineStr">
        <is>
          <t>🔴 Not Qualified</t>
        </is>
      </c>
      <c r="T149" s="20" t="inlineStr">
        <is>
          <t>🔴 Avoid</t>
        </is>
      </c>
      <c r="U149" s="83" t="inlineStr">
        <is>
          <t>FULL</t>
        </is>
      </c>
    </row>
    <row r="150" ht="16" customHeight="1">
      <c r="A150" s="28" t="n">
        <v>146</v>
      </c>
      <c r="B150" s="29" t="inlineStr">
        <is>
          <t>Aditya Birla Sun Life Dynamic Asset Allocation Omni FOF- Regular Plan - Growth Option</t>
        </is>
      </c>
      <c r="C150" s="29" t="inlineStr">
        <is>
          <t>Aditya Birla Sun Life Mutual Fund</t>
        </is>
      </c>
      <c r="D150" s="29" t="inlineStr">
        <is>
          <t>Fof Domestic</t>
        </is>
      </c>
      <c r="E150" s="29" t="inlineStr">
        <is>
          <t>Standard Equity/Debt</t>
        </is>
      </c>
      <c r="F150" s="30" t="n">
        <v>1.5</v>
      </c>
      <c r="G150" s="30" t="n">
        <v>5.89</v>
      </c>
      <c r="H150" s="30" t="n">
        <v>2.76</v>
      </c>
      <c r="I150" s="30" t="n">
        <v>7.27</v>
      </c>
      <c r="J150" s="30" t="n">
        <v>5.20931517693668</v>
      </c>
      <c r="K150" s="30" t="n">
        <v>47.72</v>
      </c>
      <c r="L150" s="17" t="n">
        <v>65.40000000000001</v>
      </c>
      <c r="M150" s="18" t="n">
        <v>0</v>
      </c>
      <c r="N150" s="19" t="n">
        <v>36</v>
      </c>
      <c r="O150" s="108">
        <f>COUNTIFS($E:$E,$E150,$L:$L,"&gt;"&amp;$L150)+1</f>
        <v/>
      </c>
      <c r="P150" s="108">
        <f>COUNTIFS($E:$E,$E150,$M:$M,"&gt;"&amp;$M150)+1</f>
        <v/>
      </c>
      <c r="Q150" s="108">
        <f>COUNTIFS($E:$E,$E150,$N:$N,"&gt;"&amp;$N150)+1</f>
        <v/>
      </c>
      <c r="R150" s="31" t="inlineStr">
        <is>
          <t>📈 Good</t>
        </is>
      </c>
      <c r="S150" s="31" t="inlineStr">
        <is>
          <t>🔴 Not Qualified</t>
        </is>
      </c>
      <c r="T150" s="31" t="inlineStr">
        <is>
          <t>🔴 Avoid</t>
        </is>
      </c>
      <c r="U150" s="83" t="inlineStr">
        <is>
          <t>FULL</t>
        </is>
      </c>
    </row>
    <row r="151" ht="16" customHeight="1">
      <c r="A151" s="13" t="n">
        <v>147</v>
      </c>
      <c r="B151" s="14" t="inlineStr">
        <is>
          <t>Bandhan US specific Equity Active FOF - GROWTH - REGULAR PLAN</t>
        </is>
      </c>
      <c r="C151" s="14" t="inlineStr">
        <is>
          <t>Bandhan Mutual Fund</t>
        </is>
      </c>
      <c r="D151" s="14" t="inlineStr">
        <is>
          <t>Fof Overseas</t>
        </is>
      </c>
      <c r="E151" s="14" t="inlineStr">
        <is>
          <t>Standard Equity/Debt</t>
        </is>
      </c>
      <c r="F151" s="15" t="n">
        <v>3.86</v>
      </c>
      <c r="G151" s="16" t="n">
        <v>-0.53</v>
      </c>
      <c r="H151" s="15" t="n">
        <v>13.45</v>
      </c>
      <c r="I151" s="15" t="n">
        <v>15.06</v>
      </c>
      <c r="J151" s="15" t="n">
        <v>19.18892566006289</v>
      </c>
      <c r="K151" s="15" t="n">
        <v>96.58</v>
      </c>
      <c r="L151" s="37" t="n">
        <v>36</v>
      </c>
      <c r="M151" s="18" t="n">
        <v>35.4</v>
      </c>
      <c r="N151" s="19" t="n">
        <v>35.7</v>
      </c>
      <c r="O151" s="108">
        <f>COUNTIFS($E:$E,$E151,$L:$L,"&gt;"&amp;$L151)+1</f>
        <v/>
      </c>
      <c r="P151" s="108">
        <f>COUNTIFS($E:$E,$E151,$M:$M,"&gt;"&amp;$M151)+1</f>
        <v/>
      </c>
      <c r="Q151" s="108">
        <f>COUNTIFS($E:$E,$E151,$N:$N,"&gt;"&amp;$N151)+1</f>
        <v/>
      </c>
      <c r="R151" s="20" t="inlineStr">
        <is>
          <t>📉 Weak</t>
        </is>
      </c>
      <c r="S151" s="20" t="inlineStr">
        <is>
          <t>⚠️ Below Avg</t>
        </is>
      </c>
      <c r="T151" s="20" t="inlineStr">
        <is>
          <t>🔴 Avoid</t>
        </is>
      </c>
      <c r="U151" s="83" t="inlineStr">
        <is>
          <t>FULL</t>
        </is>
      </c>
    </row>
    <row r="152" ht="16" customHeight="1">
      <c r="A152" s="28" t="n">
        <v>148</v>
      </c>
      <c r="B152" s="29" t="inlineStr">
        <is>
          <t>HDFC NIFTY100 QUALITY 30 ETF - Growth Option</t>
        </is>
      </c>
      <c r="C152" s="29" t="inlineStr">
        <is>
          <t>HDFC Mutual Fund</t>
        </is>
      </c>
      <c r="D152" s="29" t="inlineStr">
        <is>
          <t>Other  Etfs</t>
        </is>
      </c>
      <c r="E152" s="29" t="inlineStr">
        <is>
          <t>Index Fund</t>
        </is>
      </c>
      <c r="F152" s="30" t="n">
        <v>3.08</v>
      </c>
      <c r="G152" s="30" t="n">
        <v>3.59</v>
      </c>
      <c r="H152" s="30" t="n">
        <v>1.14</v>
      </c>
      <c r="I152" s="30" t="n">
        <v>5</v>
      </c>
      <c r="J152" s="91" t="n">
        <v>-0.9596042011139838</v>
      </c>
      <c r="K152" s="30" t="n">
        <v>37.04</v>
      </c>
      <c r="L152" s="17" t="n">
        <v>62.9</v>
      </c>
      <c r="M152" s="18" t="n">
        <v>0</v>
      </c>
      <c r="N152" s="19" t="n">
        <v>34.6</v>
      </c>
      <c r="O152" s="108">
        <f>COUNTIFS($E:$E,$E152,$L:$L,"&gt;"&amp;$L152)+1</f>
        <v/>
      </c>
      <c r="P152" s="108">
        <f>COUNTIFS($E:$E,$E152,$M:$M,"&gt;"&amp;$M152)+1</f>
        <v/>
      </c>
      <c r="Q152" s="108">
        <f>COUNTIFS($E:$E,$E152,$N:$N,"&gt;"&amp;$N152)+1</f>
        <v/>
      </c>
      <c r="R152" s="31" t="inlineStr">
        <is>
          <t>📈 Good</t>
        </is>
      </c>
      <c r="S152" s="31" t="inlineStr">
        <is>
          <t>🔴 Not Qualified</t>
        </is>
      </c>
      <c r="T152" s="31" t="inlineStr">
        <is>
          <t>🔴 Avoid</t>
        </is>
      </c>
      <c r="U152" s="83" t="inlineStr">
        <is>
          <t>FULL</t>
        </is>
      </c>
    </row>
    <row r="153" ht="16" customHeight="1">
      <c r="A153" s="13" t="n">
        <v>149</v>
      </c>
      <c r="B153" s="14" t="inlineStr">
        <is>
          <t>ICICI Prudential Nifty India Consumption ETF</t>
        </is>
      </c>
      <c r="C153" s="14" t="inlineStr">
        <is>
          <t>ICICI Prudential Mutual Fund</t>
        </is>
      </c>
      <c r="D153" s="14" t="inlineStr">
        <is>
          <t>Other  Etfs</t>
        </is>
      </c>
      <c r="E153" s="14" t="inlineStr">
        <is>
          <t>Index Fund</t>
        </is>
      </c>
      <c r="F153" s="15" t="n">
        <v>2.83</v>
      </c>
      <c r="G153" s="15" t="n">
        <v>6.64</v>
      </c>
      <c r="H153" s="15" t="n">
        <v>1.29</v>
      </c>
      <c r="I153" s="15" t="n">
        <v>1.98</v>
      </c>
      <c r="J153" s="15" t="n">
        <v>1.464279428772364</v>
      </c>
      <c r="K153" s="15" t="n">
        <v>49.12</v>
      </c>
      <c r="L153" s="17" t="n">
        <v>62.6</v>
      </c>
      <c r="M153" s="18" t="n">
        <v>0</v>
      </c>
      <c r="N153" s="19" t="n">
        <v>34.5</v>
      </c>
      <c r="O153" s="108">
        <f>COUNTIFS($E:$E,$E153,$L:$L,"&gt;"&amp;$L153)+1</f>
        <v/>
      </c>
      <c r="P153" s="108">
        <f>COUNTIFS($E:$E,$E153,$M:$M,"&gt;"&amp;$M153)+1</f>
        <v/>
      </c>
      <c r="Q153" s="108">
        <f>COUNTIFS($E:$E,$E153,$N:$N,"&gt;"&amp;$N153)+1</f>
        <v/>
      </c>
      <c r="R153" s="20" t="inlineStr">
        <is>
          <t>📈 Good</t>
        </is>
      </c>
      <c r="S153" s="20" t="inlineStr">
        <is>
          <t>🔴 Not Qualified</t>
        </is>
      </c>
      <c r="T153" s="20" t="inlineStr">
        <is>
          <t>🔴 Avoid</t>
        </is>
      </c>
      <c r="U153" s="83" t="inlineStr">
        <is>
          <t>FULL</t>
        </is>
      </c>
    </row>
    <row r="154" ht="16" customHeight="1">
      <c r="A154" s="28" t="n">
        <v>150</v>
      </c>
      <c r="B154" s="29" t="inlineStr">
        <is>
          <t>ICICI Prudential Diversified Debt Strategy Active FOF - Growth</t>
        </is>
      </c>
      <c r="C154" s="29" t="inlineStr">
        <is>
          <t>ICICI Prudential Mutual Fund</t>
        </is>
      </c>
      <c r="D154" s="29" t="inlineStr">
        <is>
          <t>Fof Domestic</t>
        </is>
      </c>
      <c r="E154" s="29" t="inlineStr">
        <is>
          <t>Standard Equity/Debt</t>
        </is>
      </c>
      <c r="F154" s="30" t="n">
        <v>0.66</v>
      </c>
      <c r="G154" s="30" t="n">
        <v>3.24</v>
      </c>
      <c r="H154" s="30" t="n">
        <v>3.39</v>
      </c>
      <c r="I154" s="30" t="n">
        <v>6.08</v>
      </c>
      <c r="J154" s="30" t="n">
        <v>7.158760724450342</v>
      </c>
      <c r="K154" s="30" t="n">
        <v>23.99</v>
      </c>
      <c r="L154" s="17" t="n">
        <v>62.5</v>
      </c>
      <c r="M154" s="18" t="n">
        <v>0</v>
      </c>
      <c r="N154" s="19" t="n">
        <v>34.4</v>
      </c>
      <c r="O154" s="108">
        <f>COUNTIFS($E:$E,$E154,$L:$L,"&gt;"&amp;$L154)+1</f>
        <v/>
      </c>
      <c r="P154" s="108">
        <f>COUNTIFS($E:$E,$E154,$M:$M,"&gt;"&amp;$M154)+1</f>
        <v/>
      </c>
      <c r="Q154" s="108">
        <f>COUNTIFS($E:$E,$E154,$N:$N,"&gt;"&amp;$N154)+1</f>
        <v/>
      </c>
      <c r="R154" s="31" t="inlineStr">
        <is>
          <t>📈 Good</t>
        </is>
      </c>
      <c r="S154" s="31" t="inlineStr">
        <is>
          <t>🔴 Not Qualified</t>
        </is>
      </c>
      <c r="T154" s="31" t="inlineStr">
        <is>
          <t>🔴 Avoid</t>
        </is>
      </c>
      <c r="U154" s="83" t="inlineStr">
        <is>
          <t>FULL</t>
        </is>
      </c>
    </row>
    <row r="155" ht="16" customHeight="1">
      <c r="A155" s="13" t="n">
        <v>151</v>
      </c>
      <c r="B155" s="14" t="inlineStr">
        <is>
          <t>SBI Nifty Consumption ETF</t>
        </is>
      </c>
      <c r="C155" s="14" t="inlineStr">
        <is>
          <t>SBI Mutual Fund</t>
        </is>
      </c>
      <c r="D155" s="14" t="inlineStr">
        <is>
          <t>Other  Etfs</t>
        </is>
      </c>
      <c r="E155" s="14" t="inlineStr">
        <is>
          <t>Index Fund</t>
        </is>
      </c>
      <c r="F155" s="15" t="n">
        <v>2.83</v>
      </c>
      <c r="G155" s="15" t="n">
        <v>6.63</v>
      </c>
      <c r="H155" s="15" t="n">
        <v>1.27</v>
      </c>
      <c r="I155" s="15" t="n">
        <v>1.91</v>
      </c>
      <c r="J155" s="15" t="n">
        <v>1.400197238466938</v>
      </c>
      <c r="K155" s="15" t="n">
        <v>48.82</v>
      </c>
      <c r="L155" s="17" t="n">
        <v>62.3</v>
      </c>
      <c r="M155" s="18" t="n">
        <v>0</v>
      </c>
      <c r="N155" s="19" t="n">
        <v>34.3</v>
      </c>
      <c r="O155" s="108">
        <f>COUNTIFS($E:$E,$E155,$L:$L,"&gt;"&amp;$L155)+1</f>
        <v/>
      </c>
      <c r="P155" s="108">
        <f>COUNTIFS($E:$E,$E155,$M:$M,"&gt;"&amp;$M155)+1</f>
        <v/>
      </c>
      <c r="Q155" s="108">
        <f>COUNTIFS($E:$E,$E155,$N:$N,"&gt;"&amp;$N155)+1</f>
        <v/>
      </c>
      <c r="R155" s="20" t="inlineStr">
        <is>
          <t>📈 Good</t>
        </is>
      </c>
      <c r="S155" s="20" t="inlineStr">
        <is>
          <t>🔴 Not Qualified</t>
        </is>
      </c>
      <c r="T155" s="20" t="inlineStr">
        <is>
          <t>🔴 Avoid</t>
        </is>
      </c>
      <c r="U155" s="83" t="inlineStr">
        <is>
          <t>FULL</t>
        </is>
      </c>
    </row>
    <row r="156" ht="16" customHeight="1">
      <c r="A156" s="28" t="n">
        <v>152</v>
      </c>
      <c r="B156" s="29" t="inlineStr">
        <is>
          <t>HDFC Nifty G-Sec Sep 2032 Index Fund - Growth Option</t>
        </is>
      </c>
      <c r="C156" s="29" t="inlineStr">
        <is>
          <t>HDFC Mutual Fund</t>
        </is>
      </c>
      <c r="D156" s="29" t="inlineStr">
        <is>
          <t>Index Funds</t>
        </is>
      </c>
      <c r="E156" s="29" t="inlineStr">
        <is>
          <t>G-SEC</t>
        </is>
      </c>
      <c r="F156" s="30" t="n">
        <v>0.62</v>
      </c>
      <c r="G156" s="30" t="n">
        <v>3.92</v>
      </c>
      <c r="H156" s="30" t="n">
        <v>3.25</v>
      </c>
      <c r="I156" s="30" t="n">
        <v>5.66</v>
      </c>
      <c r="J156" s="30" t="n">
        <v>7.396461766670881</v>
      </c>
      <c r="K156" s="30" t="n">
        <v>25.72</v>
      </c>
      <c r="L156" s="17" t="n">
        <v>62.2</v>
      </c>
      <c r="M156" s="18" t="n">
        <v>0</v>
      </c>
      <c r="N156" s="19" t="n">
        <v>34.2</v>
      </c>
      <c r="O156" s="108">
        <f>COUNTIFS($E:$E,$E156,$L:$L,"&gt;"&amp;$L156)+1</f>
        <v/>
      </c>
      <c r="P156" s="108">
        <f>COUNTIFS($E:$E,$E156,$M:$M,"&gt;"&amp;$M156)+1</f>
        <v/>
      </c>
      <c r="Q156" s="108">
        <f>COUNTIFS($E:$E,$E156,$N:$N,"&gt;"&amp;$N156)+1</f>
        <v/>
      </c>
      <c r="R156" s="31" t="inlineStr">
        <is>
          <t>📈 Good</t>
        </is>
      </c>
      <c r="S156" s="31" t="inlineStr">
        <is>
          <t>🔴 Not Qualified</t>
        </is>
      </c>
      <c r="T156" s="31" t="inlineStr">
        <is>
          <t>🔴 Avoid</t>
        </is>
      </c>
      <c r="U156" s="83" t="inlineStr">
        <is>
          <t>FULL</t>
        </is>
      </c>
    </row>
    <row r="157" ht="16" customHeight="1">
      <c r="A157" s="13" t="n">
        <v>153</v>
      </c>
      <c r="B157" s="14" t="inlineStr">
        <is>
          <t>Motilal Oswal 5 Year G-Sec Fund Of Fund Regular -Growth</t>
        </is>
      </c>
      <c r="C157" s="14" t="inlineStr">
        <is>
          <t>Motilal Oswal Mutual Fund</t>
        </is>
      </c>
      <c r="D157" s="14" t="inlineStr">
        <is>
          <t>Fof Domestic</t>
        </is>
      </c>
      <c r="E157" s="14" t="inlineStr">
        <is>
          <t>G-SEC</t>
        </is>
      </c>
      <c r="F157" s="15" t="n">
        <v>0.95</v>
      </c>
      <c r="G157" s="15" t="n">
        <v>3.46</v>
      </c>
      <c r="H157" s="15" t="n">
        <v>3.48</v>
      </c>
      <c r="I157" s="15" t="n">
        <v>5.57</v>
      </c>
      <c r="J157" s="15" t="n">
        <v>7.331262919989912</v>
      </c>
      <c r="K157" s="15" t="n">
        <v>24.66</v>
      </c>
      <c r="L157" s="17" t="n">
        <v>62.2</v>
      </c>
      <c r="M157" s="18" t="n">
        <v>0</v>
      </c>
      <c r="N157" s="19" t="n">
        <v>34.2</v>
      </c>
      <c r="O157" s="108">
        <f>COUNTIFS($E:$E,$E157,$L:$L,"&gt;"&amp;$L157)+1</f>
        <v/>
      </c>
      <c r="P157" s="108">
        <f>COUNTIFS($E:$E,$E157,$M:$M,"&gt;"&amp;$M157)+1</f>
        <v/>
      </c>
      <c r="Q157" s="108">
        <f>COUNTIFS($E:$E,$E157,$N:$N,"&gt;"&amp;$N157)+1</f>
        <v/>
      </c>
      <c r="R157" s="20" t="inlineStr">
        <is>
          <t>📈 Good</t>
        </is>
      </c>
      <c r="S157" s="20" t="inlineStr">
        <is>
          <t>🔴 Not Qualified</t>
        </is>
      </c>
      <c r="T157" s="20" t="inlineStr">
        <is>
          <t>🔴 Avoid</t>
        </is>
      </c>
      <c r="U157" s="83" t="inlineStr">
        <is>
          <t>FULL</t>
        </is>
      </c>
    </row>
    <row r="158" ht="16" customHeight="1">
      <c r="A158" s="28" t="n">
        <v>154</v>
      </c>
      <c r="B158" s="29" t="inlineStr">
        <is>
          <t>Motilal Oswal BSE Quality ETF</t>
        </is>
      </c>
      <c r="C158" s="29" t="inlineStr">
        <is>
          <t>Motilal Oswal Mutual Fund</t>
        </is>
      </c>
      <c r="D158" s="29" t="inlineStr">
        <is>
          <t>Other  Etfs</t>
        </is>
      </c>
      <c r="E158" s="29" t="inlineStr">
        <is>
          <t>Index Fund</t>
        </is>
      </c>
      <c r="F158" s="30" t="n">
        <v>0.9399999999999999</v>
      </c>
      <c r="G158" s="30" t="n">
        <v>1.36</v>
      </c>
      <c r="H158" s="30" t="n">
        <v>3.37</v>
      </c>
      <c r="I158" s="30" t="n">
        <v>8.48</v>
      </c>
      <c r="J158" s="91" t="n">
        <v>-2.332195683531413</v>
      </c>
      <c r="K158" s="30" t="n">
        <v>52.54</v>
      </c>
      <c r="L158" s="17" t="n">
        <v>62.1</v>
      </c>
      <c r="M158" s="18" t="n">
        <v>0</v>
      </c>
      <c r="N158" s="19" t="n">
        <v>34.1</v>
      </c>
      <c r="O158" s="108">
        <f>COUNTIFS($E:$E,$E158,$L:$L,"&gt;"&amp;$L158)+1</f>
        <v/>
      </c>
      <c r="P158" s="108">
        <f>COUNTIFS($E:$E,$E158,$M:$M,"&gt;"&amp;$M158)+1</f>
        <v/>
      </c>
      <c r="Q158" s="108">
        <f>COUNTIFS($E:$E,$E158,$N:$N,"&gt;"&amp;$N158)+1</f>
        <v/>
      </c>
      <c r="R158" s="31" t="inlineStr">
        <is>
          <t>📈 Good</t>
        </is>
      </c>
      <c r="S158" s="31" t="inlineStr">
        <is>
          <t>🔴 Not Qualified</t>
        </is>
      </c>
      <c r="T158" s="31" t="inlineStr">
        <is>
          <t>🔴 Avoid</t>
        </is>
      </c>
      <c r="U158" s="83" t="inlineStr">
        <is>
          <t>FULL</t>
        </is>
      </c>
    </row>
    <row r="159" ht="16" customHeight="1">
      <c r="A159" s="13" t="n">
        <v>155</v>
      </c>
      <c r="B159" s="14" t="inlineStr">
        <is>
          <t>ICICI Prudential Nifty Alpha Low- Volatility 30 ETF</t>
        </is>
      </c>
      <c r="C159" s="14" t="inlineStr">
        <is>
          <t>ICICI Prudential Mutual Fund</t>
        </is>
      </c>
      <c r="D159" s="14" t="inlineStr">
        <is>
          <t>Other  Etfs</t>
        </is>
      </c>
      <c r="E159" s="14" t="inlineStr">
        <is>
          <t>Index Fund</t>
        </is>
      </c>
      <c r="F159" s="15" t="n">
        <v>1.97</v>
      </c>
      <c r="G159" s="15" t="n">
        <v>6.44</v>
      </c>
      <c r="H159" s="16" t="n">
        <v>-0.96</v>
      </c>
      <c r="I159" s="15" t="n">
        <v>4.34</v>
      </c>
      <c r="J159" s="16" t="n">
        <v>-3.67762461400778</v>
      </c>
      <c r="K159" s="16" t="n">
        <v>-85.7</v>
      </c>
      <c r="L159" s="17" t="n">
        <v>62.1</v>
      </c>
      <c r="M159" s="18" t="n">
        <v>0</v>
      </c>
      <c r="N159" s="19" t="n">
        <v>34.1</v>
      </c>
      <c r="O159" s="108">
        <f>COUNTIFS($E:$E,$E159,$L:$L,"&gt;"&amp;$L159)+1</f>
        <v/>
      </c>
      <c r="P159" s="108">
        <f>COUNTIFS($E:$E,$E159,$M:$M,"&gt;"&amp;$M159)+1</f>
        <v/>
      </c>
      <c r="Q159" s="108">
        <f>COUNTIFS($E:$E,$E159,$N:$N,"&gt;"&amp;$N159)+1</f>
        <v/>
      </c>
      <c r="R159" s="20" t="inlineStr">
        <is>
          <t>📈 Good</t>
        </is>
      </c>
      <c r="S159" s="20" t="inlineStr">
        <is>
          <t>🔴 Not Qualified</t>
        </is>
      </c>
      <c r="T159" s="20" t="inlineStr">
        <is>
          <t>🔴 Avoid</t>
        </is>
      </c>
      <c r="U159" s="83" t="inlineStr">
        <is>
          <t>FULL</t>
        </is>
      </c>
    </row>
    <row r="160" ht="16" customHeight="1">
      <c r="A160" s="28" t="n">
        <v>156</v>
      </c>
      <c r="B160" s="29" t="inlineStr">
        <is>
          <t>Nippon India ETF Nifty India Consumption</t>
        </is>
      </c>
      <c r="C160" s="29" t="inlineStr">
        <is>
          <t>Nippon India Mutual Fund</t>
        </is>
      </c>
      <c r="D160" s="29" t="inlineStr">
        <is>
          <t>Other  Etfs</t>
        </is>
      </c>
      <c r="E160" s="29" t="inlineStr">
        <is>
          <t>Index Fund</t>
        </is>
      </c>
      <c r="F160" s="30" t="n">
        <v>2.82</v>
      </c>
      <c r="G160" s="30" t="n">
        <v>6.61</v>
      </c>
      <c r="H160" s="30" t="n">
        <v>1.25</v>
      </c>
      <c r="I160" s="30" t="n">
        <v>1.87</v>
      </c>
      <c r="J160" s="30" t="n">
        <v>1.365674663566474</v>
      </c>
      <c r="K160" s="30" t="n">
        <v>48.6</v>
      </c>
      <c r="L160" s="17" t="n">
        <v>61.9</v>
      </c>
      <c r="M160" s="18" t="n">
        <v>0</v>
      </c>
      <c r="N160" s="19" t="n">
        <v>34.1</v>
      </c>
      <c r="O160" s="108">
        <f>COUNTIFS($E:$E,$E160,$L:$L,"&gt;"&amp;$L160)+1</f>
        <v/>
      </c>
      <c r="P160" s="108">
        <f>COUNTIFS($E:$E,$E160,$M:$M,"&gt;"&amp;$M160)+1</f>
        <v/>
      </c>
      <c r="Q160" s="108">
        <f>COUNTIFS($E:$E,$E160,$N:$N,"&gt;"&amp;$N160)+1</f>
        <v/>
      </c>
      <c r="R160" s="31" t="inlineStr">
        <is>
          <t>📈 Good</t>
        </is>
      </c>
      <c r="S160" s="31" t="inlineStr">
        <is>
          <t>🔴 Not Qualified</t>
        </is>
      </c>
      <c r="T160" s="31" t="inlineStr">
        <is>
          <t>🔴 Avoid</t>
        </is>
      </c>
      <c r="U160" s="83" t="inlineStr">
        <is>
          <t>FULL</t>
        </is>
      </c>
    </row>
    <row r="161" ht="16" customHeight="1">
      <c r="A161" s="13" t="n">
        <v>157</v>
      </c>
      <c r="B161" s="14" t="inlineStr">
        <is>
          <t>HDFC NIFTY GROWTH SECTORS 15 ETF - Growth Option</t>
        </is>
      </c>
      <c r="C161" s="14" t="inlineStr">
        <is>
          <t>HDFC Mutual Fund</t>
        </is>
      </c>
      <c r="D161" s="14" t="inlineStr">
        <is>
          <t>Other  Etfs</t>
        </is>
      </c>
      <c r="E161" s="14" t="inlineStr">
        <is>
          <t>Index Fund</t>
        </is>
      </c>
      <c r="F161" s="15" t="n">
        <v>3.37</v>
      </c>
      <c r="G161" s="15" t="n">
        <v>6.38</v>
      </c>
      <c r="H161" s="16" t="n">
        <v>-0.88</v>
      </c>
      <c r="I161" s="15" t="n">
        <v>1.68</v>
      </c>
      <c r="J161" s="16" t="n">
        <v>-2.321957431570121</v>
      </c>
      <c r="K161" s="15" t="n">
        <v>23.86</v>
      </c>
      <c r="L161" s="17" t="n">
        <v>61.7</v>
      </c>
      <c r="M161" s="18" t="n">
        <v>0</v>
      </c>
      <c r="N161" s="19" t="n">
        <v>33.9</v>
      </c>
      <c r="O161" s="108">
        <f>COUNTIFS($E:$E,$E161,$L:$L,"&gt;"&amp;$L161)+1</f>
        <v/>
      </c>
      <c r="P161" s="108">
        <f>COUNTIFS($E:$E,$E161,$M:$M,"&gt;"&amp;$M161)+1</f>
        <v/>
      </c>
      <c r="Q161" s="108">
        <f>COUNTIFS($E:$E,$E161,$N:$N,"&gt;"&amp;$N161)+1</f>
        <v/>
      </c>
      <c r="R161" s="20" t="inlineStr">
        <is>
          <t>📈 Good</t>
        </is>
      </c>
      <c r="S161" s="20" t="inlineStr">
        <is>
          <t>🔴 Not Qualified</t>
        </is>
      </c>
      <c r="T161" s="20" t="inlineStr">
        <is>
          <t>🔴 Avoid</t>
        </is>
      </c>
      <c r="U161" s="83" t="inlineStr">
        <is>
          <t>FULL</t>
        </is>
      </c>
    </row>
    <row r="162" ht="16" customHeight="1">
      <c r="A162" s="28" t="n">
        <v>158</v>
      </c>
      <c r="B162" s="29" t="inlineStr">
        <is>
          <t>Axis NIFTY India Consumption ETF</t>
        </is>
      </c>
      <c r="C162" s="29" t="inlineStr">
        <is>
          <t>Axis Mutual Fund</t>
        </is>
      </c>
      <c r="D162" s="29" t="inlineStr">
        <is>
          <t>Other  Etfs</t>
        </is>
      </c>
      <c r="E162" s="29" t="inlineStr">
        <is>
          <t>Index Fund</t>
        </is>
      </c>
      <c r="F162" s="30" t="n">
        <v>2.81</v>
      </c>
      <c r="G162" s="30" t="n">
        <v>6.58</v>
      </c>
      <c r="H162" s="30" t="n">
        <v>1.2</v>
      </c>
      <c r="I162" s="30" t="n">
        <v>1.8</v>
      </c>
      <c r="J162" s="30" t="n">
        <v>1.321271211922714</v>
      </c>
      <c r="K162" s="30" t="n">
        <v>48.26</v>
      </c>
      <c r="L162" s="17" t="n">
        <v>61.3</v>
      </c>
      <c r="M162" s="18" t="n">
        <v>0</v>
      </c>
      <c r="N162" s="19" t="n">
        <v>33.7</v>
      </c>
      <c r="O162" s="108">
        <f>COUNTIFS($E:$E,$E162,$L:$L,"&gt;"&amp;$L162)+1</f>
        <v/>
      </c>
      <c r="P162" s="108">
        <f>COUNTIFS($E:$E,$E162,$M:$M,"&gt;"&amp;$M162)+1</f>
        <v/>
      </c>
      <c r="Q162" s="108">
        <f>COUNTIFS($E:$E,$E162,$N:$N,"&gt;"&amp;$N162)+1</f>
        <v/>
      </c>
      <c r="R162" s="31" t="inlineStr">
        <is>
          <t>📈 Good</t>
        </is>
      </c>
      <c r="S162" s="31" t="inlineStr">
        <is>
          <t>🔴 Not Qualified</t>
        </is>
      </c>
      <c r="T162" s="31" t="inlineStr">
        <is>
          <t>🔴 Avoid</t>
        </is>
      </c>
      <c r="U162" s="83" t="inlineStr">
        <is>
          <t>FULL</t>
        </is>
      </c>
    </row>
    <row r="163" ht="16" customHeight="1">
      <c r="A163" s="13" t="n">
        <v>159</v>
      </c>
      <c r="B163" s="14" t="inlineStr">
        <is>
          <t>Kotak Multi Asset Omni FOF - Growth- Regular</t>
        </is>
      </c>
      <c r="C163" s="14" t="inlineStr">
        <is>
          <t>Kotak Mahindra Mutual Fund</t>
        </is>
      </c>
      <c r="D163" s="14" t="inlineStr">
        <is>
          <t>Fof Domestic</t>
        </is>
      </c>
      <c r="E163" s="14" t="inlineStr">
        <is>
          <t>Standard Equity/Debt</t>
        </is>
      </c>
      <c r="F163" s="15" t="n">
        <v>3.63</v>
      </c>
      <c r="G163" s="15" t="n">
        <v>4.58</v>
      </c>
      <c r="H163" s="15" t="n">
        <v>0.98</v>
      </c>
      <c r="I163" s="15" t="n">
        <v>13.21</v>
      </c>
      <c r="J163" s="15" t="n">
        <v>9.868102741423556</v>
      </c>
      <c r="K163" s="15" t="n">
        <v>57.02</v>
      </c>
      <c r="L163" s="17" t="n">
        <v>61.3</v>
      </c>
      <c r="M163" s="18" t="n">
        <v>0</v>
      </c>
      <c r="N163" s="19" t="n">
        <v>33.7</v>
      </c>
      <c r="O163" s="108">
        <f>COUNTIFS($E:$E,$E163,$L:$L,"&gt;"&amp;$L163)+1</f>
        <v/>
      </c>
      <c r="P163" s="108">
        <f>COUNTIFS($E:$E,$E163,$M:$M,"&gt;"&amp;$M163)+1</f>
        <v/>
      </c>
      <c r="Q163" s="108">
        <f>COUNTIFS($E:$E,$E163,$N:$N,"&gt;"&amp;$N163)+1</f>
        <v/>
      </c>
      <c r="R163" s="20" t="inlineStr">
        <is>
          <t>📈 Good</t>
        </is>
      </c>
      <c r="S163" s="20" t="inlineStr">
        <is>
          <t>🔴 Not Qualified</t>
        </is>
      </c>
      <c r="T163" s="20" t="inlineStr">
        <is>
          <t>🔴 Avoid</t>
        </is>
      </c>
      <c r="U163" s="83" t="inlineStr">
        <is>
          <t>FULL</t>
        </is>
      </c>
    </row>
    <row r="164" ht="16" customHeight="1">
      <c r="A164" s="28" t="n">
        <v>160</v>
      </c>
      <c r="B164" s="29" t="inlineStr">
        <is>
          <t>Kotak Multi Asset Omni FOF - Payout of Income Distribution cum capital withdrawal option</t>
        </is>
      </c>
      <c r="C164" s="29" t="inlineStr">
        <is>
          <t>Kotak Mahindra Mutual Fund</t>
        </is>
      </c>
      <c r="D164" s="29" t="inlineStr">
        <is>
          <t>Fof Domestic</t>
        </is>
      </c>
      <c r="E164" s="29" t="inlineStr">
        <is>
          <t>Standard Equity/Debt</t>
        </is>
      </c>
      <c r="F164" s="30" t="n">
        <v>3.63</v>
      </c>
      <c r="G164" s="30" t="n">
        <v>4.58</v>
      </c>
      <c r="H164" s="30" t="n">
        <v>0.98</v>
      </c>
      <c r="I164" s="30" t="n">
        <v>13.21</v>
      </c>
      <c r="J164" s="30" t="n">
        <v>9.868102741423556</v>
      </c>
      <c r="K164" s="30" t="n">
        <v>57.02</v>
      </c>
      <c r="L164" s="17" t="n">
        <v>61.3</v>
      </c>
      <c r="M164" s="18" t="n">
        <v>0</v>
      </c>
      <c r="N164" s="19" t="n">
        <v>33.7</v>
      </c>
      <c r="O164" s="108">
        <f>COUNTIFS($E:$E,$E164,$L:$L,"&gt;"&amp;$L164)+1</f>
        <v/>
      </c>
      <c r="P164" s="108">
        <f>COUNTIFS($E:$E,$E164,$M:$M,"&gt;"&amp;$M164)+1</f>
        <v/>
      </c>
      <c r="Q164" s="108">
        <f>COUNTIFS($E:$E,$E164,$N:$N,"&gt;"&amp;$N164)+1</f>
        <v/>
      </c>
      <c r="R164" s="31" t="inlineStr">
        <is>
          <t>📈 Good</t>
        </is>
      </c>
      <c r="S164" s="31" t="inlineStr">
        <is>
          <t>🔴 Not Qualified</t>
        </is>
      </c>
      <c r="T164" s="31" t="inlineStr">
        <is>
          <t>🔴 Avoid</t>
        </is>
      </c>
      <c r="U164" s="83" t="inlineStr">
        <is>
          <t>FULL</t>
        </is>
      </c>
    </row>
    <row r="165" ht="16" customHeight="1">
      <c r="A165" s="13" t="n">
        <v>161</v>
      </c>
      <c r="B165" s="14" t="inlineStr">
        <is>
          <t>BHARAT Bond ETF - April 2033</t>
        </is>
      </c>
      <c r="C165" s="14" t="inlineStr">
        <is>
          <t>Edelweiss Mutual Fund</t>
        </is>
      </c>
      <c r="D165" s="14" t="inlineStr">
        <is>
          <t>Other  Etfs</t>
        </is>
      </c>
      <c r="E165" s="14" t="inlineStr">
        <is>
          <t>Standard Equity/Debt</t>
        </is>
      </c>
      <c r="F165" s="15" t="n">
        <v>0.38</v>
      </c>
      <c r="G165" s="15" t="n">
        <v>3.97</v>
      </c>
      <c r="H165" s="15" t="n">
        <v>2.99</v>
      </c>
      <c r="I165" s="15" t="n">
        <v>5.34</v>
      </c>
      <c r="J165" s="15" t="n">
        <v>7.415082739808931</v>
      </c>
      <c r="K165" s="15" t="n">
        <v>25.64</v>
      </c>
      <c r="L165" s="17" t="n">
        <v>61.1</v>
      </c>
      <c r="M165" s="18" t="n">
        <v>0</v>
      </c>
      <c r="N165" s="19" t="n">
        <v>33.6</v>
      </c>
      <c r="O165" s="108">
        <f>COUNTIFS($E:$E,$E165,$L:$L,"&gt;"&amp;$L165)+1</f>
        <v/>
      </c>
      <c r="P165" s="108">
        <f>COUNTIFS($E:$E,$E165,$M:$M,"&gt;"&amp;$M165)+1</f>
        <v/>
      </c>
      <c r="Q165" s="108">
        <f>COUNTIFS($E:$E,$E165,$N:$N,"&gt;"&amp;$N165)+1</f>
        <v/>
      </c>
      <c r="R165" s="20" t="inlineStr">
        <is>
          <t>📈 Good</t>
        </is>
      </c>
      <c r="S165" s="20" t="inlineStr">
        <is>
          <t>🔴 Not Qualified</t>
        </is>
      </c>
      <c r="T165" s="20" t="inlineStr">
        <is>
          <t>🔴 Avoid</t>
        </is>
      </c>
      <c r="U165" s="83" t="inlineStr">
        <is>
          <t>FULL</t>
        </is>
      </c>
    </row>
    <row r="166" ht="16" customHeight="1">
      <c r="A166" s="28" t="n">
        <v>162</v>
      </c>
      <c r="B166" s="29" t="inlineStr">
        <is>
          <t>ICICI Prudential Passive Multi-Asset Fund of Funds - Growth</t>
        </is>
      </c>
      <c r="C166" s="29" t="inlineStr">
        <is>
          <t>ICICI Prudential Mutual Fund</t>
        </is>
      </c>
      <c r="D166" s="29" t="inlineStr">
        <is>
          <t>Fof Domestic</t>
        </is>
      </c>
      <c r="E166" s="29" t="inlineStr">
        <is>
          <t>Standard Equity/Debt</t>
        </is>
      </c>
      <c r="F166" s="30" t="n">
        <v>1.32</v>
      </c>
      <c r="G166" s="30" t="n">
        <v>3.42</v>
      </c>
      <c r="H166" s="30" t="n">
        <v>1.5</v>
      </c>
      <c r="I166" s="30" t="n">
        <v>11.61</v>
      </c>
      <c r="J166" s="30" t="n">
        <v>11.3013926238122</v>
      </c>
      <c r="K166" s="30" t="n">
        <v>47.99</v>
      </c>
      <c r="L166" s="17" t="n">
        <v>55.8</v>
      </c>
      <c r="M166" s="18" t="n">
        <v>6.4</v>
      </c>
      <c r="N166" s="19" t="n">
        <v>33.6</v>
      </c>
      <c r="O166" s="108">
        <f>COUNTIFS($E:$E,$E166,$L:$L,"&gt;"&amp;$L166)+1</f>
        <v/>
      </c>
      <c r="P166" s="108">
        <f>COUNTIFS($E:$E,$E166,$M:$M,"&gt;"&amp;$M166)+1</f>
        <v/>
      </c>
      <c r="Q166" s="108">
        <f>COUNTIFS($E:$E,$E166,$N:$N,"&gt;"&amp;$N166)+1</f>
        <v/>
      </c>
      <c r="R166" s="31" t="inlineStr">
        <is>
          <t>➡️ Neutral</t>
        </is>
      </c>
      <c r="S166" s="31" t="inlineStr">
        <is>
          <t>⚠️ Below Avg</t>
        </is>
      </c>
      <c r="T166" s="31" t="inlineStr">
        <is>
          <t>🔴 Avoid</t>
        </is>
      </c>
      <c r="U166" s="83" t="inlineStr">
        <is>
          <t>FULL</t>
        </is>
      </c>
    </row>
    <row r="167" ht="16" customHeight="1">
      <c r="A167" s="13" t="n">
        <v>163</v>
      </c>
      <c r="B167" s="14" t="inlineStr">
        <is>
          <t>ICICI Prudential Income Plus Arbitrage Omni FOF - Growth</t>
        </is>
      </c>
      <c r="C167" s="14" t="inlineStr">
        <is>
          <t>ICICI Prudential Mutual Fund</t>
        </is>
      </c>
      <c r="D167" s="14" t="inlineStr">
        <is>
          <t>Fof Domestic</t>
        </is>
      </c>
      <c r="E167" s="14" t="inlineStr">
        <is>
          <t>Standard Equity/Debt</t>
        </is>
      </c>
      <c r="F167" s="15" t="n">
        <v>0.54</v>
      </c>
      <c r="G167" s="15" t="n">
        <v>2.45</v>
      </c>
      <c r="H167" s="15" t="n">
        <v>3.45</v>
      </c>
      <c r="I167" s="15" t="n">
        <v>6.44</v>
      </c>
      <c r="J167" s="15" t="n">
        <v>6.658333007787065</v>
      </c>
      <c r="K167" s="15" t="n">
        <v>30.9</v>
      </c>
      <c r="L167" s="17" t="n">
        <v>61.1</v>
      </c>
      <c r="M167" s="18" t="n">
        <v>0</v>
      </c>
      <c r="N167" s="19" t="n">
        <v>33.6</v>
      </c>
      <c r="O167" s="108">
        <f>COUNTIFS($E:$E,$E167,$L:$L,"&gt;"&amp;$L167)+1</f>
        <v/>
      </c>
      <c r="P167" s="108">
        <f>COUNTIFS($E:$E,$E167,$M:$M,"&gt;"&amp;$M167)+1</f>
        <v/>
      </c>
      <c r="Q167" s="108">
        <f>COUNTIFS($E:$E,$E167,$N:$N,"&gt;"&amp;$N167)+1</f>
        <v/>
      </c>
      <c r="R167" s="20" t="inlineStr">
        <is>
          <t>📈 Good</t>
        </is>
      </c>
      <c r="S167" s="20" t="inlineStr">
        <is>
          <t>🔴 Not Qualified</t>
        </is>
      </c>
      <c r="T167" s="20" t="inlineStr">
        <is>
          <t>🔴 Avoid</t>
        </is>
      </c>
      <c r="U167" s="83" t="inlineStr">
        <is>
          <t>FULL</t>
        </is>
      </c>
    </row>
    <row r="168" ht="16" customHeight="1">
      <c r="A168" s="28" t="n">
        <v>164</v>
      </c>
      <c r="B168" s="29" t="inlineStr">
        <is>
          <t>Nippon India ETF Nifty 5 yr Benchmark G-Sec</t>
        </is>
      </c>
      <c r="C168" s="29" t="inlineStr">
        <is>
          <t>Nippon India Mutual Fund</t>
        </is>
      </c>
      <c r="D168" s="29" t="inlineStr">
        <is>
          <t>Other  Etfs</t>
        </is>
      </c>
      <c r="E168" s="29" t="inlineStr">
        <is>
          <t>G-SEC</t>
        </is>
      </c>
      <c r="F168" s="30" t="n">
        <v>0.5</v>
      </c>
      <c r="G168" s="30" t="n">
        <v>3.3</v>
      </c>
      <c r="H168" s="30" t="n">
        <v>3.13</v>
      </c>
      <c r="I168" s="30" t="n">
        <v>6.02</v>
      </c>
      <c r="J168" s="30" t="n">
        <v>7.512789936825648</v>
      </c>
      <c r="K168" s="30" t="n">
        <v>25.81</v>
      </c>
      <c r="L168" s="17" t="n">
        <v>59.7</v>
      </c>
      <c r="M168" s="18" t="n">
        <v>0</v>
      </c>
      <c r="N168" s="19" t="n">
        <v>32.8</v>
      </c>
      <c r="O168" s="108">
        <f>COUNTIFS($E:$E,$E168,$L:$L,"&gt;"&amp;$L168)+1</f>
        <v/>
      </c>
      <c r="P168" s="108">
        <f>COUNTIFS($E:$E,$E168,$M:$M,"&gt;"&amp;$M168)+1</f>
        <v/>
      </c>
      <c r="Q168" s="108">
        <f>COUNTIFS($E:$E,$E168,$N:$N,"&gt;"&amp;$N168)+1</f>
        <v/>
      </c>
      <c r="R168" s="31" t="inlineStr">
        <is>
          <t>➡️ Neutral</t>
        </is>
      </c>
      <c r="S168" s="31" t="inlineStr">
        <is>
          <t>🔴 Not Qualified</t>
        </is>
      </c>
      <c r="T168" s="31" t="inlineStr">
        <is>
          <t>🔴 Avoid</t>
        </is>
      </c>
      <c r="U168" s="83" t="inlineStr">
        <is>
          <t>FULL</t>
        </is>
      </c>
    </row>
    <row r="169" ht="16" customHeight="1">
      <c r="A169" s="13" t="n">
        <v>165</v>
      </c>
      <c r="B169" s="14" t="inlineStr">
        <is>
          <t>Motilal Oswal BSE Quality Index Fund-Regular plan</t>
        </is>
      </c>
      <c r="C169" s="14" t="inlineStr">
        <is>
          <t>Motilal Oswal Mutual Fund</t>
        </is>
      </c>
      <c r="D169" s="14" t="inlineStr">
        <is>
          <t>Index Funds</t>
        </is>
      </c>
      <c r="E169" s="14" t="inlineStr">
        <is>
          <t>Index Fund</t>
        </is>
      </c>
      <c r="F169" s="15" t="n">
        <v>0.87</v>
      </c>
      <c r="G169" s="15" t="n">
        <v>1.18</v>
      </c>
      <c r="H169" s="15" t="n">
        <v>2.96</v>
      </c>
      <c r="I169" s="15" t="n">
        <v>7.64</v>
      </c>
      <c r="J169" s="16" t="n">
        <v>-2.969077093949068</v>
      </c>
      <c r="K169" s="15" t="n">
        <v>48.88</v>
      </c>
      <c r="L169" s="17" t="n">
        <v>59.6</v>
      </c>
      <c r="M169" s="18" t="n">
        <v>0</v>
      </c>
      <c r="N169" s="19" t="n">
        <v>32.8</v>
      </c>
      <c r="O169" s="108">
        <f>COUNTIFS($E:$E,$E169,$L:$L,"&gt;"&amp;$L169)+1</f>
        <v/>
      </c>
      <c r="P169" s="108">
        <f>COUNTIFS($E:$E,$E169,$M:$M,"&gt;"&amp;$M169)+1</f>
        <v/>
      </c>
      <c r="Q169" s="108">
        <f>COUNTIFS($E:$E,$E169,$N:$N,"&gt;"&amp;$N169)+1</f>
        <v/>
      </c>
      <c r="R169" s="20" t="inlineStr">
        <is>
          <t>➡️ Neutral</t>
        </is>
      </c>
      <c r="S169" s="20" t="inlineStr">
        <is>
          <t>🔴 Not Qualified</t>
        </is>
      </c>
      <c r="T169" s="20" t="inlineStr">
        <is>
          <t>🔴 Avoid</t>
        </is>
      </c>
      <c r="U169" s="83" t="inlineStr">
        <is>
          <t>FULL</t>
        </is>
      </c>
    </row>
    <row r="170" ht="16" customHeight="1">
      <c r="A170" s="28" t="n">
        <v>166</v>
      </c>
      <c r="B170" s="29" t="inlineStr">
        <is>
          <t>Kotak Nifty SDL Jul 2033 Index Fund Regular Plan Growth Option</t>
        </is>
      </c>
      <c r="C170" s="29" t="inlineStr">
        <is>
          <t>Kotak Mahindra Mutual Fund</t>
        </is>
      </c>
      <c r="D170" s="29" t="inlineStr">
        <is>
          <t>Index Funds</t>
        </is>
      </c>
      <c r="E170" s="29" t="inlineStr">
        <is>
          <t>Index Fund</t>
        </is>
      </c>
      <c r="F170" s="30" t="n">
        <v>0.63</v>
      </c>
      <c r="G170" s="30" t="n">
        <v>3.76</v>
      </c>
      <c r="H170" s="30" t="n">
        <v>3.31</v>
      </c>
      <c r="I170" s="30" t="n">
        <v>5.14</v>
      </c>
      <c r="J170" s="30" t="n">
        <v>6.677082824756697</v>
      </c>
      <c r="K170" s="30" t="n">
        <v>23.54</v>
      </c>
      <c r="L170" s="17" t="n">
        <v>59.4</v>
      </c>
      <c r="M170" s="18" t="n">
        <v>0</v>
      </c>
      <c r="N170" s="19" t="n">
        <v>32.7</v>
      </c>
      <c r="O170" s="108">
        <f>COUNTIFS($E:$E,$E170,$L:$L,"&gt;"&amp;$L170)+1</f>
        <v/>
      </c>
      <c r="P170" s="108">
        <f>COUNTIFS($E:$E,$E170,$M:$M,"&gt;"&amp;$M170)+1</f>
        <v/>
      </c>
      <c r="Q170" s="108">
        <f>COUNTIFS($E:$E,$E170,$N:$N,"&gt;"&amp;$N170)+1</f>
        <v/>
      </c>
      <c r="R170" s="31" t="inlineStr">
        <is>
          <t>➡️ Neutral</t>
        </is>
      </c>
      <c r="S170" s="31" t="inlineStr">
        <is>
          <t>🔴 Not Qualified</t>
        </is>
      </c>
      <c r="T170" s="31" t="inlineStr">
        <is>
          <t>🔴 Avoid</t>
        </is>
      </c>
      <c r="U170" s="83" t="inlineStr">
        <is>
          <t>FULL</t>
        </is>
      </c>
    </row>
    <row r="171" ht="16" customHeight="1">
      <c r="A171" s="13" t="n">
        <v>167</v>
      </c>
      <c r="B171" s="14" t="inlineStr">
        <is>
          <t>BHARAT Bond ETF - April 2032</t>
        </is>
      </c>
      <c r="C171" s="14" t="inlineStr">
        <is>
          <t>Edelweiss Mutual Fund</t>
        </is>
      </c>
      <c r="D171" s="14" t="inlineStr">
        <is>
          <t>Other  Etfs</t>
        </is>
      </c>
      <c r="E171" s="14" t="inlineStr">
        <is>
          <t>Standard Equity/Debt</t>
        </is>
      </c>
      <c r="F171" s="15" t="n">
        <v>0.34</v>
      </c>
      <c r="G171" s="15" t="n">
        <v>3.83</v>
      </c>
      <c r="H171" s="15" t="n">
        <v>2.79</v>
      </c>
      <c r="I171" s="15" t="n">
        <v>5.28</v>
      </c>
      <c r="J171" s="15" t="n">
        <v>7.48023074035522</v>
      </c>
      <c r="K171" s="15" t="n">
        <v>25.62</v>
      </c>
      <c r="L171" s="17" t="n">
        <v>59.2</v>
      </c>
      <c r="M171" s="18" t="n">
        <v>0</v>
      </c>
      <c r="N171" s="19" t="n">
        <v>32.6</v>
      </c>
      <c r="O171" s="108">
        <f>COUNTIFS($E:$E,$E171,$L:$L,"&gt;"&amp;$L171)+1</f>
        <v/>
      </c>
      <c r="P171" s="108">
        <f>COUNTIFS($E:$E,$E171,$M:$M,"&gt;"&amp;$M171)+1</f>
        <v/>
      </c>
      <c r="Q171" s="108">
        <f>COUNTIFS($E:$E,$E171,$N:$N,"&gt;"&amp;$N171)+1</f>
        <v/>
      </c>
      <c r="R171" s="20" t="inlineStr">
        <is>
          <t>➡️ Neutral</t>
        </is>
      </c>
      <c r="S171" s="20" t="inlineStr">
        <is>
          <t>🔴 Not Qualified</t>
        </is>
      </c>
      <c r="T171" s="20" t="inlineStr">
        <is>
          <t>🔴 Avoid</t>
        </is>
      </c>
      <c r="U171" s="83" t="inlineStr">
        <is>
          <t>FULL</t>
        </is>
      </c>
    </row>
    <row r="172" ht="16" customHeight="1">
      <c r="A172" s="28" t="n">
        <v>168</v>
      </c>
      <c r="B172" s="29" t="inlineStr">
        <is>
          <t>Aditya Birla Sun Life Aggressive Hybrid Omni FOF- Regular Plan - Growth Option</t>
        </is>
      </c>
      <c r="C172" s="29" t="inlineStr">
        <is>
          <t>Aditya Birla Sun Life Mutual Fund</t>
        </is>
      </c>
      <c r="D172" s="29" t="inlineStr">
        <is>
          <t>Fof Domestic</t>
        </is>
      </c>
      <c r="E172" s="29" t="inlineStr">
        <is>
          <t>Standard Equity/Debt</t>
        </is>
      </c>
      <c r="F172" s="30" t="n">
        <v>1.45</v>
      </c>
      <c r="G172" s="30" t="n">
        <v>5.6</v>
      </c>
      <c r="H172" s="30" t="n">
        <v>1.78</v>
      </c>
      <c r="I172" s="30" t="n">
        <v>5.8</v>
      </c>
      <c r="J172" s="30" t="n">
        <v>5.275828184821241</v>
      </c>
      <c r="K172" s="30" t="n">
        <v>40.05</v>
      </c>
      <c r="L172" s="17" t="n">
        <v>59</v>
      </c>
      <c r="M172" s="18" t="n">
        <v>0</v>
      </c>
      <c r="N172" s="19" t="n">
        <v>32.4</v>
      </c>
      <c r="O172" s="108">
        <f>COUNTIFS($E:$E,$E172,$L:$L,"&gt;"&amp;$L172)+1</f>
        <v/>
      </c>
      <c r="P172" s="108">
        <f>COUNTIFS($E:$E,$E172,$M:$M,"&gt;"&amp;$M172)+1</f>
        <v/>
      </c>
      <c r="Q172" s="108">
        <f>COUNTIFS($E:$E,$E172,$N:$N,"&gt;"&amp;$N172)+1</f>
        <v/>
      </c>
      <c r="R172" s="31" t="inlineStr">
        <is>
          <t>➡️ Neutral</t>
        </is>
      </c>
      <c r="S172" s="31" t="inlineStr">
        <is>
          <t>🔴 Not Qualified</t>
        </is>
      </c>
      <c r="T172" s="31" t="inlineStr">
        <is>
          <t>🔴 Avoid</t>
        </is>
      </c>
      <c r="U172" s="83" t="inlineStr">
        <is>
          <t>FULL</t>
        </is>
      </c>
    </row>
    <row r="173" ht="16" customHeight="1">
      <c r="A173" s="13" t="n">
        <v>169</v>
      </c>
      <c r="B173" s="14" t="inlineStr">
        <is>
          <t>UTI CRISIL SDL Maturity April 2033 Index Fund - Regular Plan - Growth Option</t>
        </is>
      </c>
      <c r="C173" s="14" t="inlineStr">
        <is>
          <t>UTI Mutual Fund</t>
        </is>
      </c>
      <c r="D173" s="14" t="inlineStr">
        <is>
          <t>Index Funds</t>
        </is>
      </c>
      <c r="E173" s="14" t="inlineStr">
        <is>
          <t>Index Fund</t>
        </is>
      </c>
      <c r="F173" s="15" t="n">
        <v>0.63</v>
      </c>
      <c r="G173" s="15" t="n">
        <v>3.85</v>
      </c>
      <c r="H173" s="15" t="n">
        <v>3.24</v>
      </c>
      <c r="I173" s="15" t="n">
        <v>5.08</v>
      </c>
      <c r="J173" s="15" t="n">
        <v>6.700515462672452</v>
      </c>
      <c r="K173" s="15" t="n">
        <v>23.7</v>
      </c>
      <c r="L173" s="17" t="n">
        <v>58.8</v>
      </c>
      <c r="M173" s="18" t="n">
        <v>0</v>
      </c>
      <c r="N173" s="19" t="n">
        <v>32.4</v>
      </c>
      <c r="O173" s="108">
        <f>COUNTIFS($E:$E,$E173,$L:$L,"&gt;"&amp;$L173)+1</f>
        <v/>
      </c>
      <c r="P173" s="108">
        <f>COUNTIFS($E:$E,$E173,$M:$M,"&gt;"&amp;$M173)+1</f>
        <v/>
      </c>
      <c r="Q173" s="108">
        <f>COUNTIFS($E:$E,$E173,$N:$N,"&gt;"&amp;$N173)+1</f>
        <v/>
      </c>
      <c r="R173" s="20" t="inlineStr">
        <is>
          <t>➡️ Neutral</t>
        </is>
      </c>
      <c r="S173" s="20" t="inlineStr">
        <is>
          <t>🔴 Not Qualified</t>
        </is>
      </c>
      <c r="T173" s="20" t="inlineStr">
        <is>
          <t>🔴 Avoid</t>
        </is>
      </c>
      <c r="U173" s="83" t="inlineStr">
        <is>
          <t>FULL</t>
        </is>
      </c>
    </row>
    <row r="174" ht="16" customHeight="1">
      <c r="A174" s="28" t="n">
        <v>170</v>
      </c>
      <c r="B174" s="29" t="inlineStr">
        <is>
          <t>ICICI Prudential Nifty 5 yr Benchmark G-SEC ETF</t>
        </is>
      </c>
      <c r="C174" s="29" t="inlineStr">
        <is>
          <t>ICICI Prudential Mutual Fund</t>
        </is>
      </c>
      <c r="D174" s="29" t="inlineStr">
        <is>
          <t>Other  Etfs</t>
        </is>
      </c>
      <c r="E174" s="29" t="inlineStr">
        <is>
          <t>G-SEC</t>
        </is>
      </c>
      <c r="F174" s="30" t="n">
        <v>0.5</v>
      </c>
      <c r="G174" s="30" t="n">
        <v>3.29</v>
      </c>
      <c r="H174" s="30" t="n">
        <v>3.06</v>
      </c>
      <c r="I174" s="30" t="n">
        <v>5.87</v>
      </c>
      <c r="J174" s="30" t="n">
        <v>7.568582773967969</v>
      </c>
      <c r="K174" s="30" t="n">
        <v>25.68</v>
      </c>
      <c r="L174" s="17" t="n">
        <v>58.7</v>
      </c>
      <c r="M174" s="18" t="n">
        <v>0</v>
      </c>
      <c r="N174" s="19" t="n">
        <v>32.3</v>
      </c>
      <c r="O174" s="108">
        <f>COUNTIFS($E:$E,$E174,$L:$L,"&gt;"&amp;$L174)+1</f>
        <v/>
      </c>
      <c r="P174" s="108">
        <f>COUNTIFS($E:$E,$E174,$M:$M,"&gt;"&amp;$M174)+1</f>
        <v/>
      </c>
      <c r="Q174" s="108">
        <f>COUNTIFS($E:$E,$E174,$N:$N,"&gt;"&amp;$N174)+1</f>
        <v/>
      </c>
      <c r="R174" s="31" t="inlineStr">
        <is>
          <t>➡️ Neutral</t>
        </is>
      </c>
      <c r="S174" s="31" t="inlineStr">
        <is>
          <t>🔴 Not Qualified</t>
        </is>
      </c>
      <c r="T174" s="31" t="inlineStr">
        <is>
          <t>🔴 Avoid</t>
        </is>
      </c>
      <c r="U174" s="83" t="inlineStr">
        <is>
          <t>FULL</t>
        </is>
      </c>
    </row>
    <row r="175" ht="16" customHeight="1">
      <c r="A175" s="13" t="n">
        <v>171</v>
      </c>
      <c r="B175" s="14" t="inlineStr">
        <is>
          <t>Motilal Oswal Nifty 5 year Benchmark G-sec ETF</t>
        </is>
      </c>
      <c r="C175" s="14" t="inlineStr">
        <is>
          <t>Motilal Oswal Mutual Fund</t>
        </is>
      </c>
      <c r="D175" s="14" t="inlineStr">
        <is>
          <t>Other  Etfs</t>
        </is>
      </c>
      <c r="E175" s="14" t="inlineStr">
        <is>
          <t>G-SEC</t>
        </is>
      </c>
      <c r="F175" s="15" t="n">
        <v>0.49</v>
      </c>
      <c r="G175" s="15" t="n">
        <v>3.29</v>
      </c>
      <c r="H175" s="15" t="n">
        <v>2.96</v>
      </c>
      <c r="I175" s="15" t="n">
        <v>5.71</v>
      </c>
      <c r="J175" s="15" t="n">
        <v>7.196082017954364</v>
      </c>
      <c r="K175" s="15" t="n">
        <v>24.74</v>
      </c>
      <c r="L175" s="17" t="n">
        <v>58.2</v>
      </c>
      <c r="M175" s="18" t="n">
        <v>0</v>
      </c>
      <c r="N175" s="19" t="n">
        <v>32</v>
      </c>
      <c r="O175" s="108">
        <f>COUNTIFS($E:$E,$E175,$L:$L,"&gt;"&amp;$L175)+1</f>
        <v/>
      </c>
      <c r="P175" s="108">
        <f>COUNTIFS($E:$E,$E175,$M:$M,"&gt;"&amp;$M175)+1</f>
        <v/>
      </c>
      <c r="Q175" s="108">
        <f>COUNTIFS($E:$E,$E175,$N:$N,"&gt;"&amp;$N175)+1</f>
        <v/>
      </c>
      <c r="R175" s="20" t="inlineStr">
        <is>
          <t>➡️ Neutral</t>
        </is>
      </c>
      <c r="S175" s="20" t="inlineStr">
        <is>
          <t>🔴 Not Qualified</t>
        </is>
      </c>
      <c r="T175" s="20" t="inlineStr">
        <is>
          <t>🔴 Avoid</t>
        </is>
      </c>
      <c r="U175" s="83" t="inlineStr">
        <is>
          <t>FULL</t>
        </is>
      </c>
    </row>
    <row r="176" ht="16" customHeight="1">
      <c r="A176" s="28" t="n">
        <v>172</v>
      </c>
      <c r="B176" s="29" t="inlineStr">
        <is>
          <t>Sundaram Global Brand Theme-Equity Active FOF - Regular Growth</t>
        </is>
      </c>
      <c r="C176" s="29" t="inlineStr">
        <is>
          <t>Sundaram Mutual Fund</t>
        </is>
      </c>
      <c r="D176" s="29" t="inlineStr">
        <is>
          <t>Fof Overseas</t>
        </is>
      </c>
      <c r="E176" s="29" t="inlineStr">
        <is>
          <t>International</t>
        </is>
      </c>
      <c r="F176" s="30" t="n">
        <v>2.8</v>
      </c>
      <c r="G176" s="30" t="n">
        <v>2.37</v>
      </c>
      <c r="H176" s="30" t="n">
        <v>11.37</v>
      </c>
      <c r="I176" s="30" t="n">
        <v>21.75</v>
      </c>
      <c r="J176" s="30" t="n">
        <v>20.17071190602142</v>
      </c>
      <c r="K176" s="30" t="n">
        <v>66.91</v>
      </c>
      <c r="L176" s="37" t="n">
        <v>37.2</v>
      </c>
      <c r="M176" s="18" t="n">
        <v>25.4</v>
      </c>
      <c r="N176" s="19" t="n">
        <v>31.9</v>
      </c>
      <c r="O176" s="108">
        <f>COUNTIFS($E:$E,$E176,$L:$L,"&gt;"&amp;$L176)+1</f>
        <v/>
      </c>
      <c r="P176" s="108">
        <f>COUNTIFS($E:$E,$E176,$M:$M,"&gt;"&amp;$M176)+1</f>
        <v/>
      </c>
      <c r="Q176" s="108">
        <f>COUNTIFS($E:$E,$E176,$N:$N,"&gt;"&amp;$N176)+1</f>
        <v/>
      </c>
      <c r="R176" s="31" t="inlineStr">
        <is>
          <t>📉 Weak</t>
        </is>
      </c>
      <c r="S176" s="31" t="inlineStr">
        <is>
          <t>⚠️ Below Avg</t>
        </is>
      </c>
      <c r="T176" s="31" t="inlineStr">
        <is>
          <t>🔴 Avoid</t>
        </is>
      </c>
      <c r="U176" s="83" t="inlineStr">
        <is>
          <t>FULL</t>
        </is>
      </c>
    </row>
    <row r="177" ht="16" customHeight="1">
      <c r="A177" s="13" t="n">
        <v>173</v>
      </c>
      <c r="B177" s="14" t="inlineStr">
        <is>
          <t>BANDHAN CRISIL IBX GILT APRIL 2032 INDEX FUND - REGULAR GROWTH</t>
        </is>
      </c>
      <c r="C177" s="14" t="inlineStr">
        <is>
          <t>Bandhan Mutual Fund</t>
        </is>
      </c>
      <c r="D177" s="14" t="inlineStr">
        <is>
          <t>Index Funds</t>
        </is>
      </c>
      <c r="E177" s="14" t="inlineStr">
        <is>
          <t>GILT</t>
        </is>
      </c>
      <c r="F177" s="15" t="n">
        <v>0.49</v>
      </c>
      <c r="G177" s="15" t="n">
        <v>3.76</v>
      </c>
      <c r="H177" s="15" t="n">
        <v>3.03</v>
      </c>
      <c r="I177" s="15" t="n">
        <v>5.61</v>
      </c>
      <c r="J177" s="15" t="n">
        <v>7.280007457121296</v>
      </c>
      <c r="K177" s="15" t="n">
        <v>25.39</v>
      </c>
      <c r="L177" s="17" t="n">
        <v>57.7</v>
      </c>
      <c r="M177" s="18" t="n">
        <v>0</v>
      </c>
      <c r="N177" s="19" t="n">
        <v>31.7</v>
      </c>
      <c r="O177" s="108">
        <f>COUNTIFS($E:$E,$E177,$L:$L,"&gt;"&amp;$L177)+1</f>
        <v/>
      </c>
      <c r="P177" s="108">
        <f>COUNTIFS($E:$E,$E177,$M:$M,"&gt;"&amp;$M177)+1</f>
        <v/>
      </c>
      <c r="Q177" s="108">
        <f>COUNTIFS($E:$E,$E177,$N:$N,"&gt;"&amp;$N177)+1</f>
        <v/>
      </c>
      <c r="R177" s="20" t="inlineStr">
        <is>
          <t>➡️ Neutral</t>
        </is>
      </c>
      <c r="S177" s="20" t="inlineStr">
        <is>
          <t>🔴 Not Qualified</t>
        </is>
      </c>
      <c r="T177" s="20" t="inlineStr">
        <is>
          <t>🔴 Avoid</t>
        </is>
      </c>
      <c r="U177" s="83" t="inlineStr">
        <is>
          <t>FULL</t>
        </is>
      </c>
    </row>
    <row r="178" ht="16" customHeight="1">
      <c r="A178" s="28" t="n">
        <v>174</v>
      </c>
      <c r="B178" s="29" t="inlineStr">
        <is>
          <t>Edelweiss Nifty Midcap150 Momentum 50 Index Fund - Regular Plan - Growth</t>
        </is>
      </c>
      <c r="C178" s="29" t="inlineStr">
        <is>
          <t>Edelweiss Mutual Fund</t>
        </is>
      </c>
      <c r="D178" s="29" t="inlineStr">
        <is>
          <t>Index Funds</t>
        </is>
      </c>
      <c r="E178" s="29" t="inlineStr">
        <is>
          <t>Index Fund</t>
        </is>
      </c>
      <c r="F178" s="30" t="n">
        <v>3.16</v>
      </c>
      <c r="G178" s="30" t="n">
        <v>3.37</v>
      </c>
      <c r="H178" s="30" t="n">
        <v>1.84</v>
      </c>
      <c r="I178" s="30" t="n">
        <v>5.32</v>
      </c>
      <c r="J178" s="91" t="n">
        <v>-0.717574566290935</v>
      </c>
      <c r="K178" s="30" t="n">
        <v>61.22</v>
      </c>
      <c r="L178" s="17" t="n">
        <v>57.7</v>
      </c>
      <c r="M178" s="18" t="n">
        <v>0</v>
      </c>
      <c r="N178" s="19" t="n">
        <v>31.7</v>
      </c>
      <c r="O178" s="108">
        <f>COUNTIFS($E:$E,$E178,$L:$L,"&gt;"&amp;$L178)+1</f>
        <v/>
      </c>
      <c r="P178" s="108">
        <f>COUNTIFS($E:$E,$E178,$M:$M,"&gt;"&amp;$M178)+1</f>
        <v/>
      </c>
      <c r="Q178" s="108">
        <f>COUNTIFS($E:$E,$E178,$N:$N,"&gt;"&amp;$N178)+1</f>
        <v/>
      </c>
      <c r="R178" s="31" t="inlineStr">
        <is>
          <t>➡️ Neutral</t>
        </is>
      </c>
      <c r="S178" s="31" t="inlineStr">
        <is>
          <t>🔴 Not Qualified</t>
        </is>
      </c>
      <c r="T178" s="31" t="inlineStr">
        <is>
          <t>🔴 Avoid</t>
        </is>
      </c>
      <c r="U178" s="83" t="inlineStr">
        <is>
          <t>FULL</t>
        </is>
      </c>
    </row>
    <row r="179" ht="16" customHeight="1">
      <c r="A179" s="13" t="n">
        <v>175</v>
      </c>
      <c r="B179" s="14" t="inlineStr">
        <is>
          <t>Bandhan Income Plus Arbitrage Active FOF - Regular Plan - Growth</t>
        </is>
      </c>
      <c r="C179" s="14" t="inlineStr">
        <is>
          <t>Bandhan Mutual Fund</t>
        </is>
      </c>
      <c r="D179" s="14" t="inlineStr">
        <is>
          <t>Fof Domestic</t>
        </is>
      </c>
      <c r="E179" s="14" t="inlineStr">
        <is>
          <t>Standard Equity/Debt</t>
        </is>
      </c>
      <c r="F179" s="15" t="n">
        <v>0.51</v>
      </c>
      <c r="G179" s="15" t="n">
        <v>2.26</v>
      </c>
      <c r="H179" s="15" t="n">
        <v>3.23</v>
      </c>
      <c r="I179" s="15" t="n">
        <v>5.94</v>
      </c>
      <c r="J179" s="15" t="n">
        <v>6.925207505059339</v>
      </c>
      <c r="K179" s="15" t="n">
        <v>23</v>
      </c>
      <c r="L179" s="17" t="n">
        <v>57.6</v>
      </c>
      <c r="M179" s="18" t="n">
        <v>0</v>
      </c>
      <c r="N179" s="19" t="n">
        <v>31.7</v>
      </c>
      <c r="O179" s="108">
        <f>COUNTIFS($E:$E,$E179,$L:$L,"&gt;"&amp;$L179)+1</f>
        <v/>
      </c>
      <c r="P179" s="108">
        <f>COUNTIFS($E:$E,$E179,$M:$M,"&gt;"&amp;$M179)+1</f>
        <v/>
      </c>
      <c r="Q179" s="108">
        <f>COUNTIFS($E:$E,$E179,$N:$N,"&gt;"&amp;$N179)+1</f>
        <v/>
      </c>
      <c r="R179" s="20" t="inlineStr">
        <is>
          <t>➡️ Neutral</t>
        </is>
      </c>
      <c r="S179" s="20" t="inlineStr">
        <is>
          <t>🔴 Not Qualified</t>
        </is>
      </c>
      <c r="T179" s="20" t="inlineStr">
        <is>
          <t>🔴 Avoid</t>
        </is>
      </c>
      <c r="U179" s="83" t="inlineStr">
        <is>
          <t>FULL</t>
        </is>
      </c>
    </row>
    <row r="180" ht="16" customHeight="1">
      <c r="A180" s="28" t="n">
        <v>176</v>
      </c>
      <c r="B180" s="29" t="inlineStr">
        <is>
          <t>BHARAT Bond ETF- April 2031</t>
        </is>
      </c>
      <c r="C180" s="29" t="inlineStr">
        <is>
          <t>Edelweiss Mutual Fund</t>
        </is>
      </c>
      <c r="D180" s="29" t="inlineStr">
        <is>
          <t>Other  Etfs</t>
        </is>
      </c>
      <c r="E180" s="29" t="inlineStr">
        <is>
          <t>Standard Equity/Debt</t>
        </is>
      </c>
      <c r="F180" s="30" t="n">
        <v>0.34</v>
      </c>
      <c r="G180" s="30" t="n">
        <v>3.53</v>
      </c>
      <c r="H180" s="30" t="n">
        <v>2.86</v>
      </c>
      <c r="I180" s="30" t="n">
        <v>5.22</v>
      </c>
      <c r="J180" s="30" t="n">
        <v>7.4476616776745</v>
      </c>
      <c r="K180" s="30" t="n">
        <v>25.36</v>
      </c>
      <c r="L180" s="17" t="n">
        <v>57.5</v>
      </c>
      <c r="M180" s="18" t="n">
        <v>0</v>
      </c>
      <c r="N180" s="19" t="n">
        <v>31.6</v>
      </c>
      <c r="O180" s="108">
        <f>COUNTIFS($E:$E,$E180,$L:$L,"&gt;"&amp;$L180)+1</f>
        <v/>
      </c>
      <c r="P180" s="108">
        <f>COUNTIFS($E:$E,$E180,$M:$M,"&gt;"&amp;$M180)+1</f>
        <v/>
      </c>
      <c r="Q180" s="108">
        <f>COUNTIFS($E:$E,$E180,$N:$N,"&gt;"&amp;$N180)+1</f>
        <v/>
      </c>
      <c r="R180" s="31" t="inlineStr">
        <is>
          <t>➡️ Neutral</t>
        </is>
      </c>
      <c r="S180" s="31" t="inlineStr">
        <is>
          <t>🔴 Not Qualified</t>
        </is>
      </c>
      <c r="T180" s="31" t="inlineStr">
        <is>
          <t>🔴 Avoid</t>
        </is>
      </c>
      <c r="U180" s="83" t="inlineStr">
        <is>
          <t>FULL</t>
        </is>
      </c>
    </row>
    <row r="181" ht="16" customHeight="1">
      <c r="A181" s="13" t="n">
        <v>177</v>
      </c>
      <c r="B181" s="14" t="inlineStr">
        <is>
          <t>DSP CRISIL-IBX 50:50 Gilt Plus SDL - April 2033 Index Fund - Regular - Growth</t>
        </is>
      </c>
      <c r="C181" s="14" t="inlineStr">
        <is>
          <t>DSP Mutual Fund</t>
        </is>
      </c>
      <c r="D181" s="14" t="inlineStr">
        <is>
          <t>Index Funds</t>
        </is>
      </c>
      <c r="E181" s="14" t="inlineStr">
        <is>
          <t>GILT</t>
        </is>
      </c>
      <c r="F181" s="15" t="n">
        <v>0.6</v>
      </c>
      <c r="G181" s="15" t="n">
        <v>3.73</v>
      </c>
      <c r="H181" s="15" t="n">
        <v>3.16</v>
      </c>
      <c r="I181" s="15" t="n">
        <v>5.27</v>
      </c>
      <c r="J181" s="15" t="n">
        <v>7.00467279516348</v>
      </c>
      <c r="K181" s="15" t="n">
        <v>24.62</v>
      </c>
      <c r="L181" s="17" t="n">
        <v>57.4</v>
      </c>
      <c r="M181" s="18" t="n">
        <v>0</v>
      </c>
      <c r="N181" s="19" t="n">
        <v>31.6</v>
      </c>
      <c r="O181" s="108">
        <f>COUNTIFS($E:$E,$E181,$L:$L,"&gt;"&amp;$L181)+1</f>
        <v/>
      </c>
      <c r="P181" s="108">
        <f>COUNTIFS($E:$E,$E181,$M:$M,"&gt;"&amp;$M181)+1</f>
        <v/>
      </c>
      <c r="Q181" s="108">
        <f>COUNTIFS($E:$E,$E181,$N:$N,"&gt;"&amp;$N181)+1</f>
        <v/>
      </c>
      <c r="R181" s="20" t="inlineStr">
        <is>
          <t>➡️ Neutral</t>
        </is>
      </c>
      <c r="S181" s="20" t="inlineStr">
        <is>
          <t>🔴 Not Qualified</t>
        </is>
      </c>
      <c r="T181" s="20" t="inlineStr">
        <is>
          <t>🔴 Avoid</t>
        </is>
      </c>
      <c r="U181" s="83" t="inlineStr">
        <is>
          <t>FULL</t>
        </is>
      </c>
    </row>
    <row r="182" ht="16" customHeight="1">
      <c r="A182" s="28" t="n">
        <v>178</v>
      </c>
      <c r="B182" s="29" t="inlineStr">
        <is>
          <t>ICICI Prudential Nifty SDL Sep 2027 Index Fund - Growth</t>
        </is>
      </c>
      <c r="C182" s="29" t="inlineStr">
        <is>
          <t>ICICI Prudential Mutual Fund</t>
        </is>
      </c>
      <c r="D182" s="29" t="inlineStr">
        <is>
          <t>Index Funds</t>
        </is>
      </c>
      <c r="E182" s="29" t="inlineStr">
        <is>
          <t>Index Fund</t>
        </is>
      </c>
      <c r="F182" s="30" t="n">
        <v>0.61</v>
      </c>
      <c r="G182" s="30" t="n">
        <v>2.13</v>
      </c>
      <c r="H182" s="30" t="n">
        <v>2.97</v>
      </c>
      <c r="I182" s="30" t="n">
        <v>6</v>
      </c>
      <c r="J182" s="30" t="n">
        <v>7.196082017954364</v>
      </c>
      <c r="K182" s="30" t="n">
        <v>24.34</v>
      </c>
      <c r="L182" s="17" t="n">
        <v>57.4</v>
      </c>
      <c r="M182" s="18" t="n">
        <v>0</v>
      </c>
      <c r="N182" s="19" t="n">
        <v>31.5</v>
      </c>
      <c r="O182" s="108">
        <f>COUNTIFS($E:$E,$E182,$L:$L,"&gt;"&amp;$L182)+1</f>
        <v/>
      </c>
      <c r="P182" s="108">
        <f>COUNTIFS($E:$E,$E182,$M:$M,"&gt;"&amp;$M182)+1</f>
        <v/>
      </c>
      <c r="Q182" s="108">
        <f>COUNTIFS($E:$E,$E182,$N:$N,"&gt;"&amp;$N182)+1</f>
        <v/>
      </c>
      <c r="R182" s="31" t="inlineStr">
        <is>
          <t>➡️ Neutral</t>
        </is>
      </c>
      <c r="S182" s="31" t="inlineStr">
        <is>
          <t>🔴 Not Qualified</t>
        </is>
      </c>
      <c r="T182" s="31" t="inlineStr">
        <is>
          <t>🔴 Avoid</t>
        </is>
      </c>
      <c r="U182" s="83" t="inlineStr">
        <is>
          <t>FULL</t>
        </is>
      </c>
    </row>
    <row r="183" ht="16" customHeight="1">
      <c r="A183" s="13" t="n">
        <v>179</v>
      </c>
      <c r="B183" s="14" t="inlineStr">
        <is>
          <t>BANDHAN CRISIL IBX 90:10 SDL PLUS GILT APRIL 2032 INDEX FUND - REGULAR GROWTH</t>
        </is>
      </c>
      <c r="C183" s="14" t="inlineStr">
        <is>
          <t>Bandhan Mutual Fund</t>
        </is>
      </c>
      <c r="D183" s="14" t="inlineStr">
        <is>
          <t>Index Funds</t>
        </is>
      </c>
      <c r="E183" s="14" t="inlineStr">
        <is>
          <t>GILT</t>
        </is>
      </c>
      <c r="F183" s="15" t="n">
        <v>0.58</v>
      </c>
      <c r="G183" s="15" t="n">
        <v>4.06</v>
      </c>
      <c r="H183" s="15" t="n">
        <v>3.22</v>
      </c>
      <c r="I183" s="15" t="n">
        <v>5.07</v>
      </c>
      <c r="J183" s="15" t="n">
        <v>7.242715370322483</v>
      </c>
      <c r="K183" s="15" t="n">
        <v>25.01</v>
      </c>
      <c r="L183" s="17" t="n">
        <v>57.2</v>
      </c>
      <c r="M183" s="18" t="n">
        <v>0</v>
      </c>
      <c r="N183" s="19" t="n">
        <v>31.5</v>
      </c>
      <c r="O183" s="108">
        <f>COUNTIFS($E:$E,$E183,$L:$L,"&gt;"&amp;$L183)+1</f>
        <v/>
      </c>
      <c r="P183" s="108">
        <f>COUNTIFS($E:$E,$E183,$M:$M,"&gt;"&amp;$M183)+1</f>
        <v/>
      </c>
      <c r="Q183" s="108">
        <f>COUNTIFS($E:$E,$E183,$N:$N,"&gt;"&amp;$N183)+1</f>
        <v/>
      </c>
      <c r="R183" s="20" t="inlineStr">
        <is>
          <t>➡️ Neutral</t>
        </is>
      </c>
      <c r="S183" s="20" t="inlineStr">
        <is>
          <t>🔴 Not Qualified</t>
        </is>
      </c>
      <c r="T183" s="20" t="inlineStr">
        <is>
          <t>🔴 Avoid</t>
        </is>
      </c>
      <c r="U183" s="83" t="inlineStr">
        <is>
          <t>FULL</t>
        </is>
      </c>
    </row>
    <row r="184" ht="16" customHeight="1">
      <c r="A184" s="28" t="n">
        <v>180</v>
      </c>
      <c r="B184" s="29" t="inlineStr">
        <is>
          <t>Kotak Nifty SDL Apr 2032 Top 12 Equal Weight Index Fund-Regular Plan-Growth</t>
        </is>
      </c>
      <c r="C184" s="29" t="inlineStr">
        <is>
          <t>Kotak Mahindra Mutual Fund</t>
        </is>
      </c>
      <c r="D184" s="29" t="inlineStr">
        <is>
          <t>Index Funds</t>
        </is>
      </c>
      <c r="E184" s="29" t="inlineStr">
        <is>
          <t>Index Fund</t>
        </is>
      </c>
      <c r="F184" s="30" t="n">
        <v>0.6</v>
      </c>
      <c r="G184" s="30" t="n">
        <v>4.09</v>
      </c>
      <c r="H184" s="30" t="n">
        <v>3.13</v>
      </c>
      <c r="I184" s="30" t="n">
        <v>4.83</v>
      </c>
      <c r="J184" s="30" t="n">
        <v>7.126093926736643</v>
      </c>
      <c r="K184" s="30" t="n">
        <v>24.59</v>
      </c>
      <c r="L184" s="17" t="n">
        <v>57.2</v>
      </c>
      <c r="M184" s="18" t="n">
        <v>0</v>
      </c>
      <c r="N184" s="19" t="n">
        <v>31.5</v>
      </c>
      <c r="O184" s="108">
        <f>COUNTIFS($E:$E,$E184,$L:$L,"&gt;"&amp;$L184)+1</f>
        <v/>
      </c>
      <c r="P184" s="108">
        <f>COUNTIFS($E:$E,$E184,$M:$M,"&gt;"&amp;$M184)+1</f>
        <v/>
      </c>
      <c r="Q184" s="108">
        <f>COUNTIFS($E:$E,$E184,$N:$N,"&gt;"&amp;$N184)+1</f>
        <v/>
      </c>
      <c r="R184" s="31" t="inlineStr">
        <is>
          <t>➡️ Neutral</t>
        </is>
      </c>
      <c r="S184" s="31" t="inlineStr">
        <is>
          <t>🔴 Not Qualified</t>
        </is>
      </c>
      <c r="T184" s="31" t="inlineStr">
        <is>
          <t>🔴 Avoid</t>
        </is>
      </c>
      <c r="U184" s="83" t="inlineStr">
        <is>
          <t>FULL</t>
        </is>
      </c>
    </row>
    <row r="185" ht="16" customHeight="1">
      <c r="A185" s="13" t="n">
        <v>181</v>
      </c>
      <c r="B185" s="14" t="inlineStr">
        <is>
          <t>BHARAT Bond ETF FOF - April 2032 Regular Plan Growth</t>
        </is>
      </c>
      <c r="C185" s="14" t="inlineStr">
        <is>
          <t>Edelweiss Mutual Fund</t>
        </is>
      </c>
      <c r="D185" s="14" t="inlineStr">
        <is>
          <t>Fof Domestic</t>
        </is>
      </c>
      <c r="E185" s="14" t="inlineStr">
        <is>
          <t>Standard Equity/Debt</t>
        </is>
      </c>
      <c r="F185" s="15" t="n">
        <v>0.5</v>
      </c>
      <c r="G185" s="15" t="n">
        <v>3.84</v>
      </c>
      <c r="H185" s="15" t="n">
        <v>3.04</v>
      </c>
      <c r="I185" s="15" t="n">
        <v>5.86</v>
      </c>
      <c r="J185" s="15" t="n">
        <v>7.596468343528828</v>
      </c>
      <c r="K185" s="15" t="n">
        <v>25.94</v>
      </c>
      <c r="L185" s="17" t="n">
        <v>57</v>
      </c>
      <c r="M185" s="18" t="n">
        <v>0</v>
      </c>
      <c r="N185" s="19" t="n">
        <v>31.3</v>
      </c>
      <c r="O185" s="108">
        <f>COUNTIFS($E:$E,$E185,$L:$L,"&gt;"&amp;$L185)+1</f>
        <v/>
      </c>
      <c r="P185" s="108">
        <f>COUNTIFS($E:$E,$E185,$M:$M,"&gt;"&amp;$M185)+1</f>
        <v/>
      </c>
      <c r="Q185" s="108">
        <f>COUNTIFS($E:$E,$E185,$N:$N,"&gt;"&amp;$N185)+1</f>
        <v/>
      </c>
      <c r="R185" s="20" t="inlineStr">
        <is>
          <t>➡️ Neutral</t>
        </is>
      </c>
      <c r="S185" s="20" t="inlineStr">
        <is>
          <t>🔴 Not Qualified</t>
        </is>
      </c>
      <c r="T185" s="20" t="inlineStr">
        <is>
          <t>🔴 Avoid</t>
        </is>
      </c>
      <c r="U185" s="83" t="inlineStr">
        <is>
          <t>FULL</t>
        </is>
      </c>
    </row>
    <row r="186" ht="16" customHeight="1">
      <c r="A186" s="28" t="n">
        <v>182</v>
      </c>
      <c r="B186" s="29" t="inlineStr">
        <is>
          <t>HDFC NIFTY200 MOMENTUM 30 ETF - Growth Option</t>
        </is>
      </c>
      <c r="C186" s="29" t="inlineStr">
        <is>
          <t>HDFC Mutual Fund</t>
        </is>
      </c>
      <c r="D186" s="29" t="inlineStr">
        <is>
          <t>Other  Etfs</t>
        </is>
      </c>
      <c r="E186" s="29" t="inlineStr">
        <is>
          <t>Index Fund</t>
        </is>
      </c>
      <c r="F186" s="30" t="n">
        <v>3.05</v>
      </c>
      <c r="G186" s="30" t="n">
        <v>3.86</v>
      </c>
      <c r="H186" s="91" t="n">
        <v>-1.88</v>
      </c>
      <c r="I186" s="30" t="n">
        <v>3.03</v>
      </c>
      <c r="J186" s="91" t="n">
        <v>-6.731570185834046</v>
      </c>
      <c r="K186" s="91" t="n">
        <v>-85.55</v>
      </c>
      <c r="L186" s="17" t="n">
        <v>56.9</v>
      </c>
      <c r="M186" s="18" t="n">
        <v>0</v>
      </c>
      <c r="N186" s="19" t="n">
        <v>31.3</v>
      </c>
      <c r="O186" s="108">
        <f>COUNTIFS($E:$E,$E186,$L:$L,"&gt;"&amp;$L186)+1</f>
        <v/>
      </c>
      <c r="P186" s="108">
        <f>COUNTIFS($E:$E,$E186,$M:$M,"&gt;"&amp;$M186)+1</f>
        <v/>
      </c>
      <c r="Q186" s="108">
        <f>COUNTIFS($E:$E,$E186,$N:$N,"&gt;"&amp;$N186)+1</f>
        <v/>
      </c>
      <c r="R186" s="31" t="inlineStr">
        <is>
          <t>➡️ Neutral</t>
        </is>
      </c>
      <c r="S186" s="31" t="inlineStr">
        <is>
          <t>🔴 Not Qualified</t>
        </is>
      </c>
      <c r="T186" s="31" t="inlineStr">
        <is>
          <t>🔴 Avoid</t>
        </is>
      </c>
      <c r="U186" s="83" t="inlineStr">
        <is>
          <t>FULL</t>
        </is>
      </c>
    </row>
    <row r="187" ht="16" customHeight="1">
      <c r="A187" s="13" t="n">
        <v>183</v>
      </c>
      <c r="B187" s="14" t="inlineStr">
        <is>
          <t>Bharat Bond ETF - April 2030</t>
        </is>
      </c>
      <c r="C187" s="14" t="inlineStr">
        <is>
          <t>Edelweiss Mutual Fund</t>
        </is>
      </c>
      <c r="D187" s="14" t="inlineStr">
        <is>
          <t>Other  Etfs</t>
        </is>
      </c>
      <c r="E187" s="14" t="inlineStr">
        <is>
          <t>Standard Equity/Debt</t>
        </is>
      </c>
      <c r="F187" s="15" t="n">
        <v>0.45</v>
      </c>
      <c r="G187" s="15" t="n">
        <v>3.15</v>
      </c>
      <c r="H187" s="15" t="n">
        <v>2.82</v>
      </c>
      <c r="I187" s="15" t="n">
        <v>5.59</v>
      </c>
      <c r="J187" s="15" t="n">
        <v>7.503488315496076</v>
      </c>
      <c r="K187" s="15" t="n">
        <v>25.27</v>
      </c>
      <c r="L187" s="17" t="n">
        <v>56.7</v>
      </c>
      <c r="M187" s="18" t="n">
        <v>0</v>
      </c>
      <c r="N187" s="19" t="n">
        <v>31.2</v>
      </c>
      <c r="O187" s="108">
        <f>COUNTIFS($E:$E,$E187,$L:$L,"&gt;"&amp;$L187)+1</f>
        <v/>
      </c>
      <c r="P187" s="108">
        <f>COUNTIFS($E:$E,$E187,$M:$M,"&gt;"&amp;$M187)+1</f>
        <v/>
      </c>
      <c r="Q187" s="108">
        <f>COUNTIFS($E:$E,$E187,$N:$N,"&gt;"&amp;$N187)+1</f>
        <v/>
      </c>
      <c r="R187" s="20" t="inlineStr">
        <is>
          <t>➡️ Neutral</t>
        </is>
      </c>
      <c r="S187" s="20" t="inlineStr">
        <is>
          <t>🔴 Not Qualified</t>
        </is>
      </c>
      <c r="T187" s="20" t="inlineStr">
        <is>
          <t>🔴 Avoid</t>
        </is>
      </c>
      <c r="U187" s="83" t="inlineStr">
        <is>
          <t>FULL</t>
        </is>
      </c>
    </row>
    <row r="188" ht="16" customHeight="1">
      <c r="A188" s="28" t="n">
        <v>184</v>
      </c>
      <c r="B188" s="29" t="inlineStr">
        <is>
          <t>ICICI Prudential Nifty 200 Momentum 30 ETF</t>
        </is>
      </c>
      <c r="C188" s="29" t="inlineStr">
        <is>
          <t>ICICI Prudential Mutual Fund</t>
        </is>
      </c>
      <c r="D188" s="29" t="inlineStr">
        <is>
          <t>Other  Etfs</t>
        </is>
      </c>
      <c r="E188" s="29" t="inlineStr">
        <is>
          <t>Index Fund</t>
        </is>
      </c>
      <c r="F188" s="30" t="n">
        <v>3.06</v>
      </c>
      <c r="G188" s="30" t="n">
        <v>3.84</v>
      </c>
      <c r="H188" s="91" t="n">
        <v>-1.89</v>
      </c>
      <c r="I188" s="30" t="n">
        <v>2.95</v>
      </c>
      <c r="J188" s="91" t="n">
        <v>-6.876426185417472</v>
      </c>
      <c r="K188" s="30" t="n">
        <v>44.24</v>
      </c>
      <c r="L188" s="17" t="n">
        <v>56.7</v>
      </c>
      <c r="M188" s="18" t="n">
        <v>0</v>
      </c>
      <c r="N188" s="19" t="n">
        <v>31.2</v>
      </c>
      <c r="O188" s="108">
        <f>COUNTIFS($E:$E,$E188,$L:$L,"&gt;"&amp;$L188)+1</f>
        <v/>
      </c>
      <c r="P188" s="108">
        <f>COUNTIFS($E:$E,$E188,$M:$M,"&gt;"&amp;$M188)+1</f>
        <v/>
      </c>
      <c r="Q188" s="108">
        <f>COUNTIFS($E:$E,$E188,$N:$N,"&gt;"&amp;$N188)+1</f>
        <v/>
      </c>
      <c r="R188" s="31" t="inlineStr">
        <is>
          <t>➡️ Neutral</t>
        </is>
      </c>
      <c r="S188" s="31" t="inlineStr">
        <is>
          <t>🔴 Not Qualified</t>
        </is>
      </c>
      <c r="T188" s="31" t="inlineStr">
        <is>
          <t>🔴 Avoid</t>
        </is>
      </c>
      <c r="U188" s="83" t="inlineStr">
        <is>
          <t>FULL</t>
        </is>
      </c>
    </row>
    <row r="189" ht="16" customHeight="1">
      <c r="A189" s="13" t="n">
        <v>185</v>
      </c>
      <c r="B189" s="14" t="inlineStr">
        <is>
          <t>HDFC BSE 500 ETF - Growth Option</t>
        </is>
      </c>
      <c r="C189" s="14" t="inlineStr">
        <is>
          <t>HDFC Mutual Fund</t>
        </is>
      </c>
      <c r="D189" s="14" t="inlineStr">
        <is>
          <t>Other  Etfs</t>
        </is>
      </c>
      <c r="E189" s="14" t="inlineStr">
        <is>
          <t>Index Fund</t>
        </is>
      </c>
      <c r="F189" s="15" t="n">
        <v>0.8100000000000001</v>
      </c>
      <c r="G189" s="15" t="n">
        <v>4.84</v>
      </c>
      <c r="H189" s="16" t="n">
        <v>-0.39</v>
      </c>
      <c r="I189" s="15" t="n">
        <v>3.87</v>
      </c>
      <c r="J189" s="15" t="n">
        <v>1.163234428323823</v>
      </c>
      <c r="K189" s="15" t="n">
        <v>41.36</v>
      </c>
      <c r="L189" s="17" t="n">
        <v>56.6</v>
      </c>
      <c r="M189" s="18" t="n">
        <v>0</v>
      </c>
      <c r="N189" s="19" t="n">
        <v>31.2</v>
      </c>
      <c r="O189" s="108">
        <f>COUNTIFS($E:$E,$E189,$L:$L,"&gt;"&amp;$L189)+1</f>
        <v/>
      </c>
      <c r="P189" s="108">
        <f>COUNTIFS($E:$E,$E189,$M:$M,"&gt;"&amp;$M189)+1</f>
        <v/>
      </c>
      <c r="Q189" s="108">
        <f>COUNTIFS($E:$E,$E189,$N:$N,"&gt;"&amp;$N189)+1</f>
        <v/>
      </c>
      <c r="R189" s="20" t="inlineStr">
        <is>
          <t>➡️ Neutral</t>
        </is>
      </c>
      <c r="S189" s="20" t="inlineStr">
        <is>
          <t>🔴 Not Qualified</t>
        </is>
      </c>
      <c r="T189" s="20" t="inlineStr">
        <is>
          <t>🔴 Avoid</t>
        </is>
      </c>
      <c r="U189" s="83" t="inlineStr">
        <is>
          <t>FULL</t>
        </is>
      </c>
    </row>
    <row r="190" ht="16" customHeight="1">
      <c r="A190" s="28" t="n">
        <v>186</v>
      </c>
      <c r="B190" s="29" t="inlineStr">
        <is>
          <t>ICICI Prudential BSE 500 ETF</t>
        </is>
      </c>
      <c r="C190" s="29" t="inlineStr">
        <is>
          <t>ICICI Prudential Mutual Fund</t>
        </is>
      </c>
      <c r="D190" s="29" t="inlineStr">
        <is>
          <t>Other  Etfs</t>
        </is>
      </c>
      <c r="E190" s="29" t="inlineStr">
        <is>
          <t>Index Fund</t>
        </is>
      </c>
      <c r="F190" s="30" t="n">
        <v>0.8100000000000001</v>
      </c>
      <c r="G190" s="30" t="n">
        <v>4.84</v>
      </c>
      <c r="H190" s="91" t="n">
        <v>-0.39</v>
      </c>
      <c r="I190" s="30" t="n">
        <v>3.85</v>
      </c>
      <c r="J190" s="30" t="n">
        <v>1.178060863015173</v>
      </c>
      <c r="K190" s="30" t="n">
        <v>41.35</v>
      </c>
      <c r="L190" s="17" t="n">
        <v>56.4</v>
      </c>
      <c r="M190" s="18" t="n">
        <v>0</v>
      </c>
      <c r="N190" s="19" t="n">
        <v>31</v>
      </c>
      <c r="O190" s="108">
        <f>COUNTIFS($E:$E,$E190,$L:$L,"&gt;"&amp;$L190)+1</f>
        <v/>
      </c>
      <c r="P190" s="108">
        <f>COUNTIFS($E:$E,$E190,$M:$M,"&gt;"&amp;$M190)+1</f>
        <v/>
      </c>
      <c r="Q190" s="108">
        <f>COUNTIFS($E:$E,$E190,$N:$N,"&gt;"&amp;$N190)+1</f>
        <v/>
      </c>
      <c r="R190" s="31" t="inlineStr">
        <is>
          <t>➡️ Neutral</t>
        </is>
      </c>
      <c r="S190" s="31" t="inlineStr">
        <is>
          <t>🔴 Not Qualified</t>
        </is>
      </c>
      <c r="T190" s="31" t="inlineStr">
        <is>
          <t>🔴 Avoid</t>
        </is>
      </c>
      <c r="U190" s="83" t="inlineStr">
        <is>
          <t>FULL</t>
        </is>
      </c>
    </row>
    <row r="191" ht="16" customHeight="1">
      <c r="A191" s="13" t="n">
        <v>187</v>
      </c>
      <c r="B191" s="14" t="inlineStr">
        <is>
          <t>Aditya Birla Sun Life Nifty 200 Momentum 30 ETF</t>
        </is>
      </c>
      <c r="C191" s="14" t="inlineStr">
        <is>
          <t>Aditya Birla Sun Life Mutual Fund</t>
        </is>
      </c>
      <c r="D191" s="14" t="inlineStr">
        <is>
          <t>Other  Etfs</t>
        </is>
      </c>
      <c r="E191" s="14" t="inlineStr">
        <is>
          <t>Index Fund</t>
        </is>
      </c>
      <c r="F191" s="15" t="n">
        <v>3.05</v>
      </c>
      <c r="G191" s="15" t="n">
        <v>3.82</v>
      </c>
      <c r="H191" s="16" t="n">
        <v>-1.89</v>
      </c>
      <c r="I191" s="15" t="n">
        <v>2.91</v>
      </c>
      <c r="J191" s="16" t="n">
        <v>-6.838849298648098</v>
      </c>
      <c r="K191" s="15" t="n">
        <v>44.6</v>
      </c>
      <c r="L191" s="17" t="n">
        <v>56</v>
      </c>
      <c r="M191" s="18" t="n">
        <v>0</v>
      </c>
      <c r="N191" s="19" t="n">
        <v>30.8</v>
      </c>
      <c r="O191" s="108">
        <f>COUNTIFS($E:$E,$E191,$L:$L,"&gt;"&amp;$L191)+1</f>
        <v/>
      </c>
      <c r="P191" s="108">
        <f>COUNTIFS($E:$E,$E191,$M:$M,"&gt;"&amp;$M191)+1</f>
        <v/>
      </c>
      <c r="Q191" s="108">
        <f>COUNTIFS($E:$E,$E191,$N:$N,"&gt;"&amp;$N191)+1</f>
        <v/>
      </c>
      <c r="R191" s="20" t="inlineStr">
        <is>
          <t>➡️ Neutral</t>
        </is>
      </c>
      <c r="S191" s="20" t="inlineStr">
        <is>
          <t>🔴 Not Qualified</t>
        </is>
      </c>
      <c r="T191" s="20" t="inlineStr">
        <is>
          <t>🔴 Avoid</t>
        </is>
      </c>
      <c r="U191" s="83" t="inlineStr">
        <is>
          <t>FULL</t>
        </is>
      </c>
    </row>
    <row r="192" ht="16" customHeight="1">
      <c r="A192" s="28" t="n">
        <v>188</v>
      </c>
      <c r="B192" s="29" t="inlineStr">
        <is>
          <t>Nippon India Nifty Alpha Low Volatility 30 Index Fund - Regular Plan - Growth Option</t>
        </is>
      </c>
      <c r="C192" s="29" t="inlineStr">
        <is>
          <t>Nippon India Mutual Fund</t>
        </is>
      </c>
      <c r="D192" s="29" t="inlineStr">
        <is>
          <t>Index Funds</t>
        </is>
      </c>
      <c r="E192" s="29" t="inlineStr">
        <is>
          <t>Index Fund</t>
        </is>
      </c>
      <c r="F192" s="30" t="n">
        <v>1.92</v>
      </c>
      <c r="G192" s="30" t="n">
        <v>6.35</v>
      </c>
      <c r="H192" s="91" t="n">
        <v>-1.15</v>
      </c>
      <c r="I192" s="30" t="n">
        <v>3.78</v>
      </c>
      <c r="J192" s="91" t="n">
        <v>-4.203340350511175</v>
      </c>
      <c r="K192" s="30" t="n">
        <v>40.51</v>
      </c>
      <c r="L192" s="17" t="n">
        <v>55.9</v>
      </c>
      <c r="M192" s="18" t="n">
        <v>0</v>
      </c>
      <c r="N192" s="19" t="n">
        <v>30.8</v>
      </c>
      <c r="O192" s="108">
        <f>COUNTIFS($E:$E,$E192,$L:$L,"&gt;"&amp;$L192)+1</f>
        <v/>
      </c>
      <c r="P192" s="108">
        <f>COUNTIFS($E:$E,$E192,$M:$M,"&gt;"&amp;$M192)+1</f>
        <v/>
      </c>
      <c r="Q192" s="108">
        <f>COUNTIFS($E:$E,$E192,$N:$N,"&gt;"&amp;$N192)+1</f>
        <v/>
      </c>
      <c r="R192" s="31" t="inlineStr">
        <is>
          <t>➡️ Neutral</t>
        </is>
      </c>
      <c r="S192" s="31" t="inlineStr">
        <is>
          <t>🔴 Not Qualified</t>
        </is>
      </c>
      <c r="T192" s="31" t="inlineStr">
        <is>
          <t>🔴 Avoid</t>
        </is>
      </c>
      <c r="U192" s="83" t="inlineStr">
        <is>
          <t>FULL</t>
        </is>
      </c>
    </row>
    <row r="193" ht="16" customHeight="1">
      <c r="A193" s="13" t="n">
        <v>189</v>
      </c>
      <c r="B193" s="14" t="inlineStr">
        <is>
          <t>ICICI Prudential Nifty PSU Bond Plus SDL Sep 2027 40:60 Index Fund - Growth</t>
        </is>
      </c>
      <c r="C193" s="14" t="inlineStr">
        <is>
          <t>ICICI Prudential Mutual Fund</t>
        </is>
      </c>
      <c r="D193" s="14" t="inlineStr">
        <is>
          <t>Index Funds</t>
        </is>
      </c>
      <c r="E193" s="14" t="inlineStr">
        <is>
          <t>Index Fund</t>
        </is>
      </c>
      <c r="F193" s="15" t="n">
        <v>0.61</v>
      </c>
      <c r="G193" s="15" t="n">
        <v>2.11</v>
      </c>
      <c r="H193" s="15" t="n">
        <v>2.92</v>
      </c>
      <c r="I193" s="15" t="n">
        <v>5.85</v>
      </c>
      <c r="J193" s="15" t="n">
        <v>7.163426596950506</v>
      </c>
      <c r="K193" s="15" t="n">
        <v>23.89</v>
      </c>
      <c r="L193" s="17" t="n">
        <v>55.7</v>
      </c>
      <c r="M193" s="18" t="n">
        <v>0</v>
      </c>
      <c r="N193" s="19" t="n">
        <v>30.6</v>
      </c>
      <c r="O193" s="108">
        <f>COUNTIFS($E:$E,$E193,$L:$L,"&gt;"&amp;$L193)+1</f>
        <v/>
      </c>
      <c r="P193" s="108">
        <f>COUNTIFS($E:$E,$E193,$M:$M,"&gt;"&amp;$M193)+1</f>
        <v/>
      </c>
      <c r="Q193" s="108">
        <f>COUNTIFS($E:$E,$E193,$N:$N,"&gt;"&amp;$N193)+1</f>
        <v/>
      </c>
      <c r="R193" s="20" t="inlineStr">
        <is>
          <t>➡️ Neutral</t>
        </is>
      </c>
      <c r="S193" s="20" t="inlineStr">
        <is>
          <t>🔴 Not Qualified</t>
        </is>
      </c>
      <c r="T193" s="20" t="inlineStr">
        <is>
          <t>🔴 Avoid</t>
        </is>
      </c>
      <c r="U193" s="83" t="inlineStr">
        <is>
          <t>FULL</t>
        </is>
      </c>
    </row>
    <row r="194" ht="16" customHeight="1">
      <c r="A194" s="28" t="n">
        <v>190</v>
      </c>
      <c r="B194" s="29" t="inlineStr">
        <is>
          <t>Nippon India Nifty AAA CPSE Bond Plus SDL - Apr 2027 Maturity 60:40 Index Fund - Regular Plan - Growth Option</t>
        </is>
      </c>
      <c r="C194" s="29" t="inlineStr">
        <is>
          <t>Nippon India Mutual Fund</t>
        </is>
      </c>
      <c r="D194" s="29" t="inlineStr">
        <is>
          <t>Index Funds</t>
        </is>
      </c>
      <c r="E194" s="29" t="inlineStr">
        <is>
          <t>Index Fund</t>
        </is>
      </c>
      <c r="F194" s="30" t="n">
        <v>0.57</v>
      </c>
      <c r="G194" s="30" t="n">
        <v>1.79</v>
      </c>
      <c r="H194" s="30" t="n">
        <v>3.12</v>
      </c>
      <c r="I194" s="30" t="n">
        <v>6.09</v>
      </c>
      <c r="J194" s="30" t="n">
        <v>7.149428369917121</v>
      </c>
      <c r="K194" s="30" t="n">
        <v>23.59</v>
      </c>
      <c r="L194" s="17" t="n">
        <v>55.7</v>
      </c>
      <c r="M194" s="18" t="n">
        <v>0</v>
      </c>
      <c r="N194" s="19" t="n">
        <v>30.6</v>
      </c>
      <c r="O194" s="108">
        <f>COUNTIFS($E:$E,$E194,$L:$L,"&gt;"&amp;$L194)+1</f>
        <v/>
      </c>
      <c r="P194" s="108">
        <f>COUNTIFS($E:$E,$E194,$M:$M,"&gt;"&amp;$M194)+1</f>
        <v/>
      </c>
      <c r="Q194" s="108">
        <f>COUNTIFS($E:$E,$E194,$N:$N,"&gt;"&amp;$N194)+1</f>
        <v/>
      </c>
      <c r="R194" s="31" t="inlineStr">
        <is>
          <t>➡️ Neutral</t>
        </is>
      </c>
      <c r="S194" s="31" t="inlineStr">
        <is>
          <t>🔴 Not Qualified</t>
        </is>
      </c>
      <c r="T194" s="31" t="inlineStr">
        <is>
          <t>🔴 Avoid</t>
        </is>
      </c>
      <c r="U194" s="83" t="inlineStr">
        <is>
          <t>FULL</t>
        </is>
      </c>
    </row>
    <row r="195" ht="16" customHeight="1">
      <c r="A195" s="13" t="n">
        <v>191</v>
      </c>
      <c r="B195" s="14" t="inlineStr">
        <is>
          <t>BANDHAN CRISIL IBX 90:10 SDL PLUS GILT SEP27 INDEX FUND - REGULAR GROWTH</t>
        </is>
      </c>
      <c r="C195" s="14" t="inlineStr">
        <is>
          <t>Bandhan Mutual Fund</t>
        </is>
      </c>
      <c r="D195" s="14" t="inlineStr">
        <is>
          <t>Index Funds</t>
        </is>
      </c>
      <c r="E195" s="14" t="inlineStr">
        <is>
          <t>GILT</t>
        </is>
      </c>
      <c r="F195" s="15" t="n">
        <v>0.62</v>
      </c>
      <c r="G195" s="15" t="n">
        <v>2.1</v>
      </c>
      <c r="H195" s="15" t="n">
        <v>2.9</v>
      </c>
      <c r="I195" s="15" t="n">
        <v>5.92</v>
      </c>
      <c r="J195" s="15" t="n">
        <v>7.116758726167594</v>
      </c>
      <c r="K195" s="15" t="n">
        <v>24.09</v>
      </c>
      <c r="L195" s="17" t="n">
        <v>55.6</v>
      </c>
      <c r="M195" s="18" t="n">
        <v>0</v>
      </c>
      <c r="N195" s="19" t="n">
        <v>30.6</v>
      </c>
      <c r="O195" s="108">
        <f>COUNTIFS($E:$E,$E195,$L:$L,"&gt;"&amp;$L195)+1</f>
        <v/>
      </c>
      <c r="P195" s="108">
        <f>COUNTIFS($E:$E,$E195,$M:$M,"&gt;"&amp;$M195)+1</f>
        <v/>
      </c>
      <c r="Q195" s="108">
        <f>COUNTIFS($E:$E,$E195,$N:$N,"&gt;"&amp;$N195)+1</f>
        <v/>
      </c>
      <c r="R195" s="20" t="inlineStr">
        <is>
          <t>➡️ Neutral</t>
        </is>
      </c>
      <c r="S195" s="20" t="inlineStr">
        <is>
          <t>🔴 Not Qualified</t>
        </is>
      </c>
      <c r="T195" s="20" t="inlineStr">
        <is>
          <t>🔴 Avoid</t>
        </is>
      </c>
      <c r="U195" s="83" t="inlineStr">
        <is>
          <t>FULL</t>
        </is>
      </c>
    </row>
    <row r="196" ht="16" customHeight="1">
      <c r="A196" s="28" t="n">
        <v>192</v>
      </c>
      <c r="B196" s="29" t="inlineStr">
        <is>
          <t>Kotak Nifty 1D Rate Liquid ETF</t>
        </is>
      </c>
      <c r="C196" s="29" t="inlineStr">
        <is>
          <t>Kotak Mahindra Mutual Fund</t>
        </is>
      </c>
      <c r="D196" s="29" t="inlineStr">
        <is>
          <t>Other  Etfs</t>
        </is>
      </c>
      <c r="E196" s="29" t="inlineStr">
        <is>
          <t>Index Fund</t>
        </is>
      </c>
      <c r="F196" s="30" t="n">
        <v>0.43</v>
      </c>
      <c r="G196" s="30" t="n">
        <v>1.25</v>
      </c>
      <c r="H196" s="30" t="n">
        <v>2.46</v>
      </c>
      <c r="I196" s="30" t="n">
        <v>5.11</v>
      </c>
      <c r="J196" s="30" t="n">
        <v>5.588825166302525</v>
      </c>
      <c r="K196" s="30" t="n">
        <v>11.87</v>
      </c>
      <c r="L196" s="17" t="n">
        <v>55.3</v>
      </c>
      <c r="M196" s="18" t="n">
        <v>0</v>
      </c>
      <c r="N196" s="19" t="n">
        <v>30.4</v>
      </c>
      <c r="O196" s="108">
        <f>COUNTIFS($E:$E,$E196,$L:$L,"&gt;"&amp;$L196)+1</f>
        <v/>
      </c>
      <c r="P196" s="108">
        <f>COUNTIFS($E:$E,$E196,$M:$M,"&gt;"&amp;$M196)+1</f>
        <v/>
      </c>
      <c r="Q196" s="108">
        <f>COUNTIFS($E:$E,$E196,$N:$N,"&gt;"&amp;$N196)+1</f>
        <v/>
      </c>
      <c r="R196" s="31" t="inlineStr">
        <is>
          <t>➡️ Neutral</t>
        </is>
      </c>
      <c r="S196" s="31" t="inlineStr">
        <is>
          <t>🔴 Not Qualified</t>
        </is>
      </c>
      <c r="T196" s="31" t="inlineStr">
        <is>
          <t>🔴 Avoid</t>
        </is>
      </c>
      <c r="U196" s="83" t="inlineStr">
        <is>
          <t>FULL</t>
        </is>
      </c>
    </row>
    <row r="197" ht="16" customHeight="1">
      <c r="A197" s="13" t="n">
        <v>193</v>
      </c>
      <c r="B197" s="14" t="inlineStr">
        <is>
          <t>Aditya Birla Sun Life CRISIL IBX SDL Jun 2032 INDEX FUND - Regular Growth</t>
        </is>
      </c>
      <c r="C197" s="14" t="inlineStr">
        <is>
          <t>Aditya Birla Sun Life Mutual Fund</t>
        </is>
      </c>
      <c r="D197" s="14" t="inlineStr">
        <is>
          <t>Index Funds</t>
        </is>
      </c>
      <c r="E197" s="14" t="inlineStr">
        <is>
          <t>Index Fund</t>
        </is>
      </c>
      <c r="F197" s="15" t="n">
        <v>0.5600000000000001</v>
      </c>
      <c r="G197" s="15" t="n">
        <v>3.96</v>
      </c>
      <c r="H197" s="15" t="n">
        <v>3</v>
      </c>
      <c r="I197" s="15" t="n">
        <v>4.75</v>
      </c>
      <c r="J197" s="15" t="n">
        <v>6.939235082358808</v>
      </c>
      <c r="K197" s="15" t="n">
        <v>24.03</v>
      </c>
      <c r="L197" s="17" t="n">
        <v>55.3</v>
      </c>
      <c r="M197" s="18" t="n">
        <v>0</v>
      </c>
      <c r="N197" s="19" t="n">
        <v>30.4</v>
      </c>
      <c r="O197" s="108">
        <f>COUNTIFS($E:$E,$E197,$L:$L,"&gt;"&amp;$L197)+1</f>
        <v/>
      </c>
      <c r="P197" s="108">
        <f>COUNTIFS($E:$E,$E197,$M:$M,"&gt;"&amp;$M197)+1</f>
        <v/>
      </c>
      <c r="Q197" s="108">
        <f>COUNTIFS($E:$E,$E197,$N:$N,"&gt;"&amp;$N197)+1</f>
        <v/>
      </c>
      <c r="R197" s="20" t="inlineStr">
        <is>
          <t>➡️ Neutral</t>
        </is>
      </c>
      <c r="S197" s="20" t="inlineStr">
        <is>
          <t>🔴 Not Qualified</t>
        </is>
      </c>
      <c r="T197" s="20" t="inlineStr">
        <is>
          <t>🔴 Avoid</t>
        </is>
      </c>
      <c r="U197" s="83" t="inlineStr">
        <is>
          <t>FULL</t>
        </is>
      </c>
    </row>
    <row r="198" ht="16" customHeight="1">
      <c r="A198" s="28" t="n">
        <v>194</v>
      </c>
      <c r="B198" s="29" t="inlineStr">
        <is>
          <t>SBI CRISIL IBX SDL Index - September 2027 Fund - Regular Plan - Growth</t>
        </is>
      </c>
      <c r="C198" s="29" t="inlineStr">
        <is>
          <t>SBI Mutual Fund</t>
        </is>
      </c>
      <c r="D198" s="29" t="inlineStr">
        <is>
          <t>Index Funds</t>
        </is>
      </c>
      <c r="E198" s="29" t="inlineStr">
        <is>
          <t>Index Fund</t>
        </is>
      </c>
      <c r="F198" s="30" t="n">
        <v>0.6</v>
      </c>
      <c r="G198" s="30" t="n">
        <v>2.06</v>
      </c>
      <c r="H198" s="30" t="n">
        <v>2.91</v>
      </c>
      <c r="I198" s="30" t="n">
        <v>5.93</v>
      </c>
      <c r="J198" s="30" t="n">
        <v>7.135428313886893</v>
      </c>
      <c r="K198" s="30" t="n">
        <v>24.15</v>
      </c>
      <c r="L198" s="17" t="n">
        <v>55.3</v>
      </c>
      <c r="M198" s="18" t="n">
        <v>0</v>
      </c>
      <c r="N198" s="19" t="n">
        <v>30.4</v>
      </c>
      <c r="O198" s="108">
        <f>COUNTIFS($E:$E,$E198,$L:$L,"&gt;"&amp;$L198)+1</f>
        <v/>
      </c>
      <c r="P198" s="108">
        <f>COUNTIFS($E:$E,$E198,$M:$M,"&gt;"&amp;$M198)+1</f>
        <v/>
      </c>
      <c r="Q198" s="108">
        <f>COUNTIFS($E:$E,$E198,$N:$N,"&gt;"&amp;$N198)+1</f>
        <v/>
      </c>
      <c r="R198" s="31" t="inlineStr">
        <is>
          <t>➡️ Neutral</t>
        </is>
      </c>
      <c r="S198" s="31" t="inlineStr">
        <is>
          <t>🔴 Not Qualified</t>
        </is>
      </c>
      <c r="T198" s="31" t="inlineStr">
        <is>
          <t>🔴 Avoid</t>
        </is>
      </c>
      <c r="U198" s="83" t="inlineStr">
        <is>
          <t>FULL</t>
        </is>
      </c>
    </row>
    <row r="199" ht="16" customHeight="1">
      <c r="A199" s="13" t="n">
        <v>195</v>
      </c>
      <c r="B199" s="14" t="inlineStr">
        <is>
          <t>Edelweiss NIFTY Large Midcap 250 Index Fund - Regular Plan Growth</t>
        </is>
      </c>
      <c r="C199" s="14" t="inlineStr">
        <is>
          <t>Edelweiss Mutual Fund</t>
        </is>
      </c>
      <c r="D199" s="14" t="inlineStr">
        <is>
          <t>Index Funds</t>
        </is>
      </c>
      <c r="E199" s="14" t="inlineStr">
        <is>
          <t>Index Fund</t>
        </is>
      </c>
      <c r="F199" s="15" t="n">
        <v>0.95</v>
      </c>
      <c r="G199" s="15" t="n">
        <v>4.06</v>
      </c>
      <c r="H199" s="15" t="n">
        <v>0.52</v>
      </c>
      <c r="I199" s="15" t="n">
        <v>5.54</v>
      </c>
      <c r="J199" s="15" t="n">
        <v>2.097992144801752</v>
      </c>
      <c r="K199" s="15" t="n">
        <v>47.24</v>
      </c>
      <c r="L199" s="17" t="n">
        <v>55.1</v>
      </c>
      <c r="M199" s="18" t="n">
        <v>0</v>
      </c>
      <c r="N199" s="19" t="n">
        <v>30.3</v>
      </c>
      <c r="O199" s="108">
        <f>COUNTIFS($E:$E,$E199,$L:$L,"&gt;"&amp;$L199)+1</f>
        <v/>
      </c>
      <c r="P199" s="108">
        <f>COUNTIFS($E:$E,$E199,$M:$M,"&gt;"&amp;$M199)+1</f>
        <v/>
      </c>
      <c r="Q199" s="108">
        <f>COUNTIFS($E:$E,$E199,$N:$N,"&gt;"&amp;$N199)+1</f>
        <v/>
      </c>
      <c r="R199" s="20" t="inlineStr">
        <is>
          <t>➡️ Neutral</t>
        </is>
      </c>
      <c r="S199" s="20" t="inlineStr">
        <is>
          <t>🔴 Not Qualified</t>
        </is>
      </c>
      <c r="T199" s="20" t="inlineStr">
        <is>
          <t>🔴 Avoid</t>
        </is>
      </c>
      <c r="U199" s="83" t="inlineStr">
        <is>
          <t>FULL</t>
        </is>
      </c>
    </row>
    <row r="200" ht="16" customHeight="1">
      <c r="A200" s="28" t="n">
        <v>196</v>
      </c>
      <c r="B200" s="29" t="inlineStr">
        <is>
          <t>HDFC Nifty G-Sec July 2031 Index Fund - Growth Option</t>
        </is>
      </c>
      <c r="C200" s="29" t="inlineStr">
        <is>
          <t>HDFC Mutual Fund</t>
        </is>
      </c>
      <c r="D200" s="29" t="inlineStr">
        <is>
          <t>Index Funds</t>
        </is>
      </c>
      <c r="E200" s="29" t="inlineStr">
        <is>
          <t>G-SEC</t>
        </is>
      </c>
      <c r="F200" s="30" t="n">
        <v>0.44</v>
      </c>
      <c r="G200" s="30" t="n">
        <v>3.62</v>
      </c>
      <c r="H200" s="30" t="n">
        <v>2.92</v>
      </c>
      <c r="I200" s="30" t="n">
        <v>5.84</v>
      </c>
      <c r="J200" s="30" t="n">
        <v>7.475578621377976</v>
      </c>
      <c r="K200" s="30" t="n">
        <v>25.94</v>
      </c>
      <c r="L200" s="17" t="n">
        <v>55.1</v>
      </c>
      <c r="M200" s="18" t="n">
        <v>0</v>
      </c>
      <c r="N200" s="19" t="n">
        <v>30.3</v>
      </c>
      <c r="O200" s="108">
        <f>COUNTIFS($E:$E,$E200,$L:$L,"&gt;"&amp;$L200)+1</f>
        <v/>
      </c>
      <c r="P200" s="108">
        <f>COUNTIFS($E:$E,$E200,$M:$M,"&gt;"&amp;$M200)+1</f>
        <v/>
      </c>
      <c r="Q200" s="108">
        <f>COUNTIFS($E:$E,$E200,$N:$N,"&gt;"&amp;$N200)+1</f>
        <v/>
      </c>
      <c r="R200" s="31" t="inlineStr">
        <is>
          <t>➡️ Neutral</t>
        </is>
      </c>
      <c r="S200" s="31" t="inlineStr">
        <is>
          <t>🔴 Not Qualified</t>
        </is>
      </c>
      <c r="T200" s="31" t="inlineStr">
        <is>
          <t>🔴 Avoid</t>
        </is>
      </c>
      <c r="U200" s="83" t="inlineStr">
        <is>
          <t>FULL</t>
        </is>
      </c>
    </row>
    <row r="201" ht="16" customHeight="1">
      <c r="A201" s="13" t="n">
        <v>197</v>
      </c>
      <c r="B201" s="14" t="inlineStr">
        <is>
          <t>Motilal Oswal Nifty 200 Momentum 30 ETF</t>
        </is>
      </c>
      <c r="C201" s="14" t="inlineStr">
        <is>
          <t>Motilal Oswal Mutual Fund</t>
        </is>
      </c>
      <c r="D201" s="14" t="inlineStr">
        <is>
          <t>Other  Etfs</t>
        </is>
      </c>
      <c r="E201" s="14" t="inlineStr">
        <is>
          <t>Index Fund</t>
        </is>
      </c>
      <c r="F201" s="15" t="n">
        <v>3.05</v>
      </c>
      <c r="G201" s="15" t="n">
        <v>3.81</v>
      </c>
      <c r="H201" s="16" t="n">
        <v>-1.92</v>
      </c>
      <c r="I201" s="15" t="n">
        <v>2.71</v>
      </c>
      <c r="J201" s="16" t="n">
        <v>-6.935506233580147</v>
      </c>
      <c r="K201" s="15" t="n">
        <v>44.25</v>
      </c>
      <c r="L201" s="17" t="n">
        <v>55</v>
      </c>
      <c r="M201" s="18" t="n">
        <v>0</v>
      </c>
      <c r="N201" s="19" t="n">
        <v>30.3</v>
      </c>
      <c r="O201" s="108">
        <f>COUNTIFS($E:$E,$E201,$L:$L,"&gt;"&amp;$L201)+1</f>
        <v/>
      </c>
      <c r="P201" s="108">
        <f>COUNTIFS($E:$E,$E201,$M:$M,"&gt;"&amp;$M201)+1</f>
        <v/>
      </c>
      <c r="Q201" s="108">
        <f>COUNTIFS($E:$E,$E201,$N:$N,"&gt;"&amp;$N201)+1</f>
        <v/>
      </c>
      <c r="R201" s="20" t="inlineStr">
        <is>
          <t>➡️ Neutral</t>
        </is>
      </c>
      <c r="S201" s="20" t="inlineStr">
        <is>
          <t>🔴 Not Qualified</t>
        </is>
      </c>
      <c r="T201" s="20" t="inlineStr">
        <is>
          <t>🔴 Avoid</t>
        </is>
      </c>
      <c r="U201" s="83" t="inlineStr">
        <is>
          <t>FULL</t>
        </is>
      </c>
    </row>
    <row r="202" ht="16" customHeight="1">
      <c r="A202" s="28" t="n">
        <v>198</v>
      </c>
      <c r="B202" s="29" t="inlineStr">
        <is>
          <t>Edelweiss Nifty 100 Quality 30 Index Fund Regular Plan Growth</t>
        </is>
      </c>
      <c r="C202" s="29" t="inlineStr">
        <is>
          <t>Edelweiss Mutual Fund</t>
        </is>
      </c>
      <c r="D202" s="29" t="inlineStr">
        <is>
          <t>Index Funds</t>
        </is>
      </c>
      <c r="E202" s="29" t="inlineStr">
        <is>
          <t>Index Fund</t>
        </is>
      </c>
      <c r="F202" s="30" t="n">
        <v>2.99</v>
      </c>
      <c r="G202" s="30" t="n">
        <v>3.49</v>
      </c>
      <c r="H202" s="30" t="n">
        <v>0.85</v>
      </c>
      <c r="I202" s="30" t="n">
        <v>4.31</v>
      </c>
      <c r="J202" s="91" t="n">
        <v>-1.597764253041478</v>
      </c>
      <c r="K202" s="30" t="n">
        <v>34.38</v>
      </c>
      <c r="L202" s="17" t="n">
        <v>55</v>
      </c>
      <c r="M202" s="18" t="n">
        <v>0</v>
      </c>
      <c r="N202" s="19" t="n">
        <v>30.3</v>
      </c>
      <c r="O202" s="108">
        <f>COUNTIFS($E:$E,$E202,$L:$L,"&gt;"&amp;$L202)+1</f>
        <v/>
      </c>
      <c r="P202" s="108">
        <f>COUNTIFS($E:$E,$E202,$M:$M,"&gt;"&amp;$M202)+1</f>
        <v/>
      </c>
      <c r="Q202" s="108">
        <f>COUNTIFS($E:$E,$E202,$N:$N,"&gt;"&amp;$N202)+1</f>
        <v/>
      </c>
      <c r="R202" s="31" t="inlineStr">
        <is>
          <t>➡️ Neutral</t>
        </is>
      </c>
      <c r="S202" s="31" t="inlineStr">
        <is>
          <t>🔴 Not Qualified</t>
        </is>
      </c>
      <c r="T202" s="31" t="inlineStr">
        <is>
          <t>🔴 Avoid</t>
        </is>
      </c>
      <c r="U202" s="83" t="inlineStr">
        <is>
          <t>FULL</t>
        </is>
      </c>
    </row>
    <row r="203" ht="16" customHeight="1">
      <c r="A203" s="13" t="n">
        <v>199</v>
      </c>
      <c r="B203" s="14" t="inlineStr">
        <is>
          <t>Kotak Income Plus Arbitrage Omni  FOF-Regular Plan-Growth</t>
        </is>
      </c>
      <c r="C203" s="14" t="inlineStr">
        <is>
          <t>Kotak Mahindra Mutual Fund</t>
        </is>
      </c>
      <c r="D203" s="14" t="inlineStr">
        <is>
          <t>Fof Domestic</t>
        </is>
      </c>
      <c r="E203" s="14" t="inlineStr">
        <is>
          <t>Standard Equity/Debt</t>
        </is>
      </c>
      <c r="F203" s="15" t="n">
        <v>0.5</v>
      </c>
      <c r="G203" s="15" t="n">
        <v>2.35</v>
      </c>
      <c r="H203" s="15" t="n">
        <v>2.89</v>
      </c>
      <c r="I203" s="15" t="n">
        <v>5.89</v>
      </c>
      <c r="J203" s="15" t="n">
        <v>6.948585778401006</v>
      </c>
      <c r="K203" s="15" t="n">
        <v>24.48</v>
      </c>
      <c r="L203" s="17" t="n">
        <v>53.9</v>
      </c>
      <c r="M203" s="18" t="n">
        <v>0</v>
      </c>
      <c r="N203" s="19" t="n">
        <v>29.6</v>
      </c>
      <c r="O203" s="108">
        <f>COUNTIFS($E:$E,$E203,$L:$L,"&gt;"&amp;$L203)+1</f>
        <v/>
      </c>
      <c r="P203" s="108">
        <f>COUNTIFS($E:$E,$E203,$M:$M,"&gt;"&amp;$M203)+1</f>
        <v/>
      </c>
      <c r="Q203" s="108">
        <f>COUNTIFS($E:$E,$E203,$N:$N,"&gt;"&amp;$N203)+1</f>
        <v/>
      </c>
      <c r="R203" s="20" t="inlineStr">
        <is>
          <t>➡️ Neutral</t>
        </is>
      </c>
      <c r="S203" s="20" t="inlineStr">
        <is>
          <t>🔴 Not Qualified</t>
        </is>
      </c>
      <c r="T203" s="20" t="inlineStr">
        <is>
          <t>🔴 Avoid</t>
        </is>
      </c>
      <c r="U203" s="83" t="inlineStr">
        <is>
          <t>FULL</t>
        </is>
      </c>
    </row>
    <row r="204" ht="16" customHeight="1">
      <c r="A204" s="28" t="n">
        <v>200</v>
      </c>
      <c r="B204" s="29" t="inlineStr">
        <is>
          <t>Aditya Birla Sun Life Crisil IBX 60:40 SDL+AAA PSU-Apr 2027 Index Fund-Regular Growth</t>
        </is>
      </c>
      <c r="C204" s="29" t="inlineStr">
        <is>
          <t>Aditya Birla Sun Life Mutual Fund</t>
        </is>
      </c>
      <c r="D204" s="29" t="inlineStr">
        <is>
          <t>Index Funds</t>
        </is>
      </c>
      <c r="E204" s="29" t="inlineStr">
        <is>
          <t>Index Fund</t>
        </is>
      </c>
      <c r="F204" s="30" t="n">
        <v>0.52</v>
      </c>
      <c r="G204" s="30" t="n">
        <v>1.67</v>
      </c>
      <c r="H204" s="30" t="n">
        <v>2.96</v>
      </c>
      <c r="I204" s="30" t="n">
        <v>6.01</v>
      </c>
      <c r="J204" s="30" t="n">
        <v>7.079409785448476</v>
      </c>
      <c r="K204" s="30" t="n">
        <v>23.48</v>
      </c>
      <c r="L204" s="17" t="n">
        <v>53.1</v>
      </c>
      <c r="M204" s="18" t="n">
        <v>0</v>
      </c>
      <c r="N204" s="19" t="n">
        <v>29.2</v>
      </c>
      <c r="O204" s="108">
        <f>COUNTIFS($E:$E,$E204,$L:$L,"&gt;"&amp;$L204)+1</f>
        <v/>
      </c>
      <c r="P204" s="108">
        <f>COUNTIFS($E:$E,$E204,$M:$M,"&gt;"&amp;$M204)+1</f>
        <v/>
      </c>
      <c r="Q204" s="108">
        <f>COUNTIFS($E:$E,$E204,$N:$N,"&gt;"&amp;$N204)+1</f>
        <v/>
      </c>
      <c r="R204" s="31" t="inlineStr">
        <is>
          <t>➡️ Neutral</t>
        </is>
      </c>
      <c r="S204" s="31" t="inlineStr">
        <is>
          <t>🔴 Not Qualified</t>
        </is>
      </c>
      <c r="T204" s="31" t="inlineStr">
        <is>
          <t>🔴 Avoid</t>
        </is>
      </c>
      <c r="U204" s="83" t="inlineStr">
        <is>
          <t>FULL</t>
        </is>
      </c>
    </row>
    <row r="205" ht="16" customHeight="1">
      <c r="A205" s="13" t="n">
        <v>201</v>
      </c>
      <c r="B205" s="14" t="inlineStr">
        <is>
          <t>Franklin India Income Plus Arbitrage Active Fund of Funds- Growth Plan</t>
        </is>
      </c>
      <c r="C205" s="14" t="inlineStr">
        <is>
          <t>Franklin Templeton Mutual Fund</t>
        </is>
      </c>
      <c r="D205" s="14" t="inlineStr">
        <is>
          <t>Fof Domestic</t>
        </is>
      </c>
      <c r="E205" s="14" t="inlineStr">
        <is>
          <t>Standard Equity/Debt</t>
        </is>
      </c>
      <c r="F205" s="15" t="n">
        <v>0.49</v>
      </c>
      <c r="G205" s="15" t="n">
        <v>1.89</v>
      </c>
      <c r="H205" s="15" t="n">
        <v>2.96</v>
      </c>
      <c r="I205" s="15" t="n">
        <v>6.02</v>
      </c>
      <c r="J205" s="15" t="n">
        <v>9.599270070562049</v>
      </c>
      <c r="K205" s="15" t="n">
        <v>43.39</v>
      </c>
      <c r="L205" s="17" t="n">
        <v>52.9</v>
      </c>
      <c r="M205" s="18" t="n">
        <v>0</v>
      </c>
      <c r="N205" s="19" t="n">
        <v>29.1</v>
      </c>
      <c r="O205" s="108">
        <f>COUNTIFS($E:$E,$E205,$L:$L,"&gt;"&amp;$L205)+1</f>
        <v/>
      </c>
      <c r="P205" s="108">
        <f>COUNTIFS($E:$E,$E205,$M:$M,"&gt;"&amp;$M205)+1</f>
        <v/>
      </c>
      <c r="Q205" s="108">
        <f>COUNTIFS($E:$E,$E205,$N:$N,"&gt;"&amp;$N205)+1</f>
        <v/>
      </c>
      <c r="R205" s="20" t="inlineStr">
        <is>
          <t>➡️ Neutral</t>
        </is>
      </c>
      <c r="S205" s="20" t="inlineStr">
        <is>
          <t>🔴 Not Qualified</t>
        </is>
      </c>
      <c r="T205" s="20" t="inlineStr">
        <is>
          <t>🔴 Avoid</t>
        </is>
      </c>
      <c r="U205" s="83" t="inlineStr">
        <is>
          <t>FULL</t>
        </is>
      </c>
    </row>
    <row r="206" ht="16" customHeight="1">
      <c r="A206" s="28" t="n">
        <v>202</v>
      </c>
      <c r="B206" s="29" t="inlineStr">
        <is>
          <t>Edelweiss NIFTY PSU Bond Plus SDL Apr 2027 50:50 Index Fund - Regular Plan - Growth</t>
        </is>
      </c>
      <c r="C206" s="29" t="inlineStr">
        <is>
          <t>Edelweiss Mutual Fund</t>
        </is>
      </c>
      <c r="D206" s="29" t="inlineStr">
        <is>
          <t>Index Funds</t>
        </is>
      </c>
      <c r="E206" s="29" t="inlineStr">
        <is>
          <t>Index Fund</t>
        </is>
      </c>
      <c r="F206" s="30" t="n">
        <v>0.55</v>
      </c>
      <c r="G206" s="30" t="n">
        <v>1.79</v>
      </c>
      <c r="H206" s="30" t="n">
        <v>2.92</v>
      </c>
      <c r="I206" s="30" t="n">
        <v>5.89</v>
      </c>
      <c r="J206" s="30" t="n">
        <v>7.065400573668068</v>
      </c>
      <c r="K206" s="30" t="n">
        <v>23.47</v>
      </c>
      <c r="L206" s="17" t="n">
        <v>52.9</v>
      </c>
      <c r="M206" s="18" t="n">
        <v>0</v>
      </c>
      <c r="N206" s="19" t="n">
        <v>29.1</v>
      </c>
      <c r="O206" s="108">
        <f>COUNTIFS($E:$E,$E206,$L:$L,"&gt;"&amp;$L206)+1</f>
        <v/>
      </c>
      <c r="P206" s="108">
        <f>COUNTIFS($E:$E,$E206,$M:$M,"&gt;"&amp;$M206)+1</f>
        <v/>
      </c>
      <c r="Q206" s="108">
        <f>COUNTIFS($E:$E,$E206,$N:$N,"&gt;"&amp;$N206)+1</f>
        <v/>
      </c>
      <c r="R206" s="31" t="inlineStr">
        <is>
          <t>➡️ Neutral</t>
        </is>
      </c>
      <c r="S206" s="31" t="inlineStr">
        <is>
          <t>🔴 Not Qualified</t>
        </is>
      </c>
      <c r="T206" s="31" t="inlineStr">
        <is>
          <t>🔴 Avoid</t>
        </is>
      </c>
      <c r="U206" s="83" t="inlineStr">
        <is>
          <t>FULL</t>
        </is>
      </c>
    </row>
    <row r="207" ht="16" customHeight="1">
      <c r="A207" s="13" t="n">
        <v>203</v>
      </c>
      <c r="B207" s="14" t="inlineStr">
        <is>
          <t>SBI Gold ETF</t>
        </is>
      </c>
      <c r="C207" s="14" t="inlineStr">
        <is>
          <t>SBI Mutual Fund</t>
        </is>
      </c>
      <c r="D207" s="14" t="inlineStr">
        <is>
          <t>Gold Etf</t>
        </is>
      </c>
      <c r="E207" s="14" t="inlineStr">
        <is>
          <t>Gold</t>
        </is>
      </c>
      <c r="F207" s="15" t="n">
        <v>8.99</v>
      </c>
      <c r="G207" s="16" t="n">
        <v>-3.17</v>
      </c>
      <c r="H207" s="15" t="n">
        <v>1.25</v>
      </c>
      <c r="I207" s="15" t="n">
        <v>52.13</v>
      </c>
      <c r="J207" s="15" t="n">
        <v>45.99657530229948</v>
      </c>
      <c r="K207" s="15" t="n">
        <v>154.99</v>
      </c>
      <c r="L207" s="37" t="n">
        <v>38.7</v>
      </c>
      <c r="M207" s="18" t="n">
        <v>17.2</v>
      </c>
      <c r="N207" s="19" t="n">
        <v>29</v>
      </c>
      <c r="O207" s="108">
        <f>COUNTIFS($E:$E,$E207,$L:$L,"&gt;"&amp;$L207)+1</f>
        <v/>
      </c>
      <c r="P207" s="108">
        <f>COUNTIFS($E:$E,$E207,$M:$M,"&gt;"&amp;$M207)+1</f>
        <v/>
      </c>
      <c r="Q207" s="108">
        <f>COUNTIFS($E:$E,$E207,$N:$N,"&gt;"&amp;$N207)+1</f>
        <v/>
      </c>
      <c r="R207" s="20" t="inlineStr">
        <is>
          <t>📉 Weak</t>
        </is>
      </c>
      <c r="S207" s="20" t="inlineStr">
        <is>
          <t>⚠️ Below Avg</t>
        </is>
      </c>
      <c r="T207" s="20" t="inlineStr">
        <is>
          <t>🔴 Avoid</t>
        </is>
      </c>
      <c r="U207" s="83" t="inlineStr">
        <is>
          <t>FULL</t>
        </is>
      </c>
    </row>
    <row r="208" ht="16" customHeight="1">
      <c r="A208" s="28" t="n">
        <v>204</v>
      </c>
      <c r="B208" s="29" t="inlineStr">
        <is>
          <t>Mirae Asset CRISIL IBX Gilt Index - April 2033 Index Fund - Regular Plan - Growth</t>
        </is>
      </c>
      <c r="C208" s="29" t="inlineStr">
        <is>
          <t>Mirae Asset Mutual Fund</t>
        </is>
      </c>
      <c r="D208" s="29" t="inlineStr">
        <is>
          <t>Index Funds</t>
        </is>
      </c>
      <c r="E208" s="29" t="inlineStr">
        <is>
          <t>GILT</t>
        </is>
      </c>
      <c r="F208" s="30" t="n">
        <v>0.54</v>
      </c>
      <c r="G208" s="30" t="n">
        <v>3.68</v>
      </c>
      <c r="H208" s="30" t="n">
        <v>2.83</v>
      </c>
      <c r="I208" s="30" t="n">
        <v>5.12</v>
      </c>
      <c r="J208" s="30" t="n">
        <v>7.070070514593385</v>
      </c>
      <c r="K208" s="30" t="n">
        <v>24.81</v>
      </c>
      <c r="L208" s="17" t="n">
        <v>52.7</v>
      </c>
      <c r="M208" s="18" t="n">
        <v>0</v>
      </c>
      <c r="N208" s="19" t="n">
        <v>29</v>
      </c>
      <c r="O208" s="108">
        <f>COUNTIFS($E:$E,$E208,$L:$L,"&gt;"&amp;$L208)+1</f>
        <v/>
      </c>
      <c r="P208" s="108">
        <f>COUNTIFS($E:$E,$E208,$M:$M,"&gt;"&amp;$M208)+1</f>
        <v/>
      </c>
      <c r="Q208" s="108">
        <f>COUNTIFS($E:$E,$E208,$N:$N,"&gt;"&amp;$N208)+1</f>
        <v/>
      </c>
      <c r="R208" s="31" t="inlineStr">
        <is>
          <t>➡️ Neutral</t>
        </is>
      </c>
      <c r="S208" s="31" t="inlineStr">
        <is>
          <t>🔴 Not Qualified</t>
        </is>
      </c>
      <c r="T208" s="31" t="inlineStr">
        <is>
          <t>🔴 Avoid</t>
        </is>
      </c>
      <c r="U208" s="83" t="inlineStr">
        <is>
          <t>FULL</t>
        </is>
      </c>
    </row>
    <row r="209" ht="16" customHeight="1">
      <c r="A209" s="13" t="n">
        <v>205</v>
      </c>
      <c r="B209" s="14" t="inlineStr">
        <is>
          <t>LIC MF Nifty 8-13 yr G-Sec ETF</t>
        </is>
      </c>
      <c r="C209" s="14" t="inlineStr">
        <is>
          <t>LIC Mutual Fund</t>
        </is>
      </c>
      <c r="D209" s="14" t="inlineStr">
        <is>
          <t>Other  Etfs</t>
        </is>
      </c>
      <c r="E209" s="14" t="inlineStr">
        <is>
          <t>G-SEC</t>
        </is>
      </c>
      <c r="F209" s="15" t="n">
        <v>0.27</v>
      </c>
      <c r="G209" s="15" t="n">
        <v>3.4</v>
      </c>
      <c r="H209" s="15" t="n">
        <v>2.31</v>
      </c>
      <c r="I209" s="15" t="n">
        <v>4.04</v>
      </c>
      <c r="J209" s="15" t="n">
        <v>6.587991818966166</v>
      </c>
      <c r="K209" s="15" t="n">
        <v>23.86</v>
      </c>
      <c r="L209" s="17" t="n">
        <v>52.6</v>
      </c>
      <c r="M209" s="18" t="n">
        <v>0</v>
      </c>
      <c r="N209" s="19" t="n">
        <v>28.9</v>
      </c>
      <c r="O209" s="108">
        <f>COUNTIFS($E:$E,$E209,$L:$L,"&gt;"&amp;$L209)+1</f>
        <v/>
      </c>
      <c r="P209" s="108">
        <f>COUNTIFS($E:$E,$E209,$M:$M,"&gt;"&amp;$M209)+1</f>
        <v/>
      </c>
      <c r="Q209" s="108">
        <f>COUNTIFS($E:$E,$E209,$N:$N,"&gt;"&amp;$N209)+1</f>
        <v/>
      </c>
      <c r="R209" s="20" t="inlineStr">
        <is>
          <t>➡️ Neutral</t>
        </is>
      </c>
      <c r="S209" s="20" t="inlineStr">
        <is>
          <t>🔴 Not Qualified</t>
        </is>
      </c>
      <c r="T209" s="20" t="inlineStr">
        <is>
          <t>🔴 Avoid</t>
        </is>
      </c>
      <c r="U209" s="83" t="inlineStr">
        <is>
          <t>FULL</t>
        </is>
      </c>
    </row>
    <row r="210" ht="16" customHeight="1">
      <c r="A210" s="28" t="n">
        <v>206</v>
      </c>
      <c r="B210" s="29" t="inlineStr">
        <is>
          <t>Aditya Birla Sun Life Nifty SDL SEP 2027 Index Fund-Regular Growth</t>
        </is>
      </c>
      <c r="C210" s="29" t="inlineStr">
        <is>
          <t>Aditya Birla Sun Life Mutual Fund</t>
        </is>
      </c>
      <c r="D210" s="29" t="inlineStr">
        <is>
          <t>Index Funds</t>
        </is>
      </c>
      <c r="E210" s="29" t="inlineStr">
        <is>
          <t>Index Fund</t>
        </is>
      </c>
      <c r="F210" s="30" t="n">
        <v>0.57</v>
      </c>
      <c r="G210" s="30" t="n">
        <v>1.94</v>
      </c>
      <c r="H210" s="30" t="n">
        <v>2.85</v>
      </c>
      <c r="I210" s="30" t="n">
        <v>5.82</v>
      </c>
      <c r="J210" s="30" t="n">
        <v>7.042047812997287</v>
      </c>
      <c r="K210" s="30" t="n">
        <v>23.96</v>
      </c>
      <c r="L210" s="17" t="n">
        <v>52.5</v>
      </c>
      <c r="M210" s="18" t="n">
        <v>0</v>
      </c>
      <c r="N210" s="19" t="n">
        <v>28.8</v>
      </c>
      <c r="O210" s="108">
        <f>COUNTIFS($E:$E,$E210,$L:$L,"&gt;"&amp;$L210)+1</f>
        <v/>
      </c>
      <c r="P210" s="108">
        <f>COUNTIFS($E:$E,$E210,$M:$M,"&gt;"&amp;$M210)+1</f>
        <v/>
      </c>
      <c r="Q210" s="108">
        <f>COUNTIFS($E:$E,$E210,$N:$N,"&gt;"&amp;$N210)+1</f>
        <v/>
      </c>
      <c r="R210" s="31" t="inlineStr">
        <is>
          <t>➡️ Neutral</t>
        </is>
      </c>
      <c r="S210" s="31" t="inlineStr">
        <is>
          <t>🔴 Not Qualified</t>
        </is>
      </c>
      <c r="T210" s="31" t="inlineStr">
        <is>
          <t>🔴 Avoid</t>
        </is>
      </c>
      <c r="U210" s="83" t="inlineStr">
        <is>
          <t>FULL</t>
        </is>
      </c>
    </row>
    <row r="211" ht="16" customHeight="1">
      <c r="A211" s="13" t="n">
        <v>207</v>
      </c>
      <c r="B211" s="14" t="inlineStr">
        <is>
          <t>Motilal Oswal Multi Asset Passive Fund of Fund - Regular Growth</t>
        </is>
      </c>
      <c r="C211" s="14" t="inlineStr">
        <is>
          <t>Motilal Oswal Mutual Fund</t>
        </is>
      </c>
      <c r="D211" s="14" t="inlineStr">
        <is>
          <t>Fof Domestic</t>
        </is>
      </c>
      <c r="E211" s="14" t="inlineStr">
        <is>
          <t>Standard Equity/Debt</t>
        </is>
      </c>
      <c r="F211" s="15" t="n">
        <v>2.33</v>
      </c>
      <c r="G211" s="15" t="n">
        <v>1.83</v>
      </c>
      <c r="H211" s="15" t="n">
        <v>1.52</v>
      </c>
      <c r="I211" s="15" t="n">
        <v>11.27</v>
      </c>
      <c r="J211" s="15" t="n">
        <v>10.11357772772621</v>
      </c>
      <c r="K211" s="15" t="n">
        <v>55.22</v>
      </c>
      <c r="L211" s="37" t="n">
        <v>49.2</v>
      </c>
      <c r="M211" s="18" t="n">
        <v>3.6</v>
      </c>
      <c r="N211" s="19" t="n">
        <v>28.7</v>
      </c>
      <c r="O211" s="108">
        <f>COUNTIFS($E:$E,$E211,$L:$L,"&gt;"&amp;$L211)+1</f>
        <v/>
      </c>
      <c r="P211" s="108">
        <f>COUNTIFS($E:$E,$E211,$M:$M,"&gt;"&amp;$M211)+1</f>
        <v/>
      </c>
      <c r="Q211" s="108">
        <f>COUNTIFS($E:$E,$E211,$N:$N,"&gt;"&amp;$N211)+1</f>
        <v/>
      </c>
      <c r="R211" s="20" t="inlineStr">
        <is>
          <t>➡️ Neutral</t>
        </is>
      </c>
      <c r="S211" s="20" t="inlineStr">
        <is>
          <t>⚠️ Below Avg</t>
        </is>
      </c>
      <c r="T211" s="20" t="inlineStr">
        <is>
          <t>🔴 Avoid</t>
        </is>
      </c>
      <c r="U211" s="83" t="inlineStr">
        <is>
          <t>FULL</t>
        </is>
      </c>
    </row>
    <row r="212" ht="16" customHeight="1">
      <c r="A212" s="28" t="n">
        <v>208</v>
      </c>
      <c r="B212" s="29" t="inlineStr">
        <is>
          <t>Axis CRISIL IBX SDL May 2027 Index Fund - Regular Plan - Growth</t>
        </is>
      </c>
      <c r="C212" s="29" t="inlineStr">
        <is>
          <t>Axis Mutual Fund</t>
        </is>
      </c>
      <c r="D212" s="29" t="inlineStr">
        <is>
          <t>Index Funds</t>
        </is>
      </c>
      <c r="E212" s="29" t="inlineStr">
        <is>
          <t>Index Fund</t>
        </is>
      </c>
      <c r="F212" s="30" t="n">
        <v>0.48</v>
      </c>
      <c r="G212" s="30" t="n">
        <v>1.7</v>
      </c>
      <c r="H212" s="30" t="n">
        <v>2.86</v>
      </c>
      <c r="I212" s="30" t="n">
        <v>6.07</v>
      </c>
      <c r="J212" s="30" t="n">
        <v>7.140095202496433</v>
      </c>
      <c r="K212" s="30" t="n">
        <v>24.22</v>
      </c>
      <c r="L212" s="17" t="n">
        <v>51.9</v>
      </c>
      <c r="M212" s="18" t="n">
        <v>0</v>
      </c>
      <c r="N212" s="19" t="n">
        <v>28.5</v>
      </c>
      <c r="O212" s="108">
        <f>COUNTIFS($E:$E,$E212,$L:$L,"&gt;"&amp;$L212)+1</f>
        <v/>
      </c>
      <c r="P212" s="108">
        <f>COUNTIFS($E:$E,$E212,$M:$M,"&gt;"&amp;$M212)+1</f>
        <v/>
      </c>
      <c r="Q212" s="108">
        <f>COUNTIFS($E:$E,$E212,$N:$N,"&gt;"&amp;$N212)+1</f>
        <v/>
      </c>
      <c r="R212" s="31" t="inlineStr">
        <is>
          <t>➡️ Neutral</t>
        </is>
      </c>
      <c r="S212" s="31" t="inlineStr">
        <is>
          <t>🔴 Not Qualified</t>
        </is>
      </c>
      <c r="T212" s="31" t="inlineStr">
        <is>
          <t>🔴 Avoid</t>
        </is>
      </c>
      <c r="U212" s="83" t="inlineStr">
        <is>
          <t>FULL</t>
        </is>
      </c>
    </row>
    <row r="213" ht="16" customHeight="1">
      <c r="A213" s="13" t="n">
        <v>209</v>
      </c>
      <c r="B213" s="14" t="inlineStr">
        <is>
          <t>HDFC Multi-Asset Active FOF - Growth Option</t>
        </is>
      </c>
      <c r="C213" s="14" t="inlineStr">
        <is>
          <t>HDFC Mutual Fund</t>
        </is>
      </c>
      <c r="D213" s="14" t="inlineStr">
        <is>
          <t>Fof Domestic</t>
        </is>
      </c>
      <c r="E213" s="14" t="inlineStr">
        <is>
          <t>Standard Equity/Debt</t>
        </is>
      </c>
      <c r="F213" s="15" t="n">
        <v>1.57</v>
      </c>
      <c r="G213" s="15" t="n">
        <v>4.08</v>
      </c>
      <c r="H213" s="15" t="n">
        <v>0.8</v>
      </c>
      <c r="I213" s="15" t="n">
        <v>8.699999999999999</v>
      </c>
      <c r="J213" s="15" t="n">
        <v>8.678424721745026</v>
      </c>
      <c r="K213" s="15" t="n">
        <v>46.59</v>
      </c>
      <c r="L213" s="17" t="n">
        <v>51.8</v>
      </c>
      <c r="M213" s="18" t="n">
        <v>0</v>
      </c>
      <c r="N213" s="19" t="n">
        <v>28.5</v>
      </c>
      <c r="O213" s="108">
        <f>COUNTIFS($E:$E,$E213,$L:$L,"&gt;"&amp;$L213)+1</f>
        <v/>
      </c>
      <c r="P213" s="108">
        <f>COUNTIFS($E:$E,$E213,$M:$M,"&gt;"&amp;$M213)+1</f>
        <v/>
      </c>
      <c r="Q213" s="108">
        <f>COUNTIFS($E:$E,$E213,$N:$N,"&gt;"&amp;$N213)+1</f>
        <v/>
      </c>
      <c r="R213" s="20" t="inlineStr">
        <is>
          <t>➡️ Neutral</t>
        </is>
      </c>
      <c r="S213" s="20" t="inlineStr">
        <is>
          <t>🔴 Not Qualified</t>
        </is>
      </c>
      <c r="T213" s="20" t="inlineStr">
        <is>
          <t>🔴 Avoid</t>
        </is>
      </c>
      <c r="U213" s="83" t="inlineStr">
        <is>
          <t>FULL</t>
        </is>
      </c>
    </row>
    <row r="214" ht="16" customHeight="1">
      <c r="A214" s="28" t="n">
        <v>210</v>
      </c>
      <c r="B214" s="29" t="inlineStr">
        <is>
          <t>ICICI Prudential Nifty G-Sec Dec 2030 Index Fund - Growth</t>
        </is>
      </c>
      <c r="C214" s="29" t="inlineStr">
        <is>
          <t>ICICI Prudential Mutual Fund</t>
        </is>
      </c>
      <c r="D214" s="29" t="inlineStr">
        <is>
          <t>Index Funds</t>
        </is>
      </c>
      <c r="E214" s="29" t="inlineStr">
        <is>
          <t>G-SEC</t>
        </is>
      </c>
      <c r="F214" s="30" t="n">
        <v>0.45</v>
      </c>
      <c r="G214" s="30" t="n">
        <v>2.75</v>
      </c>
      <c r="H214" s="30" t="n">
        <v>2.77</v>
      </c>
      <c r="I214" s="30" t="n">
        <v>5.59</v>
      </c>
      <c r="J214" s="30" t="n">
        <v>7.219401229441669</v>
      </c>
      <c r="K214" s="30" t="n">
        <v>24.98</v>
      </c>
      <c r="L214" s="17" t="n">
        <v>51.6</v>
      </c>
      <c r="M214" s="18" t="n">
        <v>0</v>
      </c>
      <c r="N214" s="19" t="n">
        <v>28.4</v>
      </c>
      <c r="O214" s="108">
        <f>COUNTIFS($E:$E,$E214,$L:$L,"&gt;"&amp;$L214)+1</f>
        <v/>
      </c>
      <c r="P214" s="108">
        <f>COUNTIFS($E:$E,$E214,$M:$M,"&gt;"&amp;$M214)+1</f>
        <v/>
      </c>
      <c r="Q214" s="108">
        <f>COUNTIFS($E:$E,$E214,$N:$N,"&gt;"&amp;$N214)+1</f>
        <v/>
      </c>
      <c r="R214" s="31" t="inlineStr">
        <is>
          <t>➡️ Neutral</t>
        </is>
      </c>
      <c r="S214" s="31" t="inlineStr">
        <is>
          <t>🔴 Not Qualified</t>
        </is>
      </c>
      <c r="T214" s="31" t="inlineStr">
        <is>
          <t>🔴 Avoid</t>
        </is>
      </c>
      <c r="U214" s="83" t="inlineStr">
        <is>
          <t>FULL</t>
        </is>
      </c>
    </row>
    <row r="215" ht="16" customHeight="1">
      <c r="A215" s="13" t="n">
        <v>211</v>
      </c>
      <c r="B215" s="14" t="inlineStr">
        <is>
          <t>DSP Nifty 50 Equal Weight ETF</t>
        </is>
      </c>
      <c r="C215" s="14" t="inlineStr">
        <is>
          <t>DSP Mutual Fund</t>
        </is>
      </c>
      <c r="D215" s="14" t="inlineStr">
        <is>
          <t>Other  Etfs</t>
        </is>
      </c>
      <c r="E215" s="14" t="inlineStr">
        <is>
          <t>Index Fund</t>
        </is>
      </c>
      <c r="F215" s="15" t="n">
        <v>0.65</v>
      </c>
      <c r="G215" s="15" t="n">
        <v>2.85</v>
      </c>
      <c r="H215" s="16" t="n">
        <v>-1.2</v>
      </c>
      <c r="I215" s="15" t="n">
        <v>7</v>
      </c>
      <c r="J215" s="15" t="n">
        <v>3.537432844358279</v>
      </c>
      <c r="K215" s="15" t="n">
        <v>48.92</v>
      </c>
      <c r="L215" s="17" t="n">
        <v>51.6</v>
      </c>
      <c r="M215" s="18" t="n">
        <v>0</v>
      </c>
      <c r="N215" s="19" t="n">
        <v>28.4</v>
      </c>
      <c r="O215" s="108">
        <f>COUNTIFS($E:$E,$E215,$L:$L,"&gt;"&amp;$L215)+1</f>
        <v/>
      </c>
      <c r="P215" s="108">
        <f>COUNTIFS($E:$E,$E215,$M:$M,"&gt;"&amp;$M215)+1</f>
        <v/>
      </c>
      <c r="Q215" s="108">
        <f>COUNTIFS($E:$E,$E215,$N:$N,"&gt;"&amp;$N215)+1</f>
        <v/>
      </c>
      <c r="R215" s="20" t="inlineStr">
        <is>
          <t>➡️ Neutral</t>
        </is>
      </c>
      <c r="S215" s="20" t="inlineStr">
        <is>
          <t>🔴 Not Qualified</t>
        </is>
      </c>
      <c r="T215" s="20" t="inlineStr">
        <is>
          <t>🔴 Avoid</t>
        </is>
      </c>
      <c r="U215" s="83" t="inlineStr">
        <is>
          <t>FULL</t>
        </is>
      </c>
    </row>
    <row r="216" ht="16" customHeight="1">
      <c r="A216" s="28" t="n">
        <v>212</v>
      </c>
      <c r="B216" s="29" t="inlineStr">
        <is>
          <t>SBI CPSE Bond Plus SDL Sep 2026 50:50 Index Fund - Regular Plan - Growth</t>
        </is>
      </c>
      <c r="C216" s="29" t="inlineStr">
        <is>
          <t>SBI Mutual Fund</t>
        </is>
      </c>
      <c r="D216" s="29" t="inlineStr">
        <is>
          <t>Index Funds</t>
        </is>
      </c>
      <c r="E216" s="29" t="inlineStr">
        <is>
          <t>Index Fund</t>
        </is>
      </c>
      <c r="F216" s="30" t="n">
        <v>0.49</v>
      </c>
      <c r="G216" s="30" t="n">
        <v>1.52</v>
      </c>
      <c r="H216" s="30" t="n">
        <v>2.96</v>
      </c>
      <c r="I216" s="30" t="n">
        <v>5.92</v>
      </c>
      <c r="J216" s="30" t="n">
        <v>6.906501205492654</v>
      </c>
      <c r="K216" s="30" t="n">
        <v>22.93</v>
      </c>
      <c r="L216" s="17" t="n">
        <v>51.4</v>
      </c>
      <c r="M216" s="18" t="n">
        <v>0</v>
      </c>
      <c r="N216" s="19" t="n">
        <v>28.3</v>
      </c>
      <c r="O216" s="108">
        <f>COUNTIFS($E:$E,$E216,$L:$L,"&gt;"&amp;$L216)+1</f>
        <v/>
      </c>
      <c r="P216" s="108">
        <f>COUNTIFS($E:$E,$E216,$M:$M,"&gt;"&amp;$M216)+1</f>
        <v/>
      </c>
      <c r="Q216" s="108">
        <f>COUNTIFS($E:$E,$E216,$N:$N,"&gt;"&amp;$N216)+1</f>
        <v/>
      </c>
      <c r="R216" s="31" t="inlineStr">
        <is>
          <t>➡️ Neutral</t>
        </is>
      </c>
      <c r="S216" s="31" t="inlineStr">
        <is>
          <t>🔴 Not Qualified</t>
        </is>
      </c>
      <c r="T216" s="31" t="inlineStr">
        <is>
          <t>🔴 Avoid</t>
        </is>
      </c>
      <c r="U216" s="83" t="inlineStr">
        <is>
          <t>FULL</t>
        </is>
      </c>
    </row>
    <row r="217" ht="16" customHeight="1">
      <c r="A217" s="13" t="n">
        <v>213</v>
      </c>
      <c r="B217" s="14" t="inlineStr">
        <is>
          <t>DSP Nifty SDL Plus G-Sec Sep 2027 50:50 Index Fund - Regular - Growth</t>
        </is>
      </c>
      <c r="C217" s="14" t="inlineStr">
        <is>
          <t>DSP Mutual Fund</t>
        </is>
      </c>
      <c r="D217" s="14" t="inlineStr">
        <is>
          <t>Index Funds</t>
        </is>
      </c>
      <c r="E217" s="14" t="inlineStr">
        <is>
          <t>G-SEC</t>
        </is>
      </c>
      <c r="F217" s="15" t="n">
        <v>0.5600000000000001</v>
      </c>
      <c r="G217" s="15" t="n">
        <v>1.93</v>
      </c>
      <c r="H217" s="15" t="n">
        <v>2.73</v>
      </c>
      <c r="I217" s="15" t="n">
        <v>5.77</v>
      </c>
      <c r="J217" s="15" t="n">
        <v>7.000000000000006</v>
      </c>
      <c r="K217" s="15" t="n">
        <v>23.86</v>
      </c>
      <c r="L217" s="17" t="n">
        <v>51.4</v>
      </c>
      <c r="M217" s="18" t="n">
        <v>0</v>
      </c>
      <c r="N217" s="19" t="n">
        <v>28.2</v>
      </c>
      <c r="O217" s="108">
        <f>COUNTIFS($E:$E,$E217,$L:$L,"&gt;"&amp;$L217)+1</f>
        <v/>
      </c>
      <c r="P217" s="108">
        <f>COUNTIFS($E:$E,$E217,$M:$M,"&gt;"&amp;$M217)+1</f>
        <v/>
      </c>
      <c r="Q217" s="108">
        <f>COUNTIFS($E:$E,$E217,$N:$N,"&gt;"&amp;$N217)+1</f>
        <v/>
      </c>
      <c r="R217" s="20" t="inlineStr">
        <is>
          <t>➡️ Neutral</t>
        </is>
      </c>
      <c r="S217" s="20" t="inlineStr">
        <is>
          <t>🔴 Not Qualified</t>
        </is>
      </c>
      <c r="T217" s="20" t="inlineStr">
        <is>
          <t>🔴 Avoid</t>
        </is>
      </c>
      <c r="U217" s="83" t="inlineStr">
        <is>
          <t>FULL</t>
        </is>
      </c>
    </row>
    <row r="218" ht="16" customHeight="1">
      <c r="A218" s="28" t="n">
        <v>214</v>
      </c>
      <c r="B218" s="29" t="inlineStr">
        <is>
          <t>ICICI Prudential Nifty 200 Quality 30 ETF</t>
        </is>
      </c>
      <c r="C218" s="29" t="inlineStr">
        <is>
          <t>ICICI Prudential Mutual Fund</t>
        </is>
      </c>
      <c r="D218" s="29" t="inlineStr">
        <is>
          <t>Other  Etfs</t>
        </is>
      </c>
      <c r="E218" s="29" t="inlineStr">
        <is>
          <t>Index Fund</t>
        </is>
      </c>
      <c r="F218" s="30" t="n">
        <v>2.39</v>
      </c>
      <c r="G218" s="30" t="n">
        <v>2.46</v>
      </c>
      <c r="H218" s="30" t="n">
        <v>0.35</v>
      </c>
      <c r="I218" s="30" t="n">
        <v>3.29</v>
      </c>
      <c r="J218" s="91" t="n">
        <v>-2.378281105073754</v>
      </c>
      <c r="K218" s="91" t="n">
        <v>-86.5</v>
      </c>
      <c r="L218" s="17" t="n">
        <v>51.3</v>
      </c>
      <c r="M218" s="18" t="n">
        <v>0</v>
      </c>
      <c r="N218" s="19" t="n">
        <v>28.2</v>
      </c>
      <c r="O218" s="108">
        <f>COUNTIFS($E:$E,$E218,$L:$L,"&gt;"&amp;$L218)+1</f>
        <v/>
      </c>
      <c r="P218" s="108">
        <f>COUNTIFS($E:$E,$E218,$M:$M,"&gt;"&amp;$M218)+1</f>
        <v/>
      </c>
      <c r="Q218" s="108">
        <f>COUNTIFS($E:$E,$E218,$N:$N,"&gt;"&amp;$N218)+1</f>
        <v/>
      </c>
      <c r="R218" s="31" t="inlineStr">
        <is>
          <t>➡️ Neutral</t>
        </is>
      </c>
      <c r="S218" s="31" t="inlineStr">
        <is>
          <t>🔴 Not Qualified</t>
        </is>
      </c>
      <c r="T218" s="31" t="inlineStr">
        <is>
          <t>🔴 Avoid</t>
        </is>
      </c>
      <c r="U218" s="83" t="inlineStr">
        <is>
          <t>FULL</t>
        </is>
      </c>
    </row>
    <row r="219" ht="16" customHeight="1">
      <c r="A219" s="13" t="n">
        <v>215</v>
      </c>
      <c r="B219" s="14" t="inlineStr">
        <is>
          <t>Nippon India ETF Nifty 8-13 yr G-Sec Long Term Gilt</t>
        </is>
      </c>
      <c r="C219" s="14" t="inlineStr">
        <is>
          <t>Nippon India Mutual Fund</t>
        </is>
      </c>
      <c r="D219" s="14" t="inlineStr">
        <is>
          <t>Other  Etfs</t>
        </is>
      </c>
      <c r="E219" s="14" t="inlineStr">
        <is>
          <t>G-SEC</t>
        </is>
      </c>
      <c r="F219" s="15" t="n">
        <v>0.26</v>
      </c>
      <c r="G219" s="15" t="n">
        <v>3.35</v>
      </c>
      <c r="H219" s="15" t="n">
        <v>2.29</v>
      </c>
      <c r="I219" s="15" t="n">
        <v>4.04</v>
      </c>
      <c r="J219" s="15" t="n">
        <v>6.616133863501172</v>
      </c>
      <c r="K219" s="15" t="n">
        <v>23.97</v>
      </c>
      <c r="L219" s="17" t="n">
        <v>51.3</v>
      </c>
      <c r="M219" s="18" t="n">
        <v>0</v>
      </c>
      <c r="N219" s="19" t="n">
        <v>28.2</v>
      </c>
      <c r="O219" s="108">
        <f>COUNTIFS($E:$E,$E219,$L:$L,"&gt;"&amp;$L219)+1</f>
        <v/>
      </c>
      <c r="P219" s="108">
        <f>COUNTIFS($E:$E,$E219,$M:$M,"&gt;"&amp;$M219)+1</f>
        <v/>
      </c>
      <c r="Q219" s="108">
        <f>COUNTIFS($E:$E,$E219,$N:$N,"&gt;"&amp;$N219)+1</f>
        <v/>
      </c>
      <c r="R219" s="20" t="inlineStr">
        <is>
          <t>➡️ Neutral</t>
        </is>
      </c>
      <c r="S219" s="20" t="inlineStr">
        <is>
          <t>🔴 Not Qualified</t>
        </is>
      </c>
      <c r="T219" s="20" t="inlineStr">
        <is>
          <t>🔴 Avoid</t>
        </is>
      </c>
      <c r="U219" s="83" t="inlineStr">
        <is>
          <t>FULL</t>
        </is>
      </c>
    </row>
    <row r="220" ht="16" customHeight="1">
      <c r="A220" s="28" t="n">
        <v>216</v>
      </c>
      <c r="B220" s="29" t="inlineStr">
        <is>
          <t>SBI Nifty 200 Quality 30 ETF</t>
        </is>
      </c>
      <c r="C220" s="29" t="inlineStr">
        <is>
          <t>SBI Mutual Fund</t>
        </is>
      </c>
      <c r="D220" s="29" t="inlineStr">
        <is>
          <t>Other  Etfs</t>
        </is>
      </c>
      <c r="E220" s="29" t="inlineStr">
        <is>
          <t>Index Fund</t>
        </is>
      </c>
      <c r="F220" s="30" t="n">
        <v>2.39</v>
      </c>
      <c r="G220" s="30" t="n">
        <v>2.46</v>
      </c>
      <c r="H220" s="30" t="n">
        <v>0.35</v>
      </c>
      <c r="I220" s="30" t="n">
        <v>3.28</v>
      </c>
      <c r="J220" s="91" t="n">
        <v>-2.475644067750948</v>
      </c>
      <c r="K220" s="30" t="n">
        <v>34.42</v>
      </c>
      <c r="L220" s="17" t="n">
        <v>51.2</v>
      </c>
      <c r="M220" s="18" t="n">
        <v>0</v>
      </c>
      <c r="N220" s="19" t="n">
        <v>28.2</v>
      </c>
      <c r="O220" s="108">
        <f>COUNTIFS($E:$E,$E220,$L:$L,"&gt;"&amp;$L220)+1</f>
        <v/>
      </c>
      <c r="P220" s="108">
        <f>COUNTIFS($E:$E,$E220,$M:$M,"&gt;"&amp;$M220)+1</f>
        <v/>
      </c>
      <c r="Q220" s="108">
        <f>COUNTIFS($E:$E,$E220,$N:$N,"&gt;"&amp;$N220)+1</f>
        <v/>
      </c>
      <c r="R220" s="31" t="inlineStr">
        <is>
          <t>➡️ Neutral</t>
        </is>
      </c>
      <c r="S220" s="31" t="inlineStr">
        <is>
          <t>🔴 Not Qualified</t>
        </is>
      </c>
      <c r="T220" s="31" t="inlineStr">
        <is>
          <t>🔴 Avoid</t>
        </is>
      </c>
      <c r="U220" s="83" t="inlineStr">
        <is>
          <t>FULL</t>
        </is>
      </c>
    </row>
    <row r="221" ht="16" customHeight="1">
      <c r="A221" s="13" t="n">
        <v>217</v>
      </c>
      <c r="B221" s="14" t="inlineStr">
        <is>
          <t>UTI Nifty 200 Momentum 30 Index Fund - Regular Plan - Growth Option</t>
        </is>
      </c>
      <c r="C221" s="14" t="inlineStr">
        <is>
          <t>UTI Mutual Fund</t>
        </is>
      </c>
      <c r="D221" s="14" t="inlineStr">
        <is>
          <t>Index Funds</t>
        </is>
      </c>
      <c r="E221" s="14" t="inlineStr">
        <is>
          <t>Index Fund</t>
        </is>
      </c>
      <c r="F221" s="15" t="n">
        <v>3.01</v>
      </c>
      <c r="G221" s="15" t="n">
        <v>3.83</v>
      </c>
      <c r="H221" s="16" t="n">
        <v>-2.02</v>
      </c>
      <c r="I221" s="15" t="n">
        <v>2.52</v>
      </c>
      <c r="J221" s="16" t="n">
        <v>-7.037642026463208</v>
      </c>
      <c r="K221" s="15" t="n">
        <v>43.39</v>
      </c>
      <c r="L221" s="17" t="n">
        <v>51.2</v>
      </c>
      <c r="M221" s="18" t="n">
        <v>0</v>
      </c>
      <c r="N221" s="19" t="n">
        <v>28.2</v>
      </c>
      <c r="O221" s="108">
        <f>COUNTIFS($E:$E,$E221,$L:$L,"&gt;"&amp;$L221)+1</f>
        <v/>
      </c>
      <c r="P221" s="108">
        <f>COUNTIFS($E:$E,$E221,$M:$M,"&gt;"&amp;$M221)+1</f>
        <v/>
      </c>
      <c r="Q221" s="108">
        <f>COUNTIFS($E:$E,$E221,$N:$N,"&gt;"&amp;$N221)+1</f>
        <v/>
      </c>
      <c r="R221" s="20" t="inlineStr">
        <is>
          <t>➡️ Neutral</t>
        </is>
      </c>
      <c r="S221" s="20" t="inlineStr">
        <is>
          <t>🔴 Not Qualified</t>
        </is>
      </c>
      <c r="T221" s="20" t="inlineStr">
        <is>
          <t>🔴 Avoid</t>
        </is>
      </c>
      <c r="U221" s="83" t="inlineStr">
        <is>
          <t>FULL</t>
        </is>
      </c>
    </row>
    <row r="222" ht="16" customHeight="1">
      <c r="A222" s="28" t="n">
        <v>218</v>
      </c>
      <c r="B222" s="29" t="inlineStr">
        <is>
          <t>Kotak Nifty 200 Momentum 30 Index Fund - Regular Plan - Growth Option</t>
        </is>
      </c>
      <c r="C222" s="29" t="inlineStr">
        <is>
          <t>Kotak Mahindra Mutual Fund</t>
        </is>
      </c>
      <c r="D222" s="29" t="inlineStr">
        <is>
          <t>Index Funds</t>
        </is>
      </c>
      <c r="E222" s="29" t="inlineStr">
        <is>
          <t>Index Fund</t>
        </is>
      </c>
      <c r="F222" s="30" t="n">
        <v>3.01</v>
      </c>
      <c r="G222" s="30" t="n">
        <v>3.74</v>
      </c>
      <c r="H222" s="91" t="n">
        <v>-2.11</v>
      </c>
      <c r="I222" s="30" t="n">
        <v>2.47</v>
      </c>
      <c r="J222" s="91" t="n">
        <v>-7.059158600752924</v>
      </c>
      <c r="K222" s="30" t="n">
        <v>42.26</v>
      </c>
      <c r="L222" s="17" t="n">
        <v>50.5</v>
      </c>
      <c r="M222" s="18" t="n">
        <v>0</v>
      </c>
      <c r="N222" s="19" t="n">
        <v>27.8</v>
      </c>
      <c r="O222" s="108">
        <f>COUNTIFS($E:$E,$E222,$L:$L,"&gt;"&amp;$L222)+1</f>
        <v/>
      </c>
      <c r="P222" s="108">
        <f>COUNTIFS($E:$E,$E222,$M:$M,"&gt;"&amp;$M222)+1</f>
        <v/>
      </c>
      <c r="Q222" s="108">
        <f>COUNTIFS($E:$E,$E222,$N:$N,"&gt;"&amp;$N222)+1</f>
        <v/>
      </c>
      <c r="R222" s="31" t="inlineStr">
        <is>
          <t>➡️ Neutral</t>
        </is>
      </c>
      <c r="S222" s="31" t="inlineStr">
        <is>
          <t>🔴 Not Qualified</t>
        </is>
      </c>
      <c r="T222" s="31" t="inlineStr">
        <is>
          <t>🔴 Avoid</t>
        </is>
      </c>
      <c r="U222" s="83" t="inlineStr">
        <is>
          <t>FULL</t>
        </is>
      </c>
    </row>
    <row r="223" ht="16" customHeight="1">
      <c r="A223" s="13" t="n">
        <v>219</v>
      </c>
      <c r="B223" s="14" t="inlineStr">
        <is>
          <t>Aditya Birla Sun Life Conservative Hybrid Active FOF- Regular Plan - Growth Option</t>
        </is>
      </c>
      <c r="C223" s="14" t="inlineStr">
        <is>
          <t>Aditya Birla Sun Life Mutual Fund</t>
        </is>
      </c>
      <c r="D223" s="14" t="inlineStr">
        <is>
          <t>Fof Domestic</t>
        </is>
      </c>
      <c r="E223" s="14" t="inlineStr">
        <is>
          <t>Standard Equity/Debt</t>
        </is>
      </c>
      <c r="F223" s="15" t="n">
        <v>0.8100000000000001</v>
      </c>
      <c r="G223" s="15" t="n">
        <v>3.69</v>
      </c>
      <c r="H223" s="15" t="n">
        <v>2.42</v>
      </c>
      <c r="I223" s="15" t="n">
        <v>5.48</v>
      </c>
      <c r="J223" s="15" t="n">
        <v>5.574618161753264</v>
      </c>
      <c r="K223" s="15" t="n">
        <v>32.93</v>
      </c>
      <c r="L223" s="17" t="n">
        <v>50.3</v>
      </c>
      <c r="M223" s="18" t="n">
        <v>0</v>
      </c>
      <c r="N223" s="19" t="n">
        <v>27.7</v>
      </c>
      <c r="O223" s="108">
        <f>COUNTIFS($E:$E,$E223,$L:$L,"&gt;"&amp;$L223)+1</f>
        <v/>
      </c>
      <c r="P223" s="108">
        <f>COUNTIFS($E:$E,$E223,$M:$M,"&gt;"&amp;$M223)+1</f>
        <v/>
      </c>
      <c r="Q223" s="108">
        <f>COUNTIFS($E:$E,$E223,$N:$N,"&gt;"&amp;$N223)+1</f>
        <v/>
      </c>
      <c r="R223" s="20" t="inlineStr">
        <is>
          <t>➡️ Neutral</t>
        </is>
      </c>
      <c r="S223" s="20" t="inlineStr">
        <is>
          <t>🔴 Not Qualified</t>
        </is>
      </c>
      <c r="T223" s="20" t="inlineStr">
        <is>
          <t>🔴 Avoid</t>
        </is>
      </c>
      <c r="U223" s="83" t="inlineStr">
        <is>
          <t>FULL</t>
        </is>
      </c>
    </row>
    <row r="224" ht="16" customHeight="1">
      <c r="A224" s="28" t="n">
        <v>220</v>
      </c>
      <c r="B224" s="29" t="inlineStr">
        <is>
          <t>Nippon India Nifty AAA PSU Bond Plus SDL - Sep 2026 Maturity 50:50 Index Fund-Regular Plan-Growth Option</t>
        </is>
      </c>
      <c r="C224" s="29" t="inlineStr">
        <is>
          <t>Nippon India Mutual Fund</t>
        </is>
      </c>
      <c r="D224" s="29" t="inlineStr">
        <is>
          <t>Index Funds</t>
        </is>
      </c>
      <c r="E224" s="29" t="inlineStr">
        <is>
          <t>Index Fund</t>
        </is>
      </c>
      <c r="F224" s="30" t="n">
        <v>0.47</v>
      </c>
      <c r="G224" s="30" t="n">
        <v>1.5</v>
      </c>
      <c r="H224" s="30" t="n">
        <v>2.93</v>
      </c>
      <c r="I224" s="30" t="n">
        <v>5.85</v>
      </c>
      <c r="J224" s="30" t="n">
        <v>6.859721130087171</v>
      </c>
      <c r="K224" s="30" t="n">
        <v>22.72</v>
      </c>
      <c r="L224" s="17" t="n">
        <v>50.2</v>
      </c>
      <c r="M224" s="18" t="n">
        <v>0</v>
      </c>
      <c r="N224" s="19" t="n">
        <v>27.6</v>
      </c>
      <c r="O224" s="108">
        <f>COUNTIFS($E:$E,$E224,$L:$L,"&gt;"&amp;$L224)+1</f>
        <v/>
      </c>
      <c r="P224" s="108">
        <f>COUNTIFS($E:$E,$E224,$M:$M,"&gt;"&amp;$M224)+1</f>
        <v/>
      </c>
      <c r="Q224" s="108">
        <f>COUNTIFS($E:$E,$E224,$N:$N,"&gt;"&amp;$N224)+1</f>
        <v/>
      </c>
      <c r="R224" s="31" t="inlineStr">
        <is>
          <t>➡️ Neutral</t>
        </is>
      </c>
      <c r="S224" s="31" t="inlineStr">
        <is>
          <t>🔴 Not Qualified</t>
        </is>
      </c>
      <c r="T224" s="31" t="inlineStr">
        <is>
          <t>🔴 Avoid</t>
        </is>
      </c>
      <c r="U224" s="83" t="inlineStr">
        <is>
          <t>FULL</t>
        </is>
      </c>
    </row>
    <row r="225" ht="16" customHeight="1">
      <c r="A225" s="13" t="n">
        <v>221</v>
      </c>
      <c r="B225" s="14" t="inlineStr">
        <is>
          <t>HDFC BSE 500 Index Fund - Regular Plan - Growth Option</t>
        </is>
      </c>
      <c r="C225" s="14" t="inlineStr">
        <is>
          <t>HDFC Mutual Fund</t>
        </is>
      </c>
      <c r="D225" s="14" t="inlineStr">
        <is>
          <t>Index Funds</t>
        </is>
      </c>
      <c r="E225" s="14" t="inlineStr">
        <is>
          <t>Index Fund</t>
        </is>
      </c>
      <c r="F225" s="15" t="n">
        <v>0.77</v>
      </c>
      <c r="G225" s="15" t="n">
        <v>4.72</v>
      </c>
      <c r="H225" s="16" t="n">
        <v>-0.66</v>
      </c>
      <c r="I225" s="15" t="n">
        <v>3.32</v>
      </c>
      <c r="J225" s="15" t="n">
        <v>0.6081507632458072</v>
      </c>
      <c r="K225" s="15" t="n">
        <v>38.14</v>
      </c>
      <c r="L225" s="17" t="n">
        <v>50.2</v>
      </c>
      <c r="M225" s="18" t="n">
        <v>0</v>
      </c>
      <c r="N225" s="19" t="n">
        <v>27.6</v>
      </c>
      <c r="O225" s="108">
        <f>COUNTIFS($E:$E,$E225,$L:$L,"&gt;"&amp;$L225)+1</f>
        <v/>
      </c>
      <c r="P225" s="108">
        <f>COUNTIFS($E:$E,$E225,$M:$M,"&gt;"&amp;$M225)+1</f>
        <v/>
      </c>
      <c r="Q225" s="108">
        <f>COUNTIFS($E:$E,$E225,$N:$N,"&gt;"&amp;$N225)+1</f>
        <v/>
      </c>
      <c r="R225" s="20" t="inlineStr">
        <is>
          <t>➡️ Neutral</t>
        </is>
      </c>
      <c r="S225" s="20" t="inlineStr">
        <is>
          <t>🔴 Not Qualified</t>
        </is>
      </c>
      <c r="T225" s="20" t="inlineStr">
        <is>
          <t>🔴 Avoid</t>
        </is>
      </c>
      <c r="U225" s="83" t="inlineStr">
        <is>
          <t>FULL</t>
        </is>
      </c>
    </row>
    <row r="226" ht="16" customHeight="1">
      <c r="A226" s="28" t="n">
        <v>222</v>
      </c>
      <c r="B226" s="29" t="inlineStr">
        <is>
          <t>HDFC Income Plus Arbitrage Active FOF - Growth Option</t>
        </is>
      </c>
      <c r="C226" s="29" t="inlineStr">
        <is>
          <t>HDFC Mutual Fund</t>
        </is>
      </c>
      <c r="D226" s="29" t="inlineStr">
        <is>
          <t>Fof Domestic</t>
        </is>
      </c>
      <c r="E226" s="29" t="inlineStr">
        <is>
          <t>Standard Equity/Debt</t>
        </is>
      </c>
      <c r="F226" s="30" t="n">
        <v>0.48</v>
      </c>
      <c r="G226" s="30" t="n">
        <v>2.3</v>
      </c>
      <c r="H226" s="30" t="n">
        <v>2.89</v>
      </c>
      <c r="I226" s="30" t="n">
        <v>5.58</v>
      </c>
      <c r="J226" s="30" t="n">
        <v>2.985435863523933</v>
      </c>
      <c r="K226" s="30" t="n">
        <v>29.53</v>
      </c>
      <c r="L226" s="17" t="n">
        <v>50.1</v>
      </c>
      <c r="M226" s="18" t="n">
        <v>0</v>
      </c>
      <c r="N226" s="19" t="n">
        <v>27.6</v>
      </c>
      <c r="O226" s="108">
        <f>COUNTIFS($E:$E,$E226,$L:$L,"&gt;"&amp;$L226)+1</f>
        <v/>
      </c>
      <c r="P226" s="108">
        <f>COUNTIFS($E:$E,$E226,$M:$M,"&gt;"&amp;$M226)+1</f>
        <v/>
      </c>
      <c r="Q226" s="108">
        <f>COUNTIFS($E:$E,$E226,$N:$N,"&gt;"&amp;$N226)+1</f>
        <v/>
      </c>
      <c r="R226" s="31" t="inlineStr">
        <is>
          <t>➡️ Neutral</t>
        </is>
      </c>
      <c r="S226" s="31" t="inlineStr">
        <is>
          <t>🔴 Not Qualified</t>
        </is>
      </c>
      <c r="T226" s="31" t="inlineStr">
        <is>
          <t>🔴 Avoid</t>
        </is>
      </c>
      <c r="U226" s="83" t="inlineStr">
        <is>
          <t>FULL</t>
        </is>
      </c>
    </row>
    <row r="227" ht="16" customHeight="1">
      <c r="A227" s="13" t="n">
        <v>223</v>
      </c>
      <c r="B227" s="14" t="inlineStr">
        <is>
          <t>Tata Nifty Midcap 150 Momentum 50 Index Fund - Growth - Regular Plan</t>
        </is>
      </c>
      <c r="C227" s="14" t="inlineStr">
        <is>
          <t>Tata Mutual Fund</t>
        </is>
      </c>
      <c r="D227" s="14" t="inlineStr">
        <is>
          <t>Index Funds</t>
        </is>
      </c>
      <c r="E227" s="14" t="inlineStr">
        <is>
          <t>Index Fund</t>
        </is>
      </c>
      <c r="F227" s="15" t="n">
        <v>3.16</v>
      </c>
      <c r="G227" s="15" t="n">
        <v>2.98</v>
      </c>
      <c r="H227" s="15" t="n">
        <v>1.47</v>
      </c>
      <c r="I227" s="15" t="n">
        <v>4.98</v>
      </c>
      <c r="J227" s="16" t="n">
        <v>-0.9192248718249085</v>
      </c>
      <c r="K227" s="15" t="n">
        <v>58.97</v>
      </c>
      <c r="L227" s="17" t="n">
        <v>50.1</v>
      </c>
      <c r="M227" s="18" t="n">
        <v>0</v>
      </c>
      <c r="N227" s="19" t="n">
        <v>27.5</v>
      </c>
      <c r="O227" s="108">
        <f>COUNTIFS($E:$E,$E227,$L:$L,"&gt;"&amp;$L227)+1</f>
        <v/>
      </c>
      <c r="P227" s="108">
        <f>COUNTIFS($E:$E,$E227,$M:$M,"&gt;"&amp;$M227)+1</f>
        <v/>
      </c>
      <c r="Q227" s="108">
        <f>COUNTIFS($E:$E,$E227,$N:$N,"&gt;"&amp;$N227)+1</f>
        <v/>
      </c>
      <c r="R227" s="20" t="inlineStr">
        <is>
          <t>➡️ Neutral</t>
        </is>
      </c>
      <c r="S227" s="20" t="inlineStr">
        <is>
          <t>🔴 Not Qualified</t>
        </is>
      </c>
      <c r="T227" s="20" t="inlineStr">
        <is>
          <t>🔴 Avoid</t>
        </is>
      </c>
      <c r="U227" s="83" t="inlineStr">
        <is>
          <t>FULL</t>
        </is>
      </c>
    </row>
    <row r="228" ht="16" customHeight="1">
      <c r="A228" s="28" t="n">
        <v>224</v>
      </c>
      <c r="B228" s="29" t="inlineStr">
        <is>
          <t>ICICI Prudential Global Stable Equity Fund (FOF) - Growth</t>
        </is>
      </c>
      <c r="C228" s="29" t="inlineStr">
        <is>
          <t>ICICI Prudential Mutual Fund</t>
        </is>
      </c>
      <c r="D228" s="29" t="inlineStr">
        <is>
          <t>Fof Overseas</t>
        </is>
      </c>
      <c r="E228" s="29" t="inlineStr">
        <is>
          <t>International</t>
        </is>
      </c>
      <c r="F228" s="30" t="n">
        <v>1.67</v>
      </c>
      <c r="G228" s="30" t="n">
        <v>4.67</v>
      </c>
      <c r="H228" s="30" t="n">
        <v>7.08</v>
      </c>
      <c r="I228" s="30" t="n">
        <v>19.1</v>
      </c>
      <c r="J228" s="30" t="n">
        <v>15.71948841919411</v>
      </c>
      <c r="K228" s="30" t="n">
        <v>48.97</v>
      </c>
      <c r="L228" s="37" t="n">
        <v>38.2</v>
      </c>
      <c r="M228" s="18" t="n">
        <v>14.5</v>
      </c>
      <c r="N228" s="19" t="n">
        <v>27.5</v>
      </c>
      <c r="O228" s="108">
        <f>COUNTIFS($E:$E,$E228,$L:$L,"&gt;"&amp;$L228)+1</f>
        <v/>
      </c>
      <c r="P228" s="108">
        <f>COUNTIFS($E:$E,$E228,$M:$M,"&gt;"&amp;$M228)+1</f>
        <v/>
      </c>
      <c r="Q228" s="108">
        <f>COUNTIFS($E:$E,$E228,$N:$N,"&gt;"&amp;$N228)+1</f>
        <v/>
      </c>
      <c r="R228" s="31" t="inlineStr">
        <is>
          <t>📉 Weak</t>
        </is>
      </c>
      <c r="S228" s="31" t="inlineStr">
        <is>
          <t>⚠️ Below Avg</t>
        </is>
      </c>
      <c r="T228" s="31" t="inlineStr">
        <is>
          <t>🔴 Avoid</t>
        </is>
      </c>
      <c r="U228" s="83" t="inlineStr">
        <is>
          <t>FULL</t>
        </is>
      </c>
    </row>
    <row r="229" ht="16" customHeight="1">
      <c r="A229" s="13" t="n">
        <v>225</v>
      </c>
      <c r="B229" s="14" t="inlineStr">
        <is>
          <t>Motilal Oswal Nifty 500 Index Fund - Regular Plan</t>
        </is>
      </c>
      <c r="C229" s="14" t="inlineStr">
        <is>
          <t>Motilal Oswal Mutual Fund</t>
        </is>
      </c>
      <c r="D229" s="14" t="inlineStr">
        <is>
          <t>Index Funds</t>
        </is>
      </c>
      <c r="E229" s="14" t="inlineStr">
        <is>
          <t>Index Fund</t>
        </is>
      </c>
      <c r="F229" s="15" t="n">
        <v>0.68</v>
      </c>
      <c r="G229" s="15" t="n">
        <v>4.54</v>
      </c>
      <c r="H229" s="16" t="n">
        <v>-0.54</v>
      </c>
      <c r="I229" s="15" t="n">
        <v>3.54</v>
      </c>
      <c r="J229" s="15" t="n">
        <v>1.019800039398211</v>
      </c>
      <c r="K229" s="15" t="n">
        <v>40.01</v>
      </c>
      <c r="L229" s="17" t="n">
        <v>50</v>
      </c>
      <c r="M229" s="18" t="n">
        <v>0</v>
      </c>
      <c r="N229" s="19" t="n">
        <v>27.5</v>
      </c>
      <c r="O229" s="108">
        <f>COUNTIFS($E:$E,$E229,$L:$L,"&gt;"&amp;$L229)+1</f>
        <v/>
      </c>
      <c r="P229" s="108">
        <f>COUNTIFS($E:$E,$E229,$M:$M,"&gt;"&amp;$M229)+1</f>
        <v/>
      </c>
      <c r="Q229" s="108">
        <f>COUNTIFS($E:$E,$E229,$N:$N,"&gt;"&amp;$N229)+1</f>
        <v/>
      </c>
      <c r="R229" s="20" t="inlineStr">
        <is>
          <t>➡️ Neutral</t>
        </is>
      </c>
      <c r="S229" s="20" t="inlineStr">
        <is>
          <t>🔴 Not Qualified</t>
        </is>
      </c>
      <c r="T229" s="20" t="inlineStr">
        <is>
          <t>🔴 Avoid</t>
        </is>
      </c>
      <c r="U229" s="83" t="inlineStr">
        <is>
          <t>FULL</t>
        </is>
      </c>
    </row>
    <row r="230" ht="16" customHeight="1">
      <c r="A230" s="28" t="n">
        <v>226</v>
      </c>
      <c r="B230" s="29" t="inlineStr">
        <is>
          <t>Tata Nifty SDL Plus AAA PSU Bond Dec 6040 Index Fund-Regular Plan -Growth</t>
        </is>
      </c>
      <c r="C230" s="29" t="inlineStr">
        <is>
          <t>Tata Mutual Fund</t>
        </is>
      </c>
      <c r="D230" s="29" t="inlineStr">
        <is>
          <t>Index Funds</t>
        </is>
      </c>
      <c r="E230" s="29" t="inlineStr">
        <is>
          <t>Index Fund</t>
        </is>
      </c>
      <c r="F230" s="30" t="n">
        <v>0.53</v>
      </c>
      <c r="G230" s="30" t="n">
        <v>2.14</v>
      </c>
      <c r="H230" s="30" t="n">
        <v>2.69</v>
      </c>
      <c r="I230" s="30" t="n">
        <v>5.54</v>
      </c>
      <c r="J230" s="30" t="n">
        <v>7.028033710799342</v>
      </c>
      <c r="K230" s="30" t="n">
        <v>23.58</v>
      </c>
      <c r="L230" s="37" t="n">
        <v>49.9</v>
      </c>
      <c r="M230" s="18" t="n">
        <v>0</v>
      </c>
      <c r="N230" s="19" t="n">
        <v>27.4</v>
      </c>
      <c r="O230" s="108">
        <f>COUNTIFS($E:$E,$E230,$L:$L,"&gt;"&amp;$L230)+1</f>
        <v/>
      </c>
      <c r="P230" s="108">
        <f>COUNTIFS($E:$E,$E230,$M:$M,"&gt;"&amp;$M230)+1</f>
        <v/>
      </c>
      <c r="Q230" s="108">
        <f>COUNTIFS($E:$E,$E230,$N:$N,"&gt;"&amp;$N230)+1</f>
        <v/>
      </c>
      <c r="R230" s="31" t="inlineStr">
        <is>
          <t>➡️ Neutral</t>
        </is>
      </c>
      <c r="S230" s="31" t="inlineStr">
        <is>
          <t>🔴 Not Qualified</t>
        </is>
      </c>
      <c r="T230" s="31" t="inlineStr">
        <is>
          <t>🔴 Avoid</t>
        </is>
      </c>
      <c r="U230" s="83" t="inlineStr">
        <is>
          <t>FULL</t>
        </is>
      </c>
    </row>
    <row r="231" ht="16" customHeight="1">
      <c r="A231" s="13" t="n">
        <v>227</v>
      </c>
      <c r="B231" s="14" t="inlineStr">
        <is>
          <t>Tata Nifty India Digital ETF Fund of Fund -Regular Plan-Growth</t>
        </is>
      </c>
      <c r="C231" s="14" t="inlineStr">
        <is>
          <t>Tata Mutual Fund</t>
        </is>
      </c>
      <c r="D231" s="14" t="inlineStr">
        <is>
          <t>Fof Domestic</t>
        </is>
      </c>
      <c r="E231" s="14" t="inlineStr">
        <is>
          <t>Technology</t>
        </is>
      </c>
      <c r="F231" s="15" t="n">
        <v>5.13</v>
      </c>
      <c r="G231" s="15" t="n">
        <v>10.06</v>
      </c>
      <c r="H231" s="15" t="n">
        <v>1.2</v>
      </c>
      <c r="I231" s="16" t="n">
        <v>-2.72</v>
      </c>
      <c r="J231" s="16" t="n">
        <v>-2.969077093949068</v>
      </c>
      <c r="K231" s="15" t="n">
        <v>40.23</v>
      </c>
      <c r="L231" s="37" t="n">
        <v>49.5</v>
      </c>
      <c r="M231" s="18" t="n">
        <v>0</v>
      </c>
      <c r="N231" s="19" t="n">
        <v>27.2</v>
      </c>
      <c r="O231" s="108">
        <f>COUNTIFS($E:$E,$E231,$L:$L,"&gt;"&amp;$L231)+1</f>
        <v/>
      </c>
      <c r="P231" s="108">
        <f>COUNTIFS($E:$E,$E231,$M:$M,"&gt;"&amp;$M231)+1</f>
        <v/>
      </c>
      <c r="Q231" s="108">
        <f>COUNTIFS($E:$E,$E231,$N:$N,"&gt;"&amp;$N231)+1</f>
        <v/>
      </c>
      <c r="R231" s="20" t="inlineStr">
        <is>
          <t>➡️ Neutral</t>
        </is>
      </c>
      <c r="S231" s="20" t="inlineStr">
        <is>
          <t>🔴 Not Qualified</t>
        </is>
      </c>
      <c r="T231" s="20" t="inlineStr">
        <is>
          <t>🔴 Avoid</t>
        </is>
      </c>
      <c r="U231" s="83" t="inlineStr">
        <is>
          <t>FULL</t>
        </is>
      </c>
    </row>
    <row r="232" ht="16" customHeight="1">
      <c r="A232" s="28" t="n">
        <v>228</v>
      </c>
      <c r="B232" s="29" t="inlineStr">
        <is>
          <t>Aditya Birla Sun Life Nifty SDL Plus PSU Bond SEP 2026 60:40 Index Fund-Regular Growth</t>
        </is>
      </c>
      <c r="C232" s="29" t="inlineStr">
        <is>
          <t>Aditya Birla Sun Life Mutual Fund</t>
        </is>
      </c>
      <c r="D232" s="29" t="inlineStr">
        <is>
          <t>Index Funds</t>
        </is>
      </c>
      <c r="E232" s="29" t="inlineStr">
        <is>
          <t>Index Fund</t>
        </is>
      </c>
      <c r="F232" s="30" t="n">
        <v>0.48</v>
      </c>
      <c r="G232" s="30" t="n">
        <v>1.47</v>
      </c>
      <c r="H232" s="30" t="n">
        <v>2.9</v>
      </c>
      <c r="I232" s="30" t="n">
        <v>5.83</v>
      </c>
      <c r="J232" s="30" t="n">
        <v>6.878435617293732</v>
      </c>
      <c r="K232" s="30" t="n">
        <v>22.91</v>
      </c>
      <c r="L232" s="37" t="n">
        <v>49.5</v>
      </c>
      <c r="M232" s="18" t="n">
        <v>0</v>
      </c>
      <c r="N232" s="19" t="n">
        <v>27.2</v>
      </c>
      <c r="O232" s="108">
        <f>COUNTIFS($E:$E,$E232,$L:$L,"&gt;"&amp;$L232)+1</f>
        <v/>
      </c>
      <c r="P232" s="108">
        <f>COUNTIFS($E:$E,$E232,$M:$M,"&gt;"&amp;$M232)+1</f>
        <v/>
      </c>
      <c r="Q232" s="108">
        <f>COUNTIFS($E:$E,$E232,$N:$N,"&gt;"&amp;$N232)+1</f>
        <v/>
      </c>
      <c r="R232" s="31" t="inlineStr">
        <is>
          <t>➡️ Neutral</t>
        </is>
      </c>
      <c r="S232" s="31" t="inlineStr">
        <is>
          <t>🔴 Not Qualified</t>
        </is>
      </c>
      <c r="T232" s="31" t="inlineStr">
        <is>
          <t>🔴 Avoid</t>
        </is>
      </c>
      <c r="U232" s="83" t="inlineStr">
        <is>
          <t>FULL</t>
        </is>
      </c>
    </row>
    <row r="233" ht="16" customHeight="1">
      <c r="A233" s="13" t="n">
        <v>229</v>
      </c>
      <c r="B233" s="14" t="inlineStr">
        <is>
          <t>AXIS CRISIL IBX 50:50 Gilt Plus SDL September 2027 Index Fund- REGULAR PLAN-GROWTH</t>
        </is>
      </c>
      <c r="C233" s="14" t="inlineStr">
        <is>
          <t>Axis Mutual Fund</t>
        </is>
      </c>
      <c r="D233" s="14" t="inlineStr">
        <is>
          <t>Index Funds</t>
        </is>
      </c>
      <c r="E233" s="14" t="inlineStr">
        <is>
          <t>GILT</t>
        </is>
      </c>
      <c r="F233" s="15" t="n">
        <v>0.49</v>
      </c>
      <c r="G233" s="15" t="n">
        <v>1.84</v>
      </c>
      <c r="H233" s="15" t="n">
        <v>2.71</v>
      </c>
      <c r="I233" s="15" t="n">
        <v>5.7</v>
      </c>
      <c r="J233" s="15" t="n">
        <v>6.957935656967518</v>
      </c>
      <c r="K233" s="15" t="n">
        <v>23.68</v>
      </c>
      <c r="L233" s="37" t="n">
        <v>49.4</v>
      </c>
      <c r="M233" s="18" t="n">
        <v>0</v>
      </c>
      <c r="N233" s="19" t="n">
        <v>27.2</v>
      </c>
      <c r="O233" s="108">
        <f>COUNTIFS($E:$E,$E233,$L:$L,"&gt;"&amp;$L233)+1</f>
        <v/>
      </c>
      <c r="P233" s="108">
        <f>COUNTIFS($E:$E,$E233,$M:$M,"&gt;"&amp;$M233)+1</f>
        <v/>
      </c>
      <c r="Q233" s="108">
        <f>COUNTIFS($E:$E,$E233,$N:$N,"&gt;"&amp;$N233)+1</f>
        <v/>
      </c>
      <c r="R233" s="20" t="inlineStr">
        <is>
          <t>➡️ Neutral</t>
        </is>
      </c>
      <c r="S233" s="20" t="inlineStr">
        <is>
          <t>🔴 Not Qualified</t>
        </is>
      </c>
      <c r="T233" s="20" t="inlineStr">
        <is>
          <t>🔴 Avoid</t>
        </is>
      </c>
      <c r="U233" s="83" t="inlineStr">
        <is>
          <t>FULL</t>
        </is>
      </c>
    </row>
    <row r="234" ht="16" customHeight="1">
      <c r="A234" s="28" t="n">
        <v>230</v>
      </c>
      <c r="B234" s="29" t="inlineStr">
        <is>
          <t>UTI NIFTY SDL Plus AAA PSU Bond Apr 2028- 75:25 Index Fund - Regular Plan - Growth Option</t>
        </is>
      </c>
      <c r="C234" s="29" t="inlineStr">
        <is>
          <t>UTI Mutual Fund</t>
        </is>
      </c>
      <c r="D234" s="29" t="inlineStr">
        <is>
          <t>Index Funds</t>
        </is>
      </c>
      <c r="E234" s="29" t="inlineStr">
        <is>
          <t>Index Fund</t>
        </is>
      </c>
      <c r="F234" s="30" t="n">
        <v>0.53</v>
      </c>
      <c r="G234" s="30" t="n">
        <v>2.36</v>
      </c>
      <c r="H234" s="30" t="n">
        <v>2.62</v>
      </c>
      <c r="I234" s="30" t="n">
        <v>5.48</v>
      </c>
      <c r="J234" s="30" t="n">
        <v>7.070070514593385</v>
      </c>
      <c r="K234" s="30" t="n">
        <v>24.15</v>
      </c>
      <c r="L234" s="37" t="n">
        <v>49.4</v>
      </c>
      <c r="M234" s="18" t="n">
        <v>0</v>
      </c>
      <c r="N234" s="19" t="n">
        <v>27.2</v>
      </c>
      <c r="O234" s="108">
        <f>COUNTIFS($E:$E,$E234,$L:$L,"&gt;"&amp;$L234)+1</f>
        <v/>
      </c>
      <c r="P234" s="108">
        <f>COUNTIFS($E:$E,$E234,$M:$M,"&gt;"&amp;$M234)+1</f>
        <v/>
      </c>
      <c r="Q234" s="108">
        <f>COUNTIFS($E:$E,$E234,$N:$N,"&gt;"&amp;$N234)+1</f>
        <v/>
      </c>
      <c r="R234" s="31" t="inlineStr">
        <is>
          <t>➡️ Neutral</t>
        </is>
      </c>
      <c r="S234" s="31" t="inlineStr">
        <is>
          <t>🔴 Not Qualified</t>
        </is>
      </c>
      <c r="T234" s="31" t="inlineStr">
        <is>
          <t>🔴 Avoid</t>
        </is>
      </c>
      <c r="U234" s="83" t="inlineStr">
        <is>
          <t>FULL</t>
        </is>
      </c>
    </row>
    <row r="235" ht="16" customHeight="1">
      <c r="A235" s="13" t="n">
        <v>231</v>
      </c>
      <c r="B235" s="14" t="inlineStr">
        <is>
          <t>Kotak Nifty 100 Low Volatility 30 ETF</t>
        </is>
      </c>
      <c r="C235" s="14" t="inlineStr">
        <is>
          <t>Kotak Mahindra Mutual Fund</t>
        </is>
      </c>
      <c r="D235" s="14" t="inlineStr">
        <is>
          <t>Other  Etfs</t>
        </is>
      </c>
      <c r="E235" s="14" t="inlineStr">
        <is>
          <t>Index Fund</t>
        </is>
      </c>
      <c r="F235" s="15" t="n">
        <v>0.75</v>
      </c>
      <c r="G235" s="15" t="n">
        <v>3.9</v>
      </c>
      <c r="H235" s="16" t="n">
        <v>-2.19</v>
      </c>
      <c r="I235" s="15" t="n">
        <v>2.45</v>
      </c>
      <c r="J235" s="15" t="n">
        <v>1.479061879778931</v>
      </c>
      <c r="K235" s="15" t="n">
        <v>40.48</v>
      </c>
      <c r="L235" s="37" t="n">
        <v>49.3</v>
      </c>
      <c r="M235" s="18" t="n">
        <v>0</v>
      </c>
      <c r="N235" s="19" t="n">
        <v>27.1</v>
      </c>
      <c r="O235" s="108">
        <f>COUNTIFS($E:$E,$E235,$L:$L,"&gt;"&amp;$L235)+1</f>
        <v/>
      </c>
      <c r="P235" s="108">
        <f>COUNTIFS($E:$E,$E235,$M:$M,"&gt;"&amp;$M235)+1</f>
        <v/>
      </c>
      <c r="Q235" s="108">
        <f>COUNTIFS($E:$E,$E235,$N:$N,"&gt;"&amp;$N235)+1</f>
        <v/>
      </c>
      <c r="R235" s="20" t="inlineStr">
        <is>
          <t>➡️ Neutral</t>
        </is>
      </c>
      <c r="S235" s="20" t="inlineStr">
        <is>
          <t>🔴 Not Qualified</t>
        </is>
      </c>
      <c r="T235" s="20" t="inlineStr">
        <is>
          <t>🔴 Avoid</t>
        </is>
      </c>
      <c r="U235" s="83" t="inlineStr">
        <is>
          <t>FULL</t>
        </is>
      </c>
    </row>
    <row r="236" ht="16" customHeight="1">
      <c r="A236" s="28" t="n">
        <v>232</v>
      </c>
      <c r="B236" s="29" t="inlineStr">
        <is>
          <t>UTI CRISIL SDL Maturity June 2027 Index Fund - Regular Plan - Growth Option</t>
        </is>
      </c>
      <c r="C236" s="29" t="inlineStr">
        <is>
          <t>UTI Mutual Fund</t>
        </is>
      </c>
      <c r="D236" s="29" t="inlineStr">
        <is>
          <t>Index Funds</t>
        </is>
      </c>
      <c r="E236" s="29" t="inlineStr">
        <is>
          <t>Index Fund</t>
        </is>
      </c>
      <c r="F236" s="30" t="n">
        <v>0.46</v>
      </c>
      <c r="G236" s="30" t="n">
        <v>1.62</v>
      </c>
      <c r="H236" s="30" t="n">
        <v>2.77</v>
      </c>
      <c r="I236" s="30" t="n">
        <v>5.91</v>
      </c>
      <c r="J236" s="30" t="n">
        <v>6.97663296253066</v>
      </c>
      <c r="K236" s="30" t="n">
        <v>23.69</v>
      </c>
      <c r="L236" s="37" t="n">
        <v>49.2</v>
      </c>
      <c r="M236" s="18" t="n">
        <v>0</v>
      </c>
      <c r="N236" s="19" t="n">
        <v>27.1</v>
      </c>
      <c r="O236" s="108">
        <f>COUNTIFS($E:$E,$E236,$L:$L,"&gt;"&amp;$L236)+1</f>
        <v/>
      </c>
      <c r="P236" s="108">
        <f>COUNTIFS($E:$E,$E236,$M:$M,"&gt;"&amp;$M236)+1</f>
        <v/>
      </c>
      <c r="Q236" s="108">
        <f>COUNTIFS($E:$E,$E236,$N:$N,"&gt;"&amp;$N236)+1</f>
        <v/>
      </c>
      <c r="R236" s="31" t="inlineStr">
        <is>
          <t>➡️ Neutral</t>
        </is>
      </c>
      <c r="S236" s="31" t="inlineStr">
        <is>
          <t>🔴 Not Qualified</t>
        </is>
      </c>
      <c r="T236" s="31" t="inlineStr">
        <is>
          <t>🔴 Avoid</t>
        </is>
      </c>
      <c r="U236" s="83" t="inlineStr">
        <is>
          <t>FULL</t>
        </is>
      </c>
    </row>
    <row r="237" ht="16" customHeight="1">
      <c r="A237" s="13" t="n">
        <v>233</v>
      </c>
      <c r="B237" s="14" t="inlineStr">
        <is>
          <t>HDFC Nifty G-Sec Jun 2036 Index Fund - Growth Option</t>
        </is>
      </c>
      <c r="C237" s="14" t="inlineStr">
        <is>
          <t>HDFC Mutual Fund</t>
        </is>
      </c>
      <c r="D237" s="14" t="inlineStr">
        <is>
          <t>Index Funds</t>
        </is>
      </c>
      <c r="E237" s="14" t="inlineStr">
        <is>
          <t>G-SEC</t>
        </is>
      </c>
      <c r="F237" s="15" t="n">
        <v>0.38</v>
      </c>
      <c r="G237" s="15" t="n">
        <v>3.75</v>
      </c>
      <c r="H237" s="15" t="n">
        <v>2.64</v>
      </c>
      <c r="I237" s="15" t="n">
        <v>5.41</v>
      </c>
      <c r="J237" s="15" t="n">
        <v>6.887791632159757</v>
      </c>
      <c r="K237" s="15" t="n">
        <v>25.66</v>
      </c>
      <c r="L237" s="37" t="n">
        <v>49.1</v>
      </c>
      <c r="M237" s="18" t="n">
        <v>0</v>
      </c>
      <c r="N237" s="19" t="n">
        <v>27</v>
      </c>
      <c r="O237" s="108">
        <f>COUNTIFS($E:$E,$E237,$L:$L,"&gt;"&amp;$L237)+1</f>
        <v/>
      </c>
      <c r="P237" s="108">
        <f>COUNTIFS($E:$E,$E237,$M:$M,"&gt;"&amp;$M237)+1</f>
        <v/>
      </c>
      <c r="Q237" s="108">
        <f>COUNTIFS($E:$E,$E237,$N:$N,"&gt;"&amp;$N237)+1</f>
        <v/>
      </c>
      <c r="R237" s="20" t="inlineStr">
        <is>
          <t>➡️ Neutral</t>
        </is>
      </c>
      <c r="S237" s="20" t="inlineStr">
        <is>
          <t>🔴 Not Qualified</t>
        </is>
      </c>
      <c r="T237" s="20" t="inlineStr">
        <is>
          <t>🔴 Avoid</t>
        </is>
      </c>
      <c r="U237" s="83" t="inlineStr">
        <is>
          <t>FULL</t>
        </is>
      </c>
    </row>
    <row r="238" ht="16" customHeight="1">
      <c r="A238" s="28" t="n">
        <v>234</v>
      </c>
      <c r="B238" s="29" t="inlineStr">
        <is>
          <t>ICICI Prudential Dynamic Asset Allocation Active FOF - Growth</t>
        </is>
      </c>
      <c r="C238" s="29" t="inlineStr">
        <is>
          <t>ICICI Prudential Mutual Fund</t>
        </is>
      </c>
      <c r="D238" s="29" t="inlineStr">
        <is>
          <t>Fof Domestic</t>
        </is>
      </c>
      <c r="E238" s="29" t="inlineStr">
        <is>
          <t>Standard Equity/Debt</t>
        </is>
      </c>
      <c r="F238" s="30" t="n">
        <v>0.82</v>
      </c>
      <c r="G238" s="30" t="n">
        <v>4.01</v>
      </c>
      <c r="H238" s="30" t="n">
        <v>1.76</v>
      </c>
      <c r="I238" s="30" t="n">
        <v>5.09</v>
      </c>
      <c r="J238" s="30" t="n">
        <v>6.343782140753307</v>
      </c>
      <c r="K238" s="30" t="n">
        <v>37.42</v>
      </c>
      <c r="L238" s="37" t="n">
        <v>49.1</v>
      </c>
      <c r="M238" s="18" t="n">
        <v>0</v>
      </c>
      <c r="N238" s="19" t="n">
        <v>27</v>
      </c>
      <c r="O238" s="108">
        <f>COUNTIFS($E:$E,$E238,$L:$L,"&gt;"&amp;$L238)+1</f>
        <v/>
      </c>
      <c r="P238" s="108">
        <f>COUNTIFS($E:$E,$E238,$M:$M,"&gt;"&amp;$M238)+1</f>
        <v/>
      </c>
      <c r="Q238" s="108">
        <f>COUNTIFS($E:$E,$E238,$N:$N,"&gt;"&amp;$N238)+1</f>
        <v/>
      </c>
      <c r="R238" s="31" t="inlineStr">
        <is>
          <t>➡️ Neutral</t>
        </is>
      </c>
      <c r="S238" s="31" t="inlineStr">
        <is>
          <t>🔴 Not Qualified</t>
        </is>
      </c>
      <c r="T238" s="31" t="inlineStr">
        <is>
          <t>🔴 Avoid</t>
        </is>
      </c>
      <c r="U238" s="83" t="inlineStr">
        <is>
          <t>FULL</t>
        </is>
      </c>
    </row>
    <row r="239" ht="16" customHeight="1">
      <c r="A239" s="13" t="n">
        <v>235</v>
      </c>
      <c r="B239" s="14" t="inlineStr">
        <is>
          <t>Kotak Nifty SDL Plus AAA PSU Bond Jul 2028 60:40 Index Fund Regular Plan - Growth</t>
        </is>
      </c>
      <c r="C239" s="14" t="inlineStr">
        <is>
          <t>Kotak Mahindra Mutual Fund</t>
        </is>
      </c>
      <c r="D239" s="14" t="inlineStr">
        <is>
          <t>Index Funds</t>
        </is>
      </c>
      <c r="E239" s="14" t="inlineStr">
        <is>
          <t>Index Fund</t>
        </is>
      </c>
      <c r="F239" s="15" t="n">
        <v>0.52</v>
      </c>
      <c r="G239" s="15" t="n">
        <v>2.36</v>
      </c>
      <c r="H239" s="15" t="n">
        <v>2.6</v>
      </c>
      <c r="I239" s="15" t="n">
        <v>5.49</v>
      </c>
      <c r="J239" s="15" t="n">
        <v>7.112090820784567</v>
      </c>
      <c r="K239" s="15" t="n">
        <v>24.07</v>
      </c>
      <c r="L239" s="37" t="n">
        <v>49.1</v>
      </c>
      <c r="M239" s="18" t="n">
        <v>0</v>
      </c>
      <c r="N239" s="19" t="n">
        <v>27</v>
      </c>
      <c r="O239" s="108">
        <f>COUNTIFS($E:$E,$E239,$L:$L,"&gt;"&amp;$L239)+1</f>
        <v/>
      </c>
      <c r="P239" s="108">
        <f>COUNTIFS($E:$E,$E239,$M:$M,"&gt;"&amp;$M239)+1</f>
        <v/>
      </c>
      <c r="Q239" s="108">
        <f>COUNTIFS($E:$E,$E239,$N:$N,"&gt;"&amp;$N239)+1</f>
        <v/>
      </c>
      <c r="R239" s="20" t="inlineStr">
        <is>
          <t>➡️ Neutral</t>
        </is>
      </c>
      <c r="S239" s="20" t="inlineStr">
        <is>
          <t>🔴 Not Qualified</t>
        </is>
      </c>
      <c r="T239" s="20" t="inlineStr">
        <is>
          <t>🔴 Avoid</t>
        </is>
      </c>
      <c r="U239" s="83" t="inlineStr">
        <is>
          <t>FULL</t>
        </is>
      </c>
    </row>
    <row r="240" ht="16" customHeight="1">
      <c r="A240" s="28" t="n">
        <v>236</v>
      </c>
      <c r="B240" s="29" t="inlineStr">
        <is>
          <t>ICICI Prudential Nifty 200 Momentum 30 Index Fund - Growth</t>
        </is>
      </c>
      <c r="C240" s="29" t="inlineStr">
        <is>
          <t>ICICI Prudential Mutual Fund</t>
        </is>
      </c>
      <c r="D240" s="29" t="inlineStr">
        <is>
          <t>Index Funds</t>
        </is>
      </c>
      <c r="E240" s="29" t="inlineStr">
        <is>
          <t>Index Fund</t>
        </is>
      </c>
      <c r="F240" s="30" t="n">
        <v>2.99</v>
      </c>
      <c r="G240" s="30" t="n">
        <v>3.64</v>
      </c>
      <c r="H240" s="91" t="n">
        <v>-2.25</v>
      </c>
      <c r="I240" s="30" t="n">
        <v>2.18</v>
      </c>
      <c r="J240" s="91" t="n">
        <v>-7.522975826424871</v>
      </c>
      <c r="K240" s="30" t="n">
        <v>40.83</v>
      </c>
      <c r="L240" s="37" t="n">
        <v>48.9</v>
      </c>
      <c r="M240" s="18" t="n">
        <v>0</v>
      </c>
      <c r="N240" s="19" t="n">
        <v>26.9</v>
      </c>
      <c r="O240" s="108">
        <f>COUNTIFS($E:$E,$E240,$L:$L,"&gt;"&amp;$L240)+1</f>
        <v/>
      </c>
      <c r="P240" s="108">
        <f>COUNTIFS($E:$E,$E240,$M:$M,"&gt;"&amp;$M240)+1</f>
        <v/>
      </c>
      <c r="Q240" s="108">
        <f>COUNTIFS($E:$E,$E240,$N:$N,"&gt;"&amp;$N240)+1</f>
        <v/>
      </c>
      <c r="R240" s="31" t="inlineStr">
        <is>
          <t>➡️ Neutral</t>
        </is>
      </c>
      <c r="S240" s="31" t="inlineStr">
        <is>
          <t>🔴 Not Qualified</t>
        </is>
      </c>
      <c r="T240" s="31" t="inlineStr">
        <is>
          <t>🔴 Avoid</t>
        </is>
      </c>
      <c r="U240" s="83" t="inlineStr">
        <is>
          <t>FULL</t>
        </is>
      </c>
    </row>
    <row r="241" ht="16" customHeight="1">
      <c r="A241" s="13" t="n">
        <v>237</v>
      </c>
      <c r="B241" s="14" t="inlineStr">
        <is>
          <t>Kotak Nifty SDL Apr  2027 Top 12 Equal Weight Index Fund-Regular Plan- Growth</t>
        </is>
      </c>
      <c r="C241" s="14" t="inlineStr">
        <is>
          <t>Kotak Mahindra Mutual Fund</t>
        </is>
      </c>
      <c r="D241" s="14" t="inlineStr">
        <is>
          <t>Index Funds</t>
        </is>
      </c>
      <c r="E241" s="14" t="inlineStr">
        <is>
          <t>Index Fund</t>
        </is>
      </c>
      <c r="F241" s="15" t="n">
        <v>0.45</v>
      </c>
      <c r="G241" s="15" t="n">
        <v>1.51</v>
      </c>
      <c r="H241" s="15" t="n">
        <v>2.77</v>
      </c>
      <c r="I241" s="15" t="n">
        <v>5.97</v>
      </c>
      <c r="J241" s="15" t="n">
        <v>7.042047812997287</v>
      </c>
      <c r="K241" s="15" t="n">
        <v>23.83</v>
      </c>
      <c r="L241" s="37" t="n">
        <v>48.7</v>
      </c>
      <c r="M241" s="18" t="n">
        <v>0</v>
      </c>
      <c r="N241" s="19" t="n">
        <v>26.8</v>
      </c>
      <c r="O241" s="108">
        <f>COUNTIFS($E:$E,$E241,$L:$L,"&gt;"&amp;$L241)+1</f>
        <v/>
      </c>
      <c r="P241" s="108">
        <f>COUNTIFS($E:$E,$E241,$M:$M,"&gt;"&amp;$M241)+1</f>
        <v/>
      </c>
      <c r="Q241" s="108">
        <f>COUNTIFS($E:$E,$E241,$N:$N,"&gt;"&amp;$N241)+1</f>
        <v/>
      </c>
      <c r="R241" s="20" t="inlineStr">
        <is>
          <t>➡️ Neutral</t>
        </is>
      </c>
      <c r="S241" s="20" t="inlineStr">
        <is>
          <t>🔴 Not Qualified</t>
        </is>
      </c>
      <c r="T241" s="20" t="inlineStr">
        <is>
          <t>🔴 Avoid</t>
        </is>
      </c>
      <c r="U241" s="83" t="inlineStr">
        <is>
          <t>FULL</t>
        </is>
      </c>
    </row>
    <row r="242" ht="16" customHeight="1">
      <c r="A242" s="28" t="n">
        <v>238</v>
      </c>
      <c r="B242" s="29" t="inlineStr">
        <is>
          <t>ICICI Prudential Nifty Commodities ETF</t>
        </is>
      </c>
      <c r="C242" s="29" t="inlineStr">
        <is>
          <t>ICICI Prudential Mutual Fund</t>
        </is>
      </c>
      <c r="D242" s="29" t="inlineStr">
        <is>
          <t>Other  Etfs</t>
        </is>
      </c>
      <c r="E242" s="29" t="inlineStr">
        <is>
          <t>Commodities</t>
        </is>
      </c>
      <c r="F242" s="91" t="n">
        <v>-0.07000000000000001</v>
      </c>
      <c r="G242" s="91" t="n">
        <v>-2.94</v>
      </c>
      <c r="H242" s="91" t="n">
        <v>-0.91</v>
      </c>
      <c r="I242" s="30" t="n">
        <v>13.82</v>
      </c>
      <c r="J242" s="30" t="n">
        <v>3.879738159084711</v>
      </c>
      <c r="K242" s="30" t="n">
        <v>61.38</v>
      </c>
      <c r="L242" s="37" t="n">
        <v>48.2</v>
      </c>
      <c r="M242" s="18" t="n">
        <v>0</v>
      </c>
      <c r="N242" s="19" t="n">
        <v>26.5</v>
      </c>
      <c r="O242" s="108">
        <f>COUNTIFS($E:$E,$E242,$L:$L,"&gt;"&amp;$L242)+1</f>
        <v/>
      </c>
      <c r="P242" s="108">
        <f>COUNTIFS($E:$E,$E242,$M:$M,"&gt;"&amp;$M242)+1</f>
        <v/>
      </c>
      <c r="Q242" s="108">
        <f>COUNTIFS($E:$E,$E242,$N:$N,"&gt;"&amp;$N242)+1</f>
        <v/>
      </c>
      <c r="R242" s="31" t="inlineStr">
        <is>
          <t>➡️ Neutral</t>
        </is>
      </c>
      <c r="S242" s="31" t="inlineStr">
        <is>
          <t>🔴 Not Qualified</t>
        </is>
      </c>
      <c r="T242" s="31" t="inlineStr">
        <is>
          <t>🔴 Avoid</t>
        </is>
      </c>
      <c r="U242" s="83" t="inlineStr">
        <is>
          <t>FULL</t>
        </is>
      </c>
    </row>
    <row r="243" ht="16" customHeight="1">
      <c r="A243" s="13" t="n">
        <v>239</v>
      </c>
      <c r="B243" s="14" t="inlineStr">
        <is>
          <t>BANDHAN NIFTY200 MOMENTUM 30 INDEX FUND - GROWTH - REGULAR PLAN</t>
        </is>
      </c>
      <c r="C243" s="14" t="inlineStr">
        <is>
          <t>Bandhan Mutual Fund</t>
        </is>
      </c>
      <c r="D243" s="14" t="inlineStr">
        <is>
          <t>Index Funds</t>
        </is>
      </c>
      <c r="E243" s="14" t="inlineStr">
        <is>
          <t>Index Fund</t>
        </is>
      </c>
      <c r="F243" s="15" t="n">
        <v>2.98</v>
      </c>
      <c r="G243" s="15" t="n">
        <v>3.6</v>
      </c>
      <c r="H243" s="16" t="n">
        <v>-2.29</v>
      </c>
      <c r="I243" s="15" t="n">
        <v>2.05</v>
      </c>
      <c r="J243" s="16" t="n">
        <v>-7.587879582816626</v>
      </c>
      <c r="K243" s="15" t="n">
        <v>40.13</v>
      </c>
      <c r="L243" s="37" t="n">
        <v>48</v>
      </c>
      <c r="M243" s="18" t="n">
        <v>0</v>
      </c>
      <c r="N243" s="19" t="n">
        <v>26.4</v>
      </c>
      <c r="O243" s="108">
        <f>COUNTIFS($E:$E,$E243,$L:$L,"&gt;"&amp;$L243)+1</f>
        <v/>
      </c>
      <c r="P243" s="108">
        <f>COUNTIFS($E:$E,$E243,$M:$M,"&gt;"&amp;$M243)+1</f>
        <v/>
      </c>
      <c r="Q243" s="108">
        <f>COUNTIFS($E:$E,$E243,$N:$N,"&gt;"&amp;$N243)+1</f>
        <v/>
      </c>
      <c r="R243" s="20" t="inlineStr">
        <is>
          <t>➡️ Neutral</t>
        </is>
      </c>
      <c r="S243" s="20" t="inlineStr">
        <is>
          <t>🔴 Not Qualified</t>
        </is>
      </c>
      <c r="T243" s="20" t="inlineStr">
        <is>
          <t>🔴 Avoid</t>
        </is>
      </c>
      <c r="U243" s="83" t="inlineStr">
        <is>
          <t>FULL</t>
        </is>
      </c>
    </row>
    <row r="244" ht="16" customHeight="1">
      <c r="A244" s="28" t="n">
        <v>240</v>
      </c>
      <c r="B244" s="29" t="inlineStr">
        <is>
          <t>UTI Nifty50 Equal Weight Index Fund - Regular Plan - Growth Option</t>
        </is>
      </c>
      <c r="C244" s="29" t="inlineStr">
        <is>
          <t>UTI Mutual Fund</t>
        </is>
      </c>
      <c r="D244" s="29" t="inlineStr">
        <is>
          <t>Index Funds</t>
        </is>
      </c>
      <c r="E244" s="29" t="inlineStr">
        <is>
          <t>Index Fund</t>
        </is>
      </c>
      <c r="F244" s="30" t="n">
        <v>0.6</v>
      </c>
      <c r="G244" s="30" t="n">
        <v>2.69</v>
      </c>
      <c r="H244" s="91" t="n">
        <v>-1.51</v>
      </c>
      <c r="I244" s="30" t="n">
        <v>6.35</v>
      </c>
      <c r="J244" s="30" t="n">
        <v>2.795914315696413</v>
      </c>
      <c r="K244" s="30" t="n">
        <v>45.5</v>
      </c>
      <c r="L244" s="37" t="n">
        <v>47.9</v>
      </c>
      <c r="M244" s="18" t="n">
        <v>0</v>
      </c>
      <c r="N244" s="19" t="n">
        <v>26.4</v>
      </c>
      <c r="O244" s="108">
        <f>COUNTIFS($E:$E,$E244,$L:$L,"&gt;"&amp;$L244)+1</f>
        <v/>
      </c>
      <c r="P244" s="108">
        <f>COUNTIFS($E:$E,$E244,$M:$M,"&gt;"&amp;$M244)+1</f>
        <v/>
      </c>
      <c r="Q244" s="108">
        <f>COUNTIFS($E:$E,$E244,$N:$N,"&gt;"&amp;$N244)+1</f>
        <v/>
      </c>
      <c r="R244" s="31" t="inlineStr">
        <is>
          <t>➡️ Neutral</t>
        </is>
      </c>
      <c r="S244" s="31" t="inlineStr">
        <is>
          <t>🔴 Not Qualified</t>
        </is>
      </c>
      <c r="T244" s="31" t="inlineStr">
        <is>
          <t>🔴 Avoid</t>
        </is>
      </c>
      <c r="U244" s="83" t="inlineStr">
        <is>
          <t>FULL</t>
        </is>
      </c>
    </row>
    <row r="245" ht="16" customHeight="1">
      <c r="A245" s="13" t="n">
        <v>241</v>
      </c>
      <c r="B245" s="14" t="inlineStr">
        <is>
          <t>PGIM India Global Equity Opportunities Fund of Fund- Growth</t>
        </is>
      </c>
      <c r="C245" s="14" t="inlineStr">
        <is>
          <t>PGIM India Mutual Fund</t>
        </is>
      </c>
      <c r="D245" s="14" t="inlineStr">
        <is>
          <t>Fof Overseas</t>
        </is>
      </c>
      <c r="E245" s="14" t="inlineStr">
        <is>
          <t>International</t>
        </is>
      </c>
      <c r="F245" s="15" t="n">
        <v>1.8</v>
      </c>
      <c r="G245" s="15" t="n">
        <v>1.64</v>
      </c>
      <c r="H245" s="15" t="n">
        <v>14.18</v>
      </c>
      <c r="I245" s="15" t="n">
        <v>14.41</v>
      </c>
      <c r="J245" s="15" t="n">
        <v>10.79711187571633</v>
      </c>
      <c r="K245" s="15" t="n">
        <v>65.56999999999999</v>
      </c>
      <c r="L245" s="37" t="n">
        <v>37.6</v>
      </c>
      <c r="M245" s="18" t="n">
        <v>12.4</v>
      </c>
      <c r="N245" s="19" t="n">
        <v>26.3</v>
      </c>
      <c r="O245" s="108">
        <f>COUNTIFS($E:$E,$E245,$L:$L,"&gt;"&amp;$L245)+1</f>
        <v/>
      </c>
      <c r="P245" s="108">
        <f>COUNTIFS($E:$E,$E245,$M:$M,"&gt;"&amp;$M245)+1</f>
        <v/>
      </c>
      <c r="Q245" s="108">
        <f>COUNTIFS($E:$E,$E245,$N:$N,"&gt;"&amp;$N245)+1</f>
        <v/>
      </c>
      <c r="R245" s="20" t="inlineStr">
        <is>
          <t>📉 Weak</t>
        </is>
      </c>
      <c r="S245" s="20" t="inlineStr">
        <is>
          <t>⚠️ Below Avg</t>
        </is>
      </c>
      <c r="T245" s="20" t="inlineStr">
        <is>
          <t>🔴 Avoid</t>
        </is>
      </c>
      <c r="U245" s="83" t="inlineStr">
        <is>
          <t>FULL</t>
        </is>
      </c>
    </row>
    <row r="246" ht="16" customHeight="1">
      <c r="A246" s="28" t="n">
        <v>242</v>
      </c>
      <c r="B246" s="29" t="inlineStr">
        <is>
          <t>SBI Nifty 10 yr Benchmark G-Sec ETF</t>
        </is>
      </c>
      <c r="C246" s="29" t="inlineStr">
        <is>
          <t>SBI Mutual Fund</t>
        </is>
      </c>
      <c r="D246" s="29" t="inlineStr">
        <is>
          <t>Other  Etfs</t>
        </is>
      </c>
      <c r="E246" s="29" t="inlineStr">
        <is>
          <t>G-SEC</t>
        </is>
      </c>
      <c r="F246" s="30" t="n">
        <v>0.23</v>
      </c>
      <c r="G246" s="30" t="n">
        <v>3.28</v>
      </c>
      <c r="H246" s="30" t="n">
        <v>2.11</v>
      </c>
      <c r="I246" s="30" t="n">
        <v>2.9</v>
      </c>
      <c r="J246" s="30" t="n">
        <v>6.042444332446428</v>
      </c>
      <c r="K246" s="30" t="n">
        <v>22.6</v>
      </c>
      <c r="L246" s="37" t="n">
        <v>47.7</v>
      </c>
      <c r="M246" s="18" t="n">
        <v>0</v>
      </c>
      <c r="N246" s="19" t="n">
        <v>26.3</v>
      </c>
      <c r="O246" s="108">
        <f>COUNTIFS($E:$E,$E246,$L:$L,"&gt;"&amp;$L246)+1</f>
        <v/>
      </c>
      <c r="P246" s="108">
        <f>COUNTIFS($E:$E,$E246,$M:$M,"&gt;"&amp;$M246)+1</f>
        <v/>
      </c>
      <c r="Q246" s="108">
        <f>COUNTIFS($E:$E,$E246,$N:$N,"&gt;"&amp;$N246)+1</f>
        <v/>
      </c>
      <c r="R246" s="31" t="inlineStr">
        <is>
          <t>➡️ Neutral</t>
        </is>
      </c>
      <c r="S246" s="31" t="inlineStr">
        <is>
          <t>🔴 Not Qualified</t>
        </is>
      </c>
      <c r="T246" s="31" t="inlineStr">
        <is>
          <t>🔴 Avoid</t>
        </is>
      </c>
      <c r="U246" s="83" t="inlineStr">
        <is>
          <t>FULL</t>
        </is>
      </c>
    </row>
    <row r="247" ht="16" customHeight="1">
      <c r="A247" s="13" t="n">
        <v>243</v>
      </c>
      <c r="B247" s="14" t="inlineStr">
        <is>
          <t>Motilal Oswal Nifty 200 Momentum 30 Index Fund-Regular Plan</t>
        </is>
      </c>
      <c r="C247" s="14" t="inlineStr">
        <is>
          <t>Motilal Oswal Mutual Fund</t>
        </is>
      </c>
      <c r="D247" s="14" t="inlineStr">
        <is>
          <t>Index Funds</t>
        </is>
      </c>
      <c r="E247" s="14" t="inlineStr">
        <is>
          <t>Index Fund</t>
        </is>
      </c>
      <c r="F247" s="15" t="n">
        <v>2.98</v>
      </c>
      <c r="G247" s="15" t="n">
        <v>3.58</v>
      </c>
      <c r="H247" s="16" t="n">
        <v>-2.34</v>
      </c>
      <c r="I247" s="15" t="n">
        <v>1.87</v>
      </c>
      <c r="J247" s="16" t="n">
        <v>-7.61493627214408</v>
      </c>
      <c r="K247" s="15" t="n">
        <v>41.22</v>
      </c>
      <c r="L247" s="37" t="n">
        <v>47.7</v>
      </c>
      <c r="M247" s="18" t="n">
        <v>0</v>
      </c>
      <c r="N247" s="19" t="n">
        <v>26.2</v>
      </c>
      <c r="O247" s="108">
        <f>COUNTIFS($E:$E,$E247,$L:$L,"&gt;"&amp;$L247)+1</f>
        <v/>
      </c>
      <c r="P247" s="108">
        <f>COUNTIFS($E:$E,$E247,$M:$M,"&gt;"&amp;$M247)+1</f>
        <v/>
      </c>
      <c r="Q247" s="108">
        <f>COUNTIFS($E:$E,$E247,$N:$N,"&gt;"&amp;$N247)+1</f>
        <v/>
      </c>
      <c r="R247" s="20" t="inlineStr">
        <is>
          <t>➡️ Neutral</t>
        </is>
      </c>
      <c r="S247" s="20" t="inlineStr">
        <is>
          <t>🔴 Not Qualified</t>
        </is>
      </c>
      <c r="T247" s="20" t="inlineStr">
        <is>
          <t>🔴 Avoid</t>
        </is>
      </c>
      <c r="U247" s="83" t="inlineStr">
        <is>
          <t>FULL</t>
        </is>
      </c>
    </row>
    <row r="248" ht="16" customHeight="1">
      <c r="A248" s="28" t="n">
        <v>244</v>
      </c>
      <c r="B248" s="29" t="inlineStr">
        <is>
          <t>Edelweiss CRISIL IBX 50:50 Gilt Plus SDL April 2037 Index Fund - Regular Plan - Growth</t>
        </is>
      </c>
      <c r="C248" s="29" t="inlineStr">
        <is>
          <t>Edelweiss Mutual Fund</t>
        </is>
      </c>
      <c r="D248" s="29" t="inlineStr">
        <is>
          <t>Index Funds</t>
        </is>
      </c>
      <c r="E248" s="29" t="inlineStr">
        <is>
          <t>GILT</t>
        </is>
      </c>
      <c r="F248" s="30" t="n">
        <v>0.16</v>
      </c>
      <c r="G248" s="30" t="n">
        <v>3.74</v>
      </c>
      <c r="H248" s="30" t="n">
        <v>2.83</v>
      </c>
      <c r="I248" s="30" t="n">
        <v>4.34</v>
      </c>
      <c r="J248" s="30" t="n">
        <v>6.324973548080415</v>
      </c>
      <c r="K248" s="30" t="n">
        <v>23.9</v>
      </c>
      <c r="L248" s="37" t="n">
        <v>47.5</v>
      </c>
      <c r="M248" s="18" t="n">
        <v>0</v>
      </c>
      <c r="N248" s="19" t="n">
        <v>26.2</v>
      </c>
      <c r="O248" s="108">
        <f>COUNTIFS($E:$E,$E248,$L:$L,"&gt;"&amp;$L248)+1</f>
        <v/>
      </c>
      <c r="P248" s="108">
        <f>COUNTIFS($E:$E,$E248,$M:$M,"&gt;"&amp;$M248)+1</f>
        <v/>
      </c>
      <c r="Q248" s="108">
        <f>COUNTIFS($E:$E,$E248,$N:$N,"&gt;"&amp;$N248)+1</f>
        <v/>
      </c>
      <c r="R248" s="31" t="inlineStr">
        <is>
          <t>➡️ Neutral</t>
        </is>
      </c>
      <c r="S248" s="31" t="inlineStr">
        <is>
          <t>🔴 Not Qualified</t>
        </is>
      </c>
      <c r="T248" s="31" t="inlineStr">
        <is>
          <t>🔴 Avoid</t>
        </is>
      </c>
      <c r="U248" s="83" t="inlineStr">
        <is>
          <t>FULL</t>
        </is>
      </c>
    </row>
    <row r="249" ht="16" customHeight="1">
      <c r="A249" s="13" t="n">
        <v>245</v>
      </c>
      <c r="B249" s="14" t="inlineStr">
        <is>
          <t>Edelweiss CRISIL IBX 50:50 Gilt Plus SDL Short Duration Index fund - Regular Plan - Growth</t>
        </is>
      </c>
      <c r="C249" s="14" t="inlineStr">
        <is>
          <t>Edelweiss Mutual Fund</t>
        </is>
      </c>
      <c r="D249" s="14" t="inlineStr">
        <is>
          <t>Index Funds</t>
        </is>
      </c>
      <c r="E249" s="14" t="inlineStr">
        <is>
          <t>GILT</t>
        </is>
      </c>
      <c r="F249" s="15" t="n">
        <v>0.47</v>
      </c>
      <c r="G249" s="15" t="n">
        <v>2.23</v>
      </c>
      <c r="H249" s="15" t="n">
        <v>2.57</v>
      </c>
      <c r="I249" s="15" t="n">
        <v>5.5</v>
      </c>
      <c r="J249" s="15" t="n">
        <v>6.691143025089019</v>
      </c>
      <c r="K249" s="15" t="n">
        <v>22.71</v>
      </c>
      <c r="L249" s="37" t="n">
        <v>47.5</v>
      </c>
      <c r="M249" s="18" t="n">
        <v>0</v>
      </c>
      <c r="N249" s="19" t="n">
        <v>26.1</v>
      </c>
      <c r="O249" s="108">
        <f>COUNTIFS($E:$E,$E249,$L:$L,"&gt;"&amp;$L249)+1</f>
        <v/>
      </c>
      <c r="P249" s="108">
        <f>COUNTIFS($E:$E,$E249,$M:$M,"&gt;"&amp;$M249)+1</f>
        <v/>
      </c>
      <c r="Q249" s="108">
        <f>COUNTIFS($E:$E,$E249,$N:$N,"&gt;"&amp;$N249)+1</f>
        <v/>
      </c>
      <c r="R249" s="20" t="inlineStr">
        <is>
          <t>➡️ Neutral</t>
        </is>
      </c>
      <c r="S249" s="20" t="inlineStr">
        <is>
          <t>🔴 Not Qualified</t>
        </is>
      </c>
      <c r="T249" s="20" t="inlineStr">
        <is>
          <t>🔴 Avoid</t>
        </is>
      </c>
      <c r="U249" s="83" t="inlineStr">
        <is>
          <t>FULL</t>
        </is>
      </c>
    </row>
    <row r="250" ht="16" customHeight="1">
      <c r="A250" s="28" t="n">
        <v>246</v>
      </c>
      <c r="B250" s="29" t="inlineStr">
        <is>
          <t>Nippon India Nifty G-Sec Jun 2036 Maturity Index Fund-Regular Plan-Growth Option</t>
        </is>
      </c>
      <c r="C250" s="29" t="inlineStr">
        <is>
          <t>Nippon India Mutual Fund</t>
        </is>
      </c>
      <c r="D250" s="29" t="inlineStr">
        <is>
          <t>Index Funds</t>
        </is>
      </c>
      <c r="E250" s="29" t="inlineStr">
        <is>
          <t>G-SEC</t>
        </is>
      </c>
      <c r="F250" s="30" t="n">
        <v>0.39</v>
      </c>
      <c r="G250" s="30" t="n">
        <v>3.71</v>
      </c>
      <c r="H250" s="30" t="n">
        <v>2.58</v>
      </c>
      <c r="I250" s="30" t="n">
        <v>5.26</v>
      </c>
      <c r="J250" s="30" t="n">
        <v>6.855041996154765</v>
      </c>
      <c r="K250" s="30" t="n">
        <v>25.47</v>
      </c>
      <c r="L250" s="37" t="n">
        <v>47.4</v>
      </c>
      <c r="M250" s="18" t="n">
        <v>0</v>
      </c>
      <c r="N250" s="19" t="n">
        <v>26.1</v>
      </c>
      <c r="O250" s="108">
        <f>COUNTIFS($E:$E,$E250,$L:$L,"&gt;"&amp;$L250)+1</f>
        <v/>
      </c>
      <c r="P250" s="108">
        <f>COUNTIFS($E:$E,$E250,$M:$M,"&gt;"&amp;$M250)+1</f>
        <v/>
      </c>
      <c r="Q250" s="108">
        <f>COUNTIFS($E:$E,$E250,$N:$N,"&gt;"&amp;$N250)+1</f>
        <v/>
      </c>
      <c r="R250" s="31" t="inlineStr">
        <is>
          <t>➡️ Neutral</t>
        </is>
      </c>
      <c r="S250" s="31" t="inlineStr">
        <is>
          <t>🔴 Not Qualified</t>
        </is>
      </c>
      <c r="T250" s="31" t="inlineStr">
        <is>
          <t>🔴 Avoid</t>
        </is>
      </c>
      <c r="U250" s="83" t="inlineStr">
        <is>
          <t>FULL</t>
        </is>
      </c>
    </row>
    <row r="251" ht="16" customHeight="1">
      <c r="A251" s="13" t="n">
        <v>247</v>
      </c>
      <c r="B251" s="14" t="inlineStr">
        <is>
          <t>ICICI Prudential Nifty 10 yr Benchmark G-sec ETF</t>
        </is>
      </c>
      <c r="C251" s="14" t="inlineStr">
        <is>
          <t>ICICI Prudential Mutual Fund</t>
        </is>
      </c>
      <c r="D251" s="14" t="inlineStr">
        <is>
          <t>Other  Etfs</t>
        </is>
      </c>
      <c r="E251" s="14" t="inlineStr">
        <is>
          <t>G-SEC</t>
        </is>
      </c>
      <c r="F251" s="15" t="n">
        <v>0.23</v>
      </c>
      <c r="G251" s="15" t="n">
        <v>3.26</v>
      </c>
      <c r="H251" s="15" t="n">
        <v>2.1</v>
      </c>
      <c r="I251" s="15" t="n">
        <v>2.89</v>
      </c>
      <c r="J251" s="15" t="n">
        <v>5.981130395934153</v>
      </c>
      <c r="K251" s="15" t="n">
        <v>22.39</v>
      </c>
      <c r="L251" s="37" t="n">
        <v>47.4</v>
      </c>
      <c r="M251" s="18" t="n">
        <v>0</v>
      </c>
      <c r="N251" s="19" t="n">
        <v>26</v>
      </c>
      <c r="O251" s="108">
        <f>COUNTIFS($E:$E,$E251,$L:$L,"&gt;"&amp;$L251)+1</f>
        <v/>
      </c>
      <c r="P251" s="108">
        <f>COUNTIFS($E:$E,$E251,$M:$M,"&gt;"&amp;$M251)+1</f>
        <v/>
      </c>
      <c r="Q251" s="108">
        <f>COUNTIFS($E:$E,$E251,$N:$N,"&gt;"&amp;$N251)+1</f>
        <v/>
      </c>
      <c r="R251" s="20" t="inlineStr">
        <is>
          <t>➡️ Neutral</t>
        </is>
      </c>
      <c r="S251" s="20" t="inlineStr">
        <is>
          <t>🔴 Not Qualified</t>
        </is>
      </c>
      <c r="T251" s="20" t="inlineStr">
        <is>
          <t>🔴 Avoid</t>
        </is>
      </c>
      <c r="U251" s="83" t="inlineStr">
        <is>
          <t>FULL</t>
        </is>
      </c>
    </row>
    <row r="252" ht="16" customHeight="1">
      <c r="A252" s="28" t="n">
        <v>248</v>
      </c>
      <c r="B252" s="29" t="inlineStr">
        <is>
          <t>BHARAT Bond ETF FOF - April 2033 - Regular Plan - Growth</t>
        </is>
      </c>
      <c r="C252" s="29" t="inlineStr">
        <is>
          <t>Edelweiss Mutual Fund</t>
        </is>
      </c>
      <c r="D252" s="29" t="inlineStr">
        <is>
          <t>Fof Domestic</t>
        </is>
      </c>
      <c r="E252" s="29" t="inlineStr">
        <is>
          <t>Standard Equity/Debt</t>
        </is>
      </c>
      <c r="F252" s="30" t="n">
        <v>0.14</v>
      </c>
      <c r="G252" s="30" t="n">
        <v>3.89</v>
      </c>
      <c r="H252" s="30" t="n">
        <v>2.82</v>
      </c>
      <c r="I252" s="30" t="n">
        <v>5.34</v>
      </c>
      <c r="J252" s="30" t="n">
        <v>6.995327000762042</v>
      </c>
      <c r="K252" s="30" t="n">
        <v>25.18</v>
      </c>
      <c r="L252" s="37" t="n">
        <v>47.3</v>
      </c>
      <c r="M252" s="18" t="n">
        <v>0</v>
      </c>
      <c r="N252" s="19" t="n">
        <v>26</v>
      </c>
      <c r="O252" s="108">
        <f>COUNTIFS($E:$E,$E252,$L:$L,"&gt;"&amp;$L252)+1</f>
        <v/>
      </c>
      <c r="P252" s="108">
        <f>COUNTIFS($E:$E,$E252,$M:$M,"&gt;"&amp;$M252)+1</f>
        <v/>
      </c>
      <c r="Q252" s="108">
        <f>COUNTIFS($E:$E,$E252,$N:$N,"&gt;"&amp;$N252)+1</f>
        <v/>
      </c>
      <c r="R252" s="31" t="inlineStr">
        <is>
          <t>➡️ Neutral</t>
        </is>
      </c>
      <c r="S252" s="31" t="inlineStr">
        <is>
          <t>🔴 Not Qualified</t>
        </is>
      </c>
      <c r="T252" s="31" t="inlineStr">
        <is>
          <t>🔴 Avoid</t>
        </is>
      </c>
      <c r="U252" s="83" t="inlineStr">
        <is>
          <t>FULL</t>
        </is>
      </c>
    </row>
    <row r="253" ht="16" customHeight="1">
      <c r="A253" s="13" t="n">
        <v>249</v>
      </c>
      <c r="B253" s="14" t="inlineStr">
        <is>
          <t>SBI CRISIL IBX Gilt Index - June 2036 Fund - Regular Plan - Growth</t>
        </is>
      </c>
      <c r="C253" s="14" t="inlineStr">
        <is>
          <t>SBI Mutual Fund</t>
        </is>
      </c>
      <c r="D253" s="14" t="inlineStr">
        <is>
          <t>Index Funds</t>
        </is>
      </c>
      <c r="E253" s="14" t="inlineStr">
        <is>
          <t>GILT</t>
        </is>
      </c>
      <c r="F253" s="15" t="n">
        <v>0.36</v>
      </c>
      <c r="G253" s="15" t="n">
        <v>3.72</v>
      </c>
      <c r="H253" s="15" t="n">
        <v>2.58</v>
      </c>
      <c r="I253" s="15" t="n">
        <v>5.29</v>
      </c>
      <c r="J253" s="15" t="n">
        <v>6.756732808755439</v>
      </c>
      <c r="K253" s="15" t="n">
        <v>25.11</v>
      </c>
      <c r="L253" s="37" t="n">
        <v>47.3</v>
      </c>
      <c r="M253" s="18" t="n">
        <v>0</v>
      </c>
      <c r="N253" s="19" t="n">
        <v>26</v>
      </c>
      <c r="O253" s="108">
        <f>COUNTIFS($E:$E,$E253,$L:$L,"&gt;"&amp;$L253)+1</f>
        <v/>
      </c>
      <c r="P253" s="108">
        <f>COUNTIFS($E:$E,$E253,$M:$M,"&gt;"&amp;$M253)+1</f>
        <v/>
      </c>
      <c r="Q253" s="108">
        <f>COUNTIFS($E:$E,$E253,$N:$N,"&gt;"&amp;$N253)+1</f>
        <v/>
      </c>
      <c r="R253" s="20" t="inlineStr">
        <is>
          <t>➡️ Neutral</t>
        </is>
      </c>
      <c r="S253" s="20" t="inlineStr">
        <is>
          <t>🔴 Not Qualified</t>
        </is>
      </c>
      <c r="T253" s="20" t="inlineStr">
        <is>
          <t>🔴 Avoid</t>
        </is>
      </c>
      <c r="U253" s="83" t="inlineStr">
        <is>
          <t>FULL</t>
        </is>
      </c>
    </row>
    <row r="254" ht="16" customHeight="1">
      <c r="A254" s="28" t="n">
        <v>250</v>
      </c>
      <c r="B254" s="29" t="inlineStr">
        <is>
          <t>BHARAT Bond FOF- April 2031- Regular Plan- Growth Option</t>
        </is>
      </c>
      <c r="C254" s="29" t="inlineStr">
        <is>
          <t>Edelweiss Mutual Fund</t>
        </is>
      </c>
      <c r="D254" s="29" t="inlineStr">
        <is>
          <t>Fof Domestic</t>
        </is>
      </c>
      <c r="E254" s="29" t="inlineStr">
        <is>
          <t>Standard Equity/Debt</t>
        </is>
      </c>
      <c r="F254" s="30" t="n">
        <v>0.47</v>
      </c>
      <c r="G254" s="30" t="n">
        <v>3.46</v>
      </c>
      <c r="H254" s="30" t="n">
        <v>2.76</v>
      </c>
      <c r="I254" s="30" t="n">
        <v>5.5</v>
      </c>
      <c r="J254" s="30" t="n">
        <v>7.735787925832716</v>
      </c>
      <c r="K254" s="30" t="n">
        <v>25.44</v>
      </c>
      <c r="L254" s="37" t="n">
        <v>47.2</v>
      </c>
      <c r="M254" s="18" t="n">
        <v>0</v>
      </c>
      <c r="N254" s="19" t="n">
        <v>26</v>
      </c>
      <c r="O254" s="108">
        <f>COUNTIFS($E:$E,$E254,$L:$L,"&gt;"&amp;$L254)+1</f>
        <v/>
      </c>
      <c r="P254" s="108">
        <f>COUNTIFS($E:$E,$E254,$M:$M,"&gt;"&amp;$M254)+1</f>
        <v/>
      </c>
      <c r="Q254" s="108">
        <f>COUNTIFS($E:$E,$E254,$N:$N,"&gt;"&amp;$N254)+1</f>
        <v/>
      </c>
      <c r="R254" s="31" t="inlineStr">
        <is>
          <t>➡️ Neutral</t>
        </is>
      </c>
      <c r="S254" s="31" t="inlineStr">
        <is>
          <t>🔴 Not Qualified</t>
        </is>
      </c>
      <c r="T254" s="31" t="inlineStr">
        <is>
          <t>🔴 Avoid</t>
        </is>
      </c>
      <c r="U254" s="83" t="inlineStr">
        <is>
          <t>FULL</t>
        </is>
      </c>
    </row>
    <row r="255" ht="16" customHeight="1">
      <c r="A255" s="13" t="n">
        <v>251</v>
      </c>
      <c r="B255" s="14" t="inlineStr">
        <is>
          <t>DSP Nifty 50 Equal Weight Index Fund - Regular Plan - Growth</t>
        </is>
      </c>
      <c r="C255" s="14" t="inlineStr">
        <is>
          <t>DSP Mutual Fund</t>
        </is>
      </c>
      <c r="D255" s="14" t="inlineStr">
        <is>
          <t>Index Funds</t>
        </is>
      </c>
      <c r="E255" s="14" t="inlineStr">
        <is>
          <t>Index Fund</t>
        </is>
      </c>
      <c r="F255" s="15" t="n">
        <v>0.59</v>
      </c>
      <c r="G255" s="15" t="n">
        <v>2.68</v>
      </c>
      <c r="H255" s="16" t="n">
        <v>-1.57</v>
      </c>
      <c r="I255" s="15" t="n">
        <v>6.22</v>
      </c>
      <c r="J255" s="15" t="n">
        <v>2.795914315696413</v>
      </c>
      <c r="K255" s="15" t="n">
        <v>45.73</v>
      </c>
      <c r="L255" s="37" t="n">
        <v>47.1</v>
      </c>
      <c r="M255" s="18" t="n">
        <v>0</v>
      </c>
      <c r="N255" s="19" t="n">
        <v>25.9</v>
      </c>
      <c r="O255" s="108">
        <f>COUNTIFS($E:$E,$E255,$L:$L,"&gt;"&amp;$L255)+1</f>
        <v/>
      </c>
      <c r="P255" s="108">
        <f>COUNTIFS($E:$E,$E255,$M:$M,"&gt;"&amp;$M255)+1</f>
        <v/>
      </c>
      <c r="Q255" s="108">
        <f>COUNTIFS($E:$E,$E255,$N:$N,"&gt;"&amp;$N255)+1</f>
        <v/>
      </c>
      <c r="R255" s="20" t="inlineStr">
        <is>
          <t>➡️ Neutral</t>
        </is>
      </c>
      <c r="S255" s="20" t="inlineStr">
        <is>
          <t>🔴 Not Qualified</t>
        </is>
      </c>
      <c r="T255" s="20" t="inlineStr">
        <is>
          <t>🔴 Avoid</t>
        </is>
      </c>
      <c r="U255" s="83" t="inlineStr">
        <is>
          <t>FULL</t>
        </is>
      </c>
    </row>
    <row r="256" ht="16" customHeight="1">
      <c r="A256" s="28" t="n">
        <v>252</v>
      </c>
      <c r="B256" s="29" t="inlineStr">
        <is>
          <t>DSP Income Plus Arbitrage Omni FoF - Regular Plan - Growth</t>
        </is>
      </c>
      <c r="C256" s="29" t="inlineStr">
        <is>
          <t>DSP Mutual Fund</t>
        </is>
      </c>
      <c r="D256" s="29" t="inlineStr">
        <is>
          <t>Fof Domestic</t>
        </is>
      </c>
      <c r="E256" s="29" t="inlineStr">
        <is>
          <t>Standard Equity/Debt</t>
        </is>
      </c>
      <c r="F256" s="30" t="n">
        <v>0.5</v>
      </c>
      <c r="G256" s="30" t="n">
        <v>2.37</v>
      </c>
      <c r="H256" s="30" t="n">
        <v>2.67</v>
      </c>
      <c r="I256" s="30" t="n">
        <v>5.13</v>
      </c>
      <c r="J256" s="30" t="n">
        <v>6.367288204597932</v>
      </c>
      <c r="K256" s="30" t="n">
        <v>31.64</v>
      </c>
      <c r="L256" s="37" t="n">
        <v>46.9</v>
      </c>
      <c r="M256" s="18" t="n">
        <v>0</v>
      </c>
      <c r="N256" s="19" t="n">
        <v>25.8</v>
      </c>
      <c r="O256" s="108">
        <f>COUNTIFS($E:$E,$E256,$L:$L,"&gt;"&amp;$L256)+1</f>
        <v/>
      </c>
      <c r="P256" s="108">
        <f>COUNTIFS($E:$E,$E256,$M:$M,"&gt;"&amp;$M256)+1</f>
        <v/>
      </c>
      <c r="Q256" s="108">
        <f>COUNTIFS($E:$E,$E256,$N:$N,"&gt;"&amp;$N256)+1</f>
        <v/>
      </c>
      <c r="R256" s="31" t="inlineStr">
        <is>
          <t>➡️ Neutral</t>
        </is>
      </c>
      <c r="S256" s="31" t="inlineStr">
        <is>
          <t>🔴 Not Qualified</t>
        </is>
      </c>
      <c r="T256" s="31" t="inlineStr">
        <is>
          <t>🔴 Avoid</t>
        </is>
      </c>
      <c r="U256" s="83" t="inlineStr">
        <is>
          <t>FULL</t>
        </is>
      </c>
    </row>
    <row r="257" ht="16" customHeight="1">
      <c r="A257" s="13" t="n">
        <v>253</v>
      </c>
      <c r="B257" s="14" t="inlineStr">
        <is>
          <t>HDFC NIFTY100 Low Volatility 30 ETF - Growth Option</t>
        </is>
      </c>
      <c r="C257" s="14" t="inlineStr">
        <is>
          <t>HDFC Mutual Fund</t>
        </is>
      </c>
      <c r="D257" s="14" t="inlineStr">
        <is>
          <t>Other  Etfs</t>
        </is>
      </c>
      <c r="E257" s="14" t="inlineStr">
        <is>
          <t>Index Fund</t>
        </is>
      </c>
      <c r="F257" s="15" t="n">
        <v>0.72</v>
      </c>
      <c r="G257" s="15" t="n">
        <v>3.74</v>
      </c>
      <c r="H257" s="16" t="n">
        <v>-2.4</v>
      </c>
      <c r="I257" s="15" t="n">
        <v>2.13</v>
      </c>
      <c r="J257" s="15" t="n">
        <v>1.222527136996532</v>
      </c>
      <c r="K257" s="16" t="n">
        <v>-86.05</v>
      </c>
      <c r="L257" s="37" t="n">
        <v>46.8</v>
      </c>
      <c r="M257" s="18" t="n">
        <v>0</v>
      </c>
      <c r="N257" s="19" t="n">
        <v>25.7</v>
      </c>
      <c r="O257" s="108">
        <f>COUNTIFS($E:$E,$E257,$L:$L,"&gt;"&amp;$L257)+1</f>
        <v/>
      </c>
      <c r="P257" s="108">
        <f>COUNTIFS($E:$E,$E257,$M:$M,"&gt;"&amp;$M257)+1</f>
        <v/>
      </c>
      <c r="Q257" s="108">
        <f>COUNTIFS($E:$E,$E257,$N:$N,"&gt;"&amp;$N257)+1</f>
        <v/>
      </c>
      <c r="R257" s="20" t="inlineStr">
        <is>
          <t>➡️ Neutral</t>
        </is>
      </c>
      <c r="S257" s="20" t="inlineStr">
        <is>
          <t>🔴 Not Qualified</t>
        </is>
      </c>
      <c r="T257" s="20" t="inlineStr">
        <is>
          <t>🔴 Avoid</t>
        </is>
      </c>
      <c r="U257" s="83" t="inlineStr">
        <is>
          <t>FULL</t>
        </is>
      </c>
    </row>
    <row r="258" ht="16" customHeight="1">
      <c r="A258" s="28" t="n">
        <v>254</v>
      </c>
      <c r="B258" s="29" t="inlineStr">
        <is>
          <t>HDFC NIFTY50 Equal weight Index Fund - Growth Option</t>
        </is>
      </c>
      <c r="C258" s="29" t="inlineStr">
        <is>
          <t>HDFC Mutual Fund</t>
        </is>
      </c>
      <c r="D258" s="29" t="inlineStr">
        <is>
          <t>Index Funds</t>
        </is>
      </c>
      <c r="E258" s="29" t="inlineStr">
        <is>
          <t>Index Fund</t>
        </is>
      </c>
      <c r="F258" s="30" t="n">
        <v>0.59</v>
      </c>
      <c r="G258" s="30" t="n">
        <v>2.61</v>
      </c>
      <c r="H258" s="91" t="n">
        <v>-1.62</v>
      </c>
      <c r="I258" s="30" t="n">
        <v>6.18</v>
      </c>
      <c r="J258" s="30" t="n">
        <v>2.800778207171173</v>
      </c>
      <c r="K258" s="30" t="n">
        <v>45.94</v>
      </c>
      <c r="L258" s="37" t="n">
        <v>46.7</v>
      </c>
      <c r="M258" s="18" t="n">
        <v>0</v>
      </c>
      <c r="N258" s="19" t="n">
        <v>25.7</v>
      </c>
      <c r="O258" s="108">
        <f>COUNTIFS($E:$E,$E258,$L:$L,"&gt;"&amp;$L258)+1</f>
        <v/>
      </c>
      <c r="P258" s="108">
        <f>COUNTIFS($E:$E,$E258,$M:$M,"&gt;"&amp;$M258)+1</f>
        <v/>
      </c>
      <c r="Q258" s="108">
        <f>COUNTIFS($E:$E,$E258,$N:$N,"&gt;"&amp;$N258)+1</f>
        <v/>
      </c>
      <c r="R258" s="31" t="inlineStr">
        <is>
          <t>➡️ Neutral</t>
        </is>
      </c>
      <c r="S258" s="31" t="inlineStr">
        <is>
          <t>🔴 Not Qualified</t>
        </is>
      </c>
      <c r="T258" s="31" t="inlineStr">
        <is>
          <t>🔴 Avoid</t>
        </is>
      </c>
      <c r="U258" s="83" t="inlineStr">
        <is>
          <t>FULL</t>
        </is>
      </c>
    </row>
    <row r="259" ht="16" customHeight="1">
      <c r="A259" s="13" t="n">
        <v>255</v>
      </c>
      <c r="B259" s="14" t="inlineStr">
        <is>
          <t>Nippon India Nifty SDL Plus G-Sec - Jun 2028 Maturity 70:30 Index Fund-Regular Plan-Growth Option</t>
        </is>
      </c>
      <c r="C259" s="14" t="inlineStr">
        <is>
          <t>Nippon India Mutual Fund</t>
        </is>
      </c>
      <c r="D259" s="14" t="inlineStr">
        <is>
          <t>Index Funds</t>
        </is>
      </c>
      <c r="E259" s="14" t="inlineStr">
        <is>
          <t>G-SEC</t>
        </is>
      </c>
      <c r="F259" s="15" t="n">
        <v>0.47</v>
      </c>
      <c r="G259" s="15" t="n">
        <v>2.16</v>
      </c>
      <c r="H259" s="15" t="n">
        <v>2.52</v>
      </c>
      <c r="I259" s="15" t="n">
        <v>5.49</v>
      </c>
      <c r="J259" s="15" t="n">
        <v>7.042047812997287</v>
      </c>
      <c r="K259" s="15" t="n">
        <v>24.17</v>
      </c>
      <c r="L259" s="37" t="n">
        <v>46.4</v>
      </c>
      <c r="M259" s="18" t="n">
        <v>0</v>
      </c>
      <c r="N259" s="19" t="n">
        <v>25.5</v>
      </c>
      <c r="O259" s="108">
        <f>COUNTIFS($E:$E,$E259,$L:$L,"&gt;"&amp;$L259)+1</f>
        <v/>
      </c>
      <c r="P259" s="108">
        <f>COUNTIFS($E:$E,$E259,$M:$M,"&gt;"&amp;$M259)+1</f>
        <v/>
      </c>
      <c r="Q259" s="108">
        <f>COUNTIFS($E:$E,$E259,$N:$N,"&gt;"&amp;$N259)+1</f>
        <v/>
      </c>
      <c r="R259" s="20" t="inlineStr">
        <is>
          <t>➡️ Neutral</t>
        </is>
      </c>
      <c r="S259" s="20" t="inlineStr">
        <is>
          <t>🔴 Not Qualified</t>
        </is>
      </c>
      <c r="T259" s="20" t="inlineStr">
        <is>
          <t>🔴 Avoid</t>
        </is>
      </c>
      <c r="U259" s="83" t="inlineStr">
        <is>
          <t>FULL</t>
        </is>
      </c>
    </row>
    <row r="260" ht="16" customHeight="1">
      <c r="A260" s="28" t="n">
        <v>256</v>
      </c>
      <c r="B260" s="29" t="inlineStr">
        <is>
          <t>Axis Nifty SDL September 2026 Debt Index Fund - Regular Plan - Growth</t>
        </is>
      </c>
      <c r="C260" s="29" t="inlineStr">
        <is>
          <t>Axis Mutual Fund</t>
        </is>
      </c>
      <c r="D260" s="29" t="inlineStr">
        <is>
          <t>Index Funds</t>
        </is>
      </c>
      <c r="E260" s="29" t="inlineStr">
        <is>
          <t>Index Fund</t>
        </is>
      </c>
      <c r="F260" s="30" t="n">
        <v>0.45</v>
      </c>
      <c r="G260" s="30" t="n">
        <v>1.36</v>
      </c>
      <c r="H260" s="30" t="n">
        <v>2.71</v>
      </c>
      <c r="I260" s="30" t="n">
        <v>5.68</v>
      </c>
      <c r="J260" s="30" t="n">
        <v>6.826962888589128</v>
      </c>
      <c r="K260" s="30" t="n">
        <v>23.11</v>
      </c>
      <c r="L260" s="37" t="n">
        <v>46.4</v>
      </c>
      <c r="M260" s="18" t="n">
        <v>0</v>
      </c>
      <c r="N260" s="19" t="n">
        <v>25.5</v>
      </c>
      <c r="O260" s="108">
        <f>COUNTIFS($E:$E,$E260,$L:$L,"&gt;"&amp;$L260)+1</f>
        <v/>
      </c>
      <c r="P260" s="108">
        <f>COUNTIFS($E:$E,$E260,$M:$M,"&gt;"&amp;$M260)+1</f>
        <v/>
      </c>
      <c r="Q260" s="108">
        <f>COUNTIFS($E:$E,$E260,$N:$N,"&gt;"&amp;$N260)+1</f>
        <v/>
      </c>
      <c r="R260" s="31" t="inlineStr">
        <is>
          <t>➡️ Neutral</t>
        </is>
      </c>
      <c r="S260" s="31" t="inlineStr">
        <is>
          <t>🔴 Not Qualified</t>
        </is>
      </c>
      <c r="T260" s="31" t="inlineStr">
        <is>
          <t>🔴 Avoid</t>
        </is>
      </c>
      <c r="U260" s="83" t="inlineStr">
        <is>
          <t>FULL</t>
        </is>
      </c>
    </row>
    <row r="261" ht="16" customHeight="1">
      <c r="A261" s="13" t="n">
        <v>257</v>
      </c>
      <c r="B261" s="14" t="inlineStr">
        <is>
          <t>ICICI Prudential Nifty 100 Low Volatility 30 ETF</t>
        </is>
      </c>
      <c r="C261" s="14" t="inlineStr">
        <is>
          <t>ICICI Prudential Mutual Fund</t>
        </is>
      </c>
      <c r="D261" s="14" t="inlineStr">
        <is>
          <t>Other  Etfs</t>
        </is>
      </c>
      <c r="E261" s="14" t="inlineStr">
        <is>
          <t>Index Fund</t>
        </is>
      </c>
      <c r="F261" s="15" t="n">
        <v>0.73</v>
      </c>
      <c r="G261" s="15" t="n">
        <v>3.73</v>
      </c>
      <c r="H261" s="16" t="n">
        <v>-2.41</v>
      </c>
      <c r="I261" s="15" t="n">
        <v>2.05</v>
      </c>
      <c r="J261" s="15" t="n">
        <v>1.123686641656807</v>
      </c>
      <c r="K261" s="16" t="n">
        <v>-86.09999999999999</v>
      </c>
      <c r="L261" s="37" t="n">
        <v>46.4</v>
      </c>
      <c r="M261" s="18" t="n">
        <v>0</v>
      </c>
      <c r="N261" s="19" t="n">
        <v>25.5</v>
      </c>
      <c r="O261" s="108">
        <f>COUNTIFS($E:$E,$E261,$L:$L,"&gt;"&amp;$L261)+1</f>
        <v/>
      </c>
      <c r="P261" s="108">
        <f>COUNTIFS($E:$E,$E261,$M:$M,"&gt;"&amp;$M261)+1</f>
        <v/>
      </c>
      <c r="Q261" s="108">
        <f>COUNTIFS($E:$E,$E261,$N:$N,"&gt;"&amp;$N261)+1</f>
        <v/>
      </c>
      <c r="R261" s="20" t="inlineStr">
        <is>
          <t>➡️ Neutral</t>
        </is>
      </c>
      <c r="S261" s="20" t="inlineStr">
        <is>
          <t>🔴 Not Qualified</t>
        </is>
      </c>
      <c r="T261" s="20" t="inlineStr">
        <is>
          <t>🔴 Avoid</t>
        </is>
      </c>
      <c r="U261" s="83" t="inlineStr">
        <is>
          <t>FULL</t>
        </is>
      </c>
    </row>
    <row r="262" ht="16" customHeight="1">
      <c r="A262" s="28" t="n">
        <v>258</v>
      </c>
      <c r="B262" s="29" t="inlineStr">
        <is>
          <t>BANDHAN CRISIL IBX 90:10 SDL PLUS GILT - NOV 2026 INDEX FUND - REGULAR GROWTH</t>
        </is>
      </c>
      <c r="C262" s="29" t="inlineStr">
        <is>
          <t>Bandhan Mutual Fund</t>
        </is>
      </c>
      <c r="D262" s="29" t="inlineStr">
        <is>
          <t>Index Funds</t>
        </is>
      </c>
      <c r="E262" s="29" t="inlineStr">
        <is>
          <t>GILT</t>
        </is>
      </c>
      <c r="F262" s="30" t="n">
        <v>0.47</v>
      </c>
      <c r="G262" s="30" t="n">
        <v>1.4</v>
      </c>
      <c r="H262" s="30" t="n">
        <v>2.68</v>
      </c>
      <c r="I262" s="30" t="n">
        <v>5.61</v>
      </c>
      <c r="J262" s="30" t="n">
        <v>6.780147967681716</v>
      </c>
      <c r="K262" s="30" t="n">
        <v>22.91</v>
      </c>
      <c r="L262" s="37" t="n">
        <v>46.3</v>
      </c>
      <c r="M262" s="18" t="n">
        <v>0</v>
      </c>
      <c r="N262" s="19" t="n">
        <v>25.5</v>
      </c>
      <c r="O262" s="108">
        <f>COUNTIFS($E:$E,$E262,$L:$L,"&gt;"&amp;$L262)+1</f>
        <v/>
      </c>
      <c r="P262" s="108">
        <f>COUNTIFS($E:$E,$E262,$M:$M,"&gt;"&amp;$M262)+1</f>
        <v/>
      </c>
      <c r="Q262" s="108">
        <f>COUNTIFS($E:$E,$E262,$N:$N,"&gt;"&amp;$N262)+1</f>
        <v/>
      </c>
      <c r="R262" s="31" t="inlineStr">
        <is>
          <t>➡️ Neutral</t>
        </is>
      </c>
      <c r="S262" s="31" t="inlineStr">
        <is>
          <t>🔴 Not Qualified</t>
        </is>
      </c>
      <c r="T262" s="31" t="inlineStr">
        <is>
          <t>🔴 Avoid</t>
        </is>
      </c>
      <c r="U262" s="83" t="inlineStr">
        <is>
          <t>FULL</t>
        </is>
      </c>
    </row>
    <row r="263" ht="16" customHeight="1">
      <c r="A263" s="13" t="n">
        <v>259</v>
      </c>
      <c r="B263" s="14" t="inlineStr">
        <is>
          <t>Mirae Asset Nifty 100 Low Volatility 30 ETF</t>
        </is>
      </c>
      <c r="C263" s="14" t="inlineStr">
        <is>
          <t>Mirae Asset Mutual Fund</t>
        </is>
      </c>
      <c r="D263" s="14" t="inlineStr">
        <is>
          <t>Other  Etfs</t>
        </is>
      </c>
      <c r="E263" s="14" t="inlineStr">
        <is>
          <t>Index Fund</t>
        </is>
      </c>
      <c r="F263" s="15" t="n">
        <v>0.72</v>
      </c>
      <c r="G263" s="15" t="n">
        <v>3.73</v>
      </c>
      <c r="H263" s="16" t="n">
        <v>-2.42</v>
      </c>
      <c r="I263" s="15" t="n">
        <v>2.07</v>
      </c>
      <c r="J263" s="15" t="n">
        <v>1.222527136996532</v>
      </c>
      <c r="K263" s="15" t="n">
        <v>39.54</v>
      </c>
      <c r="L263" s="37" t="n">
        <v>46.2</v>
      </c>
      <c r="M263" s="18" t="n">
        <v>0</v>
      </c>
      <c r="N263" s="19" t="n">
        <v>25.4</v>
      </c>
      <c r="O263" s="108">
        <f>COUNTIFS($E:$E,$E263,$L:$L,"&gt;"&amp;$L263)+1</f>
        <v/>
      </c>
      <c r="P263" s="108">
        <f>COUNTIFS($E:$E,$E263,$M:$M,"&gt;"&amp;$M263)+1</f>
        <v/>
      </c>
      <c r="Q263" s="108">
        <f>COUNTIFS($E:$E,$E263,$N:$N,"&gt;"&amp;$N263)+1</f>
        <v/>
      </c>
      <c r="R263" s="20" t="inlineStr">
        <is>
          <t>➡️ Neutral</t>
        </is>
      </c>
      <c r="S263" s="20" t="inlineStr">
        <is>
          <t>🔴 Not Qualified</t>
        </is>
      </c>
      <c r="T263" s="20" t="inlineStr">
        <is>
          <t>🔴 Avoid</t>
        </is>
      </c>
      <c r="U263" s="83" t="inlineStr">
        <is>
          <t>FULL</t>
        </is>
      </c>
    </row>
    <row r="264" ht="16" customHeight="1">
      <c r="A264" s="28" t="n">
        <v>260</v>
      </c>
      <c r="B264" s="29" t="inlineStr">
        <is>
          <t>HDFC NIFTY SDL Plus G-Sec Jun 2027 40:60 Index Fund - Growth Option</t>
        </is>
      </c>
      <c r="C264" s="29" t="inlineStr">
        <is>
          <t>HDFC Mutual Fund</t>
        </is>
      </c>
      <c r="D264" s="29" t="inlineStr">
        <is>
          <t>Index Funds</t>
        </is>
      </c>
      <c r="E264" s="29" t="inlineStr">
        <is>
          <t>G-SEC</t>
        </is>
      </c>
      <c r="F264" s="30" t="n">
        <v>0.44</v>
      </c>
      <c r="G264" s="30" t="n">
        <v>1.62</v>
      </c>
      <c r="H264" s="30" t="n">
        <v>2.6</v>
      </c>
      <c r="I264" s="30" t="n">
        <v>5.71</v>
      </c>
      <c r="J264" s="30" t="n">
        <v>6.915854764389362</v>
      </c>
      <c r="K264" s="30" t="n">
        <v>23.59</v>
      </c>
      <c r="L264" s="37" t="n">
        <v>45.8</v>
      </c>
      <c r="M264" s="18" t="n">
        <v>0</v>
      </c>
      <c r="N264" s="19" t="n">
        <v>25.2</v>
      </c>
      <c r="O264" s="108">
        <f>COUNTIFS($E:$E,$E264,$L:$L,"&gt;"&amp;$L264)+1</f>
        <v/>
      </c>
      <c r="P264" s="108">
        <f>COUNTIFS($E:$E,$E264,$M:$M,"&gt;"&amp;$M264)+1</f>
        <v/>
      </c>
      <c r="Q264" s="108">
        <f>COUNTIFS($E:$E,$E264,$N:$N,"&gt;"&amp;$N264)+1</f>
        <v/>
      </c>
      <c r="R264" s="31" t="inlineStr">
        <is>
          <t>➡️ Neutral</t>
        </is>
      </c>
      <c r="S264" s="31" t="inlineStr">
        <is>
          <t>🔴 Not Qualified</t>
        </is>
      </c>
      <c r="T264" s="31" t="inlineStr">
        <is>
          <t>🔴 Avoid</t>
        </is>
      </c>
      <c r="U264" s="83" t="inlineStr">
        <is>
          <t>FULL</t>
        </is>
      </c>
    </row>
    <row r="265" ht="16" customHeight="1">
      <c r="A265" s="13" t="n">
        <v>261</v>
      </c>
      <c r="B265" s="14" t="inlineStr">
        <is>
          <t>Aditya Birla Sun Life Nifty SDL Apr 2027 Index Fund-Regular Growth</t>
        </is>
      </c>
      <c r="C265" s="14" t="inlineStr">
        <is>
          <t>Aditya Birla Sun Life Mutual Fund</t>
        </is>
      </c>
      <c r="D265" s="14" t="inlineStr">
        <is>
          <t>Index Funds</t>
        </is>
      </c>
      <c r="E265" s="14" t="inlineStr">
        <is>
          <t>Index Fund</t>
        </is>
      </c>
      <c r="F265" s="15" t="n">
        <v>0.46</v>
      </c>
      <c r="G265" s="15" t="n">
        <v>1.41</v>
      </c>
      <c r="H265" s="15" t="n">
        <v>2.65</v>
      </c>
      <c r="I265" s="15" t="n">
        <v>5.59</v>
      </c>
      <c r="J265" s="15" t="n">
        <v>6.733312513010659</v>
      </c>
      <c r="K265" s="15" t="n">
        <v>22.8</v>
      </c>
      <c r="L265" s="37" t="n">
        <v>45.7</v>
      </c>
      <c r="M265" s="18" t="n">
        <v>0</v>
      </c>
      <c r="N265" s="19" t="n">
        <v>25.2</v>
      </c>
      <c r="O265" s="108">
        <f>COUNTIFS($E:$E,$E265,$L:$L,"&gt;"&amp;$L265)+1</f>
        <v/>
      </c>
      <c r="P265" s="108">
        <f>COUNTIFS($E:$E,$E265,$M:$M,"&gt;"&amp;$M265)+1</f>
        <v/>
      </c>
      <c r="Q265" s="108">
        <f>COUNTIFS($E:$E,$E265,$N:$N,"&gt;"&amp;$N265)+1</f>
        <v/>
      </c>
      <c r="R265" s="20" t="inlineStr">
        <is>
          <t>➡️ Neutral</t>
        </is>
      </c>
      <c r="S265" s="20" t="inlineStr">
        <is>
          <t>🔴 Not Qualified</t>
        </is>
      </c>
      <c r="T265" s="20" t="inlineStr">
        <is>
          <t>🔴 Avoid</t>
        </is>
      </c>
      <c r="U265" s="83" t="inlineStr">
        <is>
          <t>FULL</t>
        </is>
      </c>
    </row>
    <row r="266" ht="16" customHeight="1">
      <c r="A266" s="28" t="n">
        <v>262</v>
      </c>
      <c r="B266" s="29" t="inlineStr">
        <is>
          <t>Baroda BNP Paribas Nifty SDL December 2026 Index Fund - Regular Plan - Growth Option</t>
        </is>
      </c>
      <c r="C266" s="29" t="inlineStr">
        <is>
          <t>Baroda BNP Paribas Mutual Fund</t>
        </is>
      </c>
      <c r="D266" s="29" t="inlineStr">
        <is>
          <t>Index Funds</t>
        </is>
      </c>
      <c r="E266" s="29" t="inlineStr">
        <is>
          <t>Index Fund</t>
        </is>
      </c>
      <c r="F266" s="30" t="n">
        <v>0.49</v>
      </c>
      <c r="G266" s="30" t="n">
        <v>1.44</v>
      </c>
      <c r="H266" s="30" t="n">
        <v>2.7</v>
      </c>
      <c r="I266" s="30" t="n">
        <v>5.49</v>
      </c>
      <c r="J266" s="30" t="n">
        <v>6.775465346679699</v>
      </c>
      <c r="K266" s="30" t="n">
        <v>22.86</v>
      </c>
      <c r="L266" s="37" t="n">
        <v>45.7</v>
      </c>
      <c r="M266" s="18" t="n">
        <v>0</v>
      </c>
      <c r="N266" s="19" t="n">
        <v>25.1</v>
      </c>
      <c r="O266" s="108">
        <f>COUNTIFS($E:$E,$E266,$L:$L,"&gt;"&amp;$L266)+1</f>
        <v/>
      </c>
      <c r="P266" s="108">
        <f>COUNTIFS($E:$E,$E266,$M:$M,"&gt;"&amp;$M266)+1</f>
        <v/>
      </c>
      <c r="Q266" s="108">
        <f>COUNTIFS($E:$E,$E266,$N:$N,"&gt;"&amp;$N266)+1</f>
        <v/>
      </c>
      <c r="R266" s="31" t="inlineStr">
        <is>
          <t>➡️ Neutral</t>
        </is>
      </c>
      <c r="S266" s="31" t="inlineStr">
        <is>
          <t>🔴 Not Qualified</t>
        </is>
      </c>
      <c r="T266" s="31" t="inlineStr">
        <is>
          <t>🔴 Avoid</t>
        </is>
      </c>
      <c r="U266" s="83" t="inlineStr">
        <is>
          <t>FULL</t>
        </is>
      </c>
    </row>
    <row r="267" ht="16" customHeight="1">
      <c r="A267" s="13" t="n">
        <v>263</v>
      </c>
      <c r="B267" s="14" t="inlineStr">
        <is>
          <t>DSP Nifty SDL Plus G-Sec Jun 2028 30:70 Index Fund - Regular - Growth</t>
        </is>
      </c>
      <c r="C267" s="14" t="inlineStr">
        <is>
          <t>DSP Mutual Fund</t>
        </is>
      </c>
      <c r="D267" s="14" t="inlineStr">
        <is>
          <t>Index Funds</t>
        </is>
      </c>
      <c r="E267" s="14" t="inlineStr">
        <is>
          <t>G-SEC</t>
        </is>
      </c>
      <c r="F267" s="15" t="n">
        <v>0.43</v>
      </c>
      <c r="G267" s="15" t="n">
        <v>2.03</v>
      </c>
      <c r="H267" s="15" t="n">
        <v>2.47</v>
      </c>
      <c r="I267" s="15" t="n">
        <v>5.61</v>
      </c>
      <c r="J267" s="15" t="n">
        <v>7.060730429042006</v>
      </c>
      <c r="K267" s="15" t="n">
        <v>24.13</v>
      </c>
      <c r="L267" s="37" t="n">
        <v>45.2</v>
      </c>
      <c r="M267" s="18" t="n">
        <v>0</v>
      </c>
      <c r="N267" s="19" t="n">
        <v>24.9</v>
      </c>
      <c r="O267" s="108">
        <f>COUNTIFS($E:$E,$E267,$L:$L,"&gt;"&amp;$L267)+1</f>
        <v/>
      </c>
      <c r="P267" s="108">
        <f>COUNTIFS($E:$E,$E267,$M:$M,"&gt;"&amp;$M267)+1</f>
        <v/>
      </c>
      <c r="Q267" s="108">
        <f>COUNTIFS($E:$E,$E267,$N:$N,"&gt;"&amp;$N267)+1</f>
        <v/>
      </c>
      <c r="R267" s="20" t="inlineStr">
        <is>
          <t>➡️ Neutral</t>
        </is>
      </c>
      <c r="S267" s="20" t="inlineStr">
        <is>
          <t>🔴 Not Qualified</t>
        </is>
      </c>
      <c r="T267" s="20" t="inlineStr">
        <is>
          <t>🔴 Avoid</t>
        </is>
      </c>
      <c r="U267" s="83" t="inlineStr">
        <is>
          <t>FULL</t>
        </is>
      </c>
    </row>
    <row r="268" ht="16" customHeight="1">
      <c r="A268" s="28" t="n">
        <v>264</v>
      </c>
      <c r="B268" s="29" t="inlineStr">
        <is>
          <t>Axis CRISIL IBX 50:50 Gilt Plus SDL June 2028 Index Fund - Regular Plan - Growth</t>
        </is>
      </c>
      <c r="C268" s="29" t="inlineStr">
        <is>
          <t>Axis Mutual Fund</t>
        </is>
      </c>
      <c r="D268" s="29" t="inlineStr">
        <is>
          <t>Index Funds</t>
        </is>
      </c>
      <c r="E268" s="29" t="inlineStr">
        <is>
          <t>GILT</t>
        </is>
      </c>
      <c r="F268" s="30" t="n">
        <v>0.44</v>
      </c>
      <c r="G268" s="30" t="n">
        <v>2.23</v>
      </c>
      <c r="H268" s="30" t="n">
        <v>2.46</v>
      </c>
      <c r="I268" s="30" t="n">
        <v>5.49</v>
      </c>
      <c r="J268" s="30" t="n">
        <v>7.051389528581087</v>
      </c>
      <c r="K268" s="30" t="n">
        <v>24.11</v>
      </c>
      <c r="L268" s="37" t="n">
        <v>45.1</v>
      </c>
      <c r="M268" s="18" t="n">
        <v>0</v>
      </c>
      <c r="N268" s="19" t="n">
        <v>24.8</v>
      </c>
      <c r="O268" s="108">
        <f>COUNTIFS($E:$E,$E268,$L:$L,"&gt;"&amp;$L268)+1</f>
        <v/>
      </c>
      <c r="P268" s="108">
        <f>COUNTIFS($E:$E,$E268,$M:$M,"&gt;"&amp;$M268)+1</f>
        <v/>
      </c>
      <c r="Q268" s="108">
        <f>COUNTIFS($E:$E,$E268,$N:$N,"&gt;"&amp;$N268)+1</f>
        <v/>
      </c>
      <c r="R268" s="31" t="inlineStr">
        <is>
          <t>➡️ Neutral</t>
        </is>
      </c>
      <c r="S268" s="31" t="inlineStr">
        <is>
          <t>🔴 Not Qualified</t>
        </is>
      </c>
      <c r="T268" s="31" t="inlineStr">
        <is>
          <t>🔴 Avoid</t>
        </is>
      </c>
      <c r="U268" s="83" t="inlineStr">
        <is>
          <t>FULL</t>
        </is>
      </c>
    </row>
    <row r="269" ht="16" customHeight="1">
      <c r="A269" s="13" t="n">
        <v>265</v>
      </c>
      <c r="B269" s="14" t="inlineStr">
        <is>
          <t>Nippon India Nifty SDL Plus G-Sec-Jun 2029 Maturity 70:30 Index Fund-Regular Plan- Growth Option</t>
        </is>
      </c>
      <c r="C269" s="14" t="inlineStr">
        <is>
          <t>Nippon India Mutual Fund</t>
        </is>
      </c>
      <c r="D269" s="14" t="inlineStr">
        <is>
          <t>Index Funds</t>
        </is>
      </c>
      <c r="E269" s="14" t="inlineStr">
        <is>
          <t>G-SEC</t>
        </is>
      </c>
      <c r="F269" s="15" t="n">
        <v>0.43</v>
      </c>
      <c r="G269" s="15" t="n">
        <v>2.55</v>
      </c>
      <c r="H269" s="15" t="n">
        <v>2.55</v>
      </c>
      <c r="I269" s="15" t="n">
        <v>5.57</v>
      </c>
      <c r="J269" s="15" t="n">
        <v>7.121426428142752</v>
      </c>
      <c r="K269" s="15" t="n">
        <v>24.63</v>
      </c>
      <c r="L269" s="37" t="n">
        <v>45.1</v>
      </c>
      <c r="M269" s="18" t="n">
        <v>0</v>
      </c>
      <c r="N269" s="19" t="n">
        <v>24.8</v>
      </c>
      <c r="O269" s="108">
        <f>COUNTIFS($E:$E,$E269,$L:$L,"&gt;"&amp;$L269)+1</f>
        <v/>
      </c>
      <c r="P269" s="108">
        <f>COUNTIFS($E:$E,$E269,$M:$M,"&gt;"&amp;$M269)+1</f>
        <v/>
      </c>
      <c r="Q269" s="108">
        <f>COUNTIFS($E:$E,$E269,$N:$N,"&gt;"&amp;$N269)+1</f>
        <v/>
      </c>
      <c r="R269" s="20" t="inlineStr">
        <is>
          <t>➡️ Neutral</t>
        </is>
      </c>
      <c r="S269" s="20" t="inlineStr">
        <is>
          <t>🔴 Not Qualified</t>
        </is>
      </c>
      <c r="T269" s="20" t="inlineStr">
        <is>
          <t>🔴 Avoid</t>
        </is>
      </c>
      <c r="U269" s="83" t="inlineStr">
        <is>
          <t>FULL</t>
        </is>
      </c>
    </row>
    <row r="270" ht="16" customHeight="1">
      <c r="A270" s="28" t="n">
        <v>266</v>
      </c>
      <c r="B270" s="29" t="inlineStr">
        <is>
          <t>ICICI Prudential Nifty Alpha Low - Volatility 30 ETF FOF - Growth</t>
        </is>
      </c>
      <c r="C270" s="29" t="inlineStr">
        <is>
          <t>ICICI Prudential Mutual Fund</t>
        </is>
      </c>
      <c r="D270" s="29" t="inlineStr">
        <is>
          <t>Fof Domestic</t>
        </is>
      </c>
      <c r="E270" s="29" t="inlineStr">
        <is>
          <t>Index Fund</t>
        </is>
      </c>
      <c r="F270" s="30" t="n">
        <v>2.45</v>
      </c>
      <c r="G270" s="30" t="n">
        <v>6.44</v>
      </c>
      <c r="H270" s="91" t="n">
        <v>-0.72</v>
      </c>
      <c r="I270" s="30" t="n">
        <v>4.09</v>
      </c>
      <c r="J270" s="91" t="n">
        <v>-4.099009389892116</v>
      </c>
      <c r="K270" s="30" t="n">
        <v>41.16</v>
      </c>
      <c r="L270" s="37" t="n">
        <v>45.1</v>
      </c>
      <c r="M270" s="18" t="n">
        <v>0</v>
      </c>
      <c r="N270" s="19" t="n">
        <v>24.8</v>
      </c>
      <c r="O270" s="108">
        <f>COUNTIFS($E:$E,$E270,$L:$L,"&gt;"&amp;$L270)+1</f>
        <v/>
      </c>
      <c r="P270" s="108">
        <f>COUNTIFS($E:$E,$E270,$M:$M,"&gt;"&amp;$M270)+1</f>
        <v/>
      </c>
      <c r="Q270" s="108">
        <f>COUNTIFS($E:$E,$E270,$N:$N,"&gt;"&amp;$N270)+1</f>
        <v/>
      </c>
      <c r="R270" s="31" t="inlineStr">
        <is>
          <t>➡️ Neutral</t>
        </is>
      </c>
      <c r="S270" s="31" t="inlineStr">
        <is>
          <t>🔴 Not Qualified</t>
        </is>
      </c>
      <c r="T270" s="31" t="inlineStr">
        <is>
          <t>🔴 Avoid</t>
        </is>
      </c>
      <c r="U270" s="83" t="inlineStr">
        <is>
          <t>FULL</t>
        </is>
      </c>
    </row>
    <row r="271" ht="16" customHeight="1">
      <c r="A271" s="13" t="n">
        <v>267</v>
      </c>
      <c r="B271" s="14" t="inlineStr">
        <is>
          <t>HDFC Nifty SDL Oct 2026 Index Fund - Growth Option</t>
        </is>
      </c>
      <c r="C271" s="14" t="inlineStr">
        <is>
          <t>HDFC Mutual Fund</t>
        </is>
      </c>
      <c r="D271" s="14" t="inlineStr">
        <is>
          <t>Index Funds</t>
        </is>
      </c>
      <c r="E271" s="14" t="inlineStr">
        <is>
          <t>Index Fund</t>
        </is>
      </c>
      <c r="F271" s="15" t="n">
        <v>0.45</v>
      </c>
      <c r="G271" s="15" t="n">
        <v>1.34</v>
      </c>
      <c r="H271" s="15" t="n">
        <v>2.64</v>
      </c>
      <c r="I271" s="15" t="n">
        <v>5.59</v>
      </c>
      <c r="J271" s="15" t="n">
        <v>6.719257868484085</v>
      </c>
      <c r="K271" s="15" t="n">
        <v>22.82</v>
      </c>
      <c r="L271" s="37" t="n">
        <v>44.8</v>
      </c>
      <c r="M271" s="18" t="n">
        <v>0</v>
      </c>
      <c r="N271" s="19" t="n">
        <v>24.7</v>
      </c>
      <c r="O271" s="108">
        <f>COUNTIFS($E:$E,$E271,$L:$L,"&gt;"&amp;$L271)+1</f>
        <v/>
      </c>
      <c r="P271" s="108">
        <f>COUNTIFS($E:$E,$E271,$M:$M,"&gt;"&amp;$M271)+1</f>
        <v/>
      </c>
      <c r="Q271" s="108">
        <f>COUNTIFS($E:$E,$E271,$N:$N,"&gt;"&amp;$N271)+1</f>
        <v/>
      </c>
      <c r="R271" s="20" t="inlineStr">
        <is>
          <t>➡️ Neutral</t>
        </is>
      </c>
      <c r="S271" s="20" t="inlineStr">
        <is>
          <t>🔴 Not Qualified</t>
        </is>
      </c>
      <c r="T271" s="20" t="inlineStr">
        <is>
          <t>🔴 Avoid</t>
        </is>
      </c>
      <c r="U271" s="83" t="inlineStr">
        <is>
          <t>FULL</t>
        </is>
      </c>
    </row>
    <row r="272" ht="16" customHeight="1">
      <c r="A272" s="28" t="n">
        <v>268</v>
      </c>
      <c r="B272" s="29" t="inlineStr">
        <is>
          <t>ICICI Prudential Aggressive Hybrid Active FOF - Growth</t>
        </is>
      </c>
      <c r="C272" s="29" t="inlineStr">
        <is>
          <t>ICICI Prudential Mutual Fund</t>
        </is>
      </c>
      <c r="D272" s="29" t="inlineStr">
        <is>
          <t>Fof Domestic</t>
        </is>
      </c>
      <c r="E272" s="29" t="inlineStr">
        <is>
          <t>Standard Equity/Debt</t>
        </is>
      </c>
      <c r="F272" s="30" t="n">
        <v>1.25</v>
      </c>
      <c r="G272" s="30" t="n">
        <v>4.82</v>
      </c>
      <c r="H272" s="30" t="n">
        <v>1.2</v>
      </c>
      <c r="I272" s="30" t="n">
        <v>2.92</v>
      </c>
      <c r="J272" s="30" t="n">
        <v>4.871349757691212</v>
      </c>
      <c r="K272" s="30" t="n">
        <v>49.38</v>
      </c>
      <c r="L272" s="37" t="n">
        <v>44.7</v>
      </c>
      <c r="M272" s="18" t="n">
        <v>0</v>
      </c>
      <c r="N272" s="19" t="n">
        <v>24.6</v>
      </c>
      <c r="O272" s="108">
        <f>COUNTIFS($E:$E,$E272,$L:$L,"&gt;"&amp;$L272)+1</f>
        <v/>
      </c>
      <c r="P272" s="108">
        <f>COUNTIFS($E:$E,$E272,$M:$M,"&gt;"&amp;$M272)+1</f>
        <v/>
      </c>
      <c r="Q272" s="108">
        <f>COUNTIFS($E:$E,$E272,$N:$N,"&gt;"&amp;$N272)+1</f>
        <v/>
      </c>
      <c r="R272" s="31" t="inlineStr">
        <is>
          <t>➡️ Neutral</t>
        </is>
      </c>
      <c r="S272" s="31" t="inlineStr">
        <is>
          <t>🔴 Not Qualified</t>
        </is>
      </c>
      <c r="T272" s="31" t="inlineStr">
        <is>
          <t>🔴 Avoid</t>
        </is>
      </c>
      <c r="U272" s="83" t="inlineStr">
        <is>
          <t>FULL</t>
        </is>
      </c>
    </row>
    <row r="273" ht="16" customHeight="1">
      <c r="A273" s="13" t="n">
        <v>269</v>
      </c>
      <c r="B273" s="14" t="inlineStr">
        <is>
          <t>Edelweiss CRISIL IBX 50:50 Gilt Plus SDL June 2027 Index Fund - Regular Plan - Growth</t>
        </is>
      </c>
      <c r="C273" s="14" t="inlineStr">
        <is>
          <t>Edelweiss Mutual Fund</t>
        </is>
      </c>
      <c r="D273" s="14" t="inlineStr">
        <is>
          <t>Index Funds</t>
        </is>
      </c>
      <c r="E273" s="14" t="inlineStr">
        <is>
          <t>GILT</t>
        </is>
      </c>
      <c r="F273" s="15" t="n">
        <v>0.44</v>
      </c>
      <c r="G273" s="15" t="n">
        <v>1.59</v>
      </c>
      <c r="H273" s="15" t="n">
        <v>2.56</v>
      </c>
      <c r="I273" s="15" t="n">
        <v>5.61</v>
      </c>
      <c r="J273" s="15" t="n">
        <v>6.812920566755398</v>
      </c>
      <c r="K273" s="15" t="n">
        <v>23.21</v>
      </c>
      <c r="L273" s="37" t="n">
        <v>44.6</v>
      </c>
      <c r="M273" s="18" t="n">
        <v>0</v>
      </c>
      <c r="N273" s="19" t="n">
        <v>24.5</v>
      </c>
      <c r="O273" s="108">
        <f>COUNTIFS($E:$E,$E273,$L:$L,"&gt;"&amp;$L273)+1</f>
        <v/>
      </c>
      <c r="P273" s="108">
        <f>COUNTIFS($E:$E,$E273,$M:$M,"&gt;"&amp;$M273)+1</f>
        <v/>
      </c>
      <c r="Q273" s="108">
        <f>COUNTIFS($E:$E,$E273,$N:$N,"&gt;"&amp;$N273)+1</f>
        <v/>
      </c>
      <c r="R273" s="20" t="inlineStr">
        <is>
          <t>➡️ Neutral</t>
        </is>
      </c>
      <c r="S273" s="20" t="inlineStr">
        <is>
          <t>🔴 Not Qualified</t>
        </is>
      </c>
      <c r="T273" s="20" t="inlineStr">
        <is>
          <t>🔴 Avoid</t>
        </is>
      </c>
      <c r="U273" s="83" t="inlineStr">
        <is>
          <t>FULL</t>
        </is>
      </c>
    </row>
    <row r="274" ht="16" customHeight="1">
      <c r="A274" s="28" t="n">
        <v>270</v>
      </c>
      <c r="B274" s="29" t="inlineStr">
        <is>
          <t>ICICI Prudential Nifty50 Equal Weight Index Fund- Growth</t>
        </is>
      </c>
      <c r="C274" s="29" t="inlineStr">
        <is>
          <t>ICICI Prudential Mutual Fund</t>
        </is>
      </c>
      <c r="D274" s="29" t="inlineStr">
        <is>
          <t>Index Funds</t>
        </is>
      </c>
      <c r="E274" s="29" t="inlineStr">
        <is>
          <t>Index Fund</t>
        </is>
      </c>
      <c r="F274" s="30" t="n">
        <v>0.57</v>
      </c>
      <c r="G274" s="30" t="n">
        <v>2.56</v>
      </c>
      <c r="H274" s="91" t="n">
        <v>-1.69</v>
      </c>
      <c r="I274" s="30" t="n">
        <v>5.98</v>
      </c>
      <c r="J274" s="30" t="n">
        <v>2.674242144756045</v>
      </c>
      <c r="K274" s="30" t="n">
        <v>45.06</v>
      </c>
      <c r="L274" s="37" t="n">
        <v>44.4</v>
      </c>
      <c r="M274" s="18" t="n">
        <v>0</v>
      </c>
      <c r="N274" s="19" t="n">
        <v>24.4</v>
      </c>
      <c r="O274" s="108">
        <f>COUNTIFS($E:$E,$E274,$L:$L,"&gt;"&amp;$L274)+1</f>
        <v/>
      </c>
      <c r="P274" s="108">
        <f>COUNTIFS($E:$E,$E274,$M:$M,"&gt;"&amp;$M274)+1</f>
        <v/>
      </c>
      <c r="Q274" s="108">
        <f>COUNTIFS($E:$E,$E274,$N:$N,"&gt;"&amp;$N274)+1</f>
        <v/>
      </c>
      <c r="R274" s="31" t="inlineStr">
        <is>
          <t>➡️ Neutral</t>
        </is>
      </c>
      <c r="S274" s="31" t="inlineStr">
        <is>
          <t>🔴 Not Qualified</t>
        </is>
      </c>
      <c r="T274" s="31" t="inlineStr">
        <is>
          <t>🔴 Avoid</t>
        </is>
      </c>
      <c r="U274" s="83" t="inlineStr">
        <is>
          <t>FULL</t>
        </is>
      </c>
    </row>
    <row r="275" ht="16" customHeight="1">
      <c r="A275" s="13" t="n">
        <v>271</v>
      </c>
      <c r="B275" s="14" t="inlineStr">
        <is>
          <t>SBI BSE 100 ETF</t>
        </is>
      </c>
      <c r="C275" s="14" t="inlineStr">
        <is>
          <t>SBI Mutual Fund</t>
        </is>
      </c>
      <c r="D275" s="14" t="inlineStr">
        <is>
          <t>Other  Etfs</t>
        </is>
      </c>
      <c r="E275" s="14" t="inlineStr">
        <is>
          <t>Index Fund</t>
        </is>
      </c>
      <c r="F275" s="15" t="n">
        <v>0.4</v>
      </c>
      <c r="G275" s="15" t="n">
        <v>4.18</v>
      </c>
      <c r="H275" s="16" t="n">
        <v>-3.64</v>
      </c>
      <c r="I275" s="15" t="n">
        <v>1.43</v>
      </c>
      <c r="J275" s="15" t="n">
        <v>0.8811181539935209</v>
      </c>
      <c r="K275" s="15" t="n">
        <v>35.71</v>
      </c>
      <c r="L275" s="37" t="n">
        <v>44.2</v>
      </c>
      <c r="M275" s="18" t="n">
        <v>0</v>
      </c>
      <c r="N275" s="19" t="n">
        <v>24.3</v>
      </c>
      <c r="O275" s="108">
        <f>COUNTIFS($E:$E,$E275,$L:$L,"&gt;"&amp;$L275)+1</f>
        <v/>
      </c>
      <c r="P275" s="108">
        <f>COUNTIFS($E:$E,$E275,$M:$M,"&gt;"&amp;$M275)+1</f>
        <v/>
      </c>
      <c r="Q275" s="108">
        <f>COUNTIFS($E:$E,$E275,$N:$N,"&gt;"&amp;$N275)+1</f>
        <v/>
      </c>
      <c r="R275" s="20" t="inlineStr">
        <is>
          <t>➡️ Neutral</t>
        </is>
      </c>
      <c r="S275" s="20" t="inlineStr">
        <is>
          <t>🔴 Not Qualified</t>
        </is>
      </c>
      <c r="T275" s="20" t="inlineStr">
        <is>
          <t>🔴 Avoid</t>
        </is>
      </c>
      <c r="U275" s="83" t="inlineStr">
        <is>
          <t>FULL</t>
        </is>
      </c>
    </row>
    <row r="276" ht="16" customHeight="1">
      <c r="A276" s="28" t="n">
        <v>272</v>
      </c>
      <c r="B276" s="29" t="inlineStr">
        <is>
          <t>HDFC Nifty G-Sec Dec 2026 Index Fund - Growth Option</t>
        </is>
      </c>
      <c r="C276" s="29" t="inlineStr">
        <is>
          <t>HDFC Mutual Fund</t>
        </is>
      </c>
      <c r="D276" s="29" t="inlineStr">
        <is>
          <t>Index Funds</t>
        </is>
      </c>
      <c r="E276" s="29" t="inlineStr">
        <is>
          <t>G-SEC</t>
        </is>
      </c>
      <c r="F276" s="30" t="n">
        <v>0.45</v>
      </c>
      <c r="G276" s="30" t="n">
        <v>1.44</v>
      </c>
      <c r="H276" s="30" t="n">
        <v>2.59</v>
      </c>
      <c r="I276" s="30" t="n">
        <v>5.51</v>
      </c>
      <c r="J276" s="30" t="n">
        <v>6.611444038620928</v>
      </c>
      <c r="K276" s="30" t="n">
        <v>22.64</v>
      </c>
      <c r="L276" s="37" t="n">
        <v>44.1</v>
      </c>
      <c r="M276" s="18" t="n">
        <v>0</v>
      </c>
      <c r="N276" s="19" t="n">
        <v>24.2</v>
      </c>
      <c r="O276" s="108">
        <f>COUNTIFS($E:$E,$E276,$L:$L,"&gt;"&amp;$L276)+1</f>
        <v/>
      </c>
      <c r="P276" s="108">
        <f>COUNTIFS($E:$E,$E276,$M:$M,"&gt;"&amp;$M276)+1</f>
        <v/>
      </c>
      <c r="Q276" s="108">
        <f>COUNTIFS($E:$E,$E276,$N:$N,"&gt;"&amp;$N276)+1</f>
        <v/>
      </c>
      <c r="R276" s="31" t="inlineStr">
        <is>
          <t>➡️ Neutral</t>
        </is>
      </c>
      <c r="S276" s="31" t="inlineStr">
        <is>
          <t>🔴 Not Qualified</t>
        </is>
      </c>
      <c r="T276" s="31" t="inlineStr">
        <is>
          <t>🔴 Avoid</t>
        </is>
      </c>
      <c r="U276" s="83" t="inlineStr">
        <is>
          <t>FULL</t>
        </is>
      </c>
    </row>
    <row r="277" ht="16" customHeight="1">
      <c r="A277" s="13" t="n">
        <v>273</v>
      </c>
      <c r="B277" s="14" t="inlineStr">
        <is>
          <t>Bharat Bond FOF - April 2030 - Regular Plan - Growth Option</t>
        </is>
      </c>
      <c r="C277" s="14" t="inlineStr">
        <is>
          <t>Edelweiss Mutual Fund</t>
        </is>
      </c>
      <c r="D277" s="14" t="inlineStr">
        <is>
          <t>Fof Domestic</t>
        </is>
      </c>
      <c r="E277" s="14" t="inlineStr">
        <is>
          <t>Standard Equity/Debt</t>
        </is>
      </c>
      <c r="F277" s="15" t="n">
        <v>0.48</v>
      </c>
      <c r="G277" s="15" t="n">
        <v>2.81</v>
      </c>
      <c r="H277" s="15" t="n">
        <v>2.61</v>
      </c>
      <c r="I277" s="15" t="n">
        <v>5.31</v>
      </c>
      <c r="J277" s="15" t="n">
        <v>7.63828315241748</v>
      </c>
      <c r="K277" s="15" t="n">
        <v>24.96</v>
      </c>
      <c r="L277" s="37" t="n">
        <v>44</v>
      </c>
      <c r="M277" s="18" t="n">
        <v>0</v>
      </c>
      <c r="N277" s="19" t="n">
        <v>24.2</v>
      </c>
      <c r="O277" s="108">
        <f>COUNTIFS($E:$E,$E277,$L:$L,"&gt;"&amp;$L277)+1</f>
        <v/>
      </c>
      <c r="P277" s="108">
        <f>COUNTIFS($E:$E,$E277,$M:$M,"&gt;"&amp;$M277)+1</f>
        <v/>
      </c>
      <c r="Q277" s="108">
        <f>COUNTIFS($E:$E,$E277,$N:$N,"&gt;"&amp;$N277)+1</f>
        <v/>
      </c>
      <c r="R277" s="20" t="inlineStr">
        <is>
          <t>➡️ Neutral</t>
        </is>
      </c>
      <c r="S277" s="20" t="inlineStr">
        <is>
          <t>🔴 Not Qualified</t>
        </is>
      </c>
      <c r="T277" s="20" t="inlineStr">
        <is>
          <t>🔴 Avoid</t>
        </is>
      </c>
      <c r="U277" s="83" t="inlineStr">
        <is>
          <t>FULL</t>
        </is>
      </c>
    </row>
    <row r="278" ht="16" customHeight="1">
      <c r="A278" s="28" t="n">
        <v>274</v>
      </c>
      <c r="B278" s="29" t="inlineStr">
        <is>
          <t>Aditya Birla Sun Life Crisil IBX 50:50 Gilt Plus SDL Apr 2028 Index Fund-Regular Growth</t>
        </is>
      </c>
      <c r="C278" s="29" t="inlineStr">
        <is>
          <t>Aditya Birla Sun Life Mutual Fund</t>
        </is>
      </c>
      <c r="D278" s="29" t="inlineStr">
        <is>
          <t>Index Funds</t>
        </is>
      </c>
      <c r="E278" s="29" t="inlineStr">
        <is>
          <t>GILT</t>
        </is>
      </c>
      <c r="F278" s="30" t="n">
        <v>0.45</v>
      </c>
      <c r="G278" s="30" t="n">
        <v>2.1</v>
      </c>
      <c r="H278" s="30" t="n">
        <v>2.33</v>
      </c>
      <c r="I278" s="30" t="n">
        <v>5.48</v>
      </c>
      <c r="J278" s="30" t="n">
        <v>7.042047812997287</v>
      </c>
      <c r="K278" s="30" t="n">
        <v>24.13</v>
      </c>
      <c r="L278" s="37" t="n">
        <v>43.9</v>
      </c>
      <c r="M278" s="18" t="n">
        <v>0</v>
      </c>
      <c r="N278" s="19" t="n">
        <v>24.2</v>
      </c>
      <c r="O278" s="108">
        <f>COUNTIFS($E:$E,$E278,$L:$L,"&gt;"&amp;$L278)+1</f>
        <v/>
      </c>
      <c r="P278" s="108">
        <f>COUNTIFS($E:$E,$E278,$M:$M,"&gt;"&amp;$M278)+1</f>
        <v/>
      </c>
      <c r="Q278" s="108">
        <f>COUNTIFS($E:$E,$E278,$N:$N,"&gt;"&amp;$N278)+1</f>
        <v/>
      </c>
      <c r="R278" s="31" t="inlineStr">
        <is>
          <t>➡️ Neutral</t>
        </is>
      </c>
      <c r="S278" s="31" t="inlineStr">
        <is>
          <t>🔴 Not Qualified</t>
        </is>
      </c>
      <c r="T278" s="31" t="inlineStr">
        <is>
          <t>🔴 Avoid</t>
        </is>
      </c>
      <c r="U278" s="83" t="inlineStr">
        <is>
          <t>FULL</t>
        </is>
      </c>
    </row>
    <row r="279" ht="16" customHeight="1">
      <c r="A279" s="13" t="n">
        <v>275</v>
      </c>
      <c r="B279" s="14" t="inlineStr">
        <is>
          <t>Aditya Birla Sun Life Income Plus Arbitrage Active FOF- Regular Plan - Growth Option</t>
        </is>
      </c>
      <c r="C279" s="14" t="inlineStr">
        <is>
          <t>Aditya Birla Sun Life Mutual Fund</t>
        </is>
      </c>
      <c r="D279" s="14" t="inlineStr">
        <is>
          <t>Fof Domestic</t>
        </is>
      </c>
      <c r="E279" s="14" t="inlineStr">
        <is>
          <t>Standard Equity/Debt</t>
        </is>
      </c>
      <c r="F279" s="15" t="n">
        <v>0.46</v>
      </c>
      <c r="G279" s="15" t="n">
        <v>2.11</v>
      </c>
      <c r="H279" s="15" t="n">
        <v>2.75</v>
      </c>
      <c r="I279" s="15" t="n">
        <v>5.37</v>
      </c>
      <c r="J279" s="15" t="n">
        <v>6.714572575632793</v>
      </c>
      <c r="K279" s="15" t="n">
        <v>22.55</v>
      </c>
      <c r="L279" s="37" t="n">
        <v>43.8</v>
      </c>
      <c r="M279" s="18" t="n">
        <v>0</v>
      </c>
      <c r="N279" s="19" t="n">
        <v>24.1</v>
      </c>
      <c r="O279" s="108">
        <f>COUNTIFS($E:$E,$E279,$L:$L,"&gt;"&amp;$L279)+1</f>
        <v/>
      </c>
      <c r="P279" s="108">
        <f>COUNTIFS($E:$E,$E279,$M:$M,"&gt;"&amp;$M279)+1</f>
        <v/>
      </c>
      <c r="Q279" s="108">
        <f>COUNTIFS($E:$E,$E279,$N:$N,"&gt;"&amp;$N279)+1</f>
        <v/>
      </c>
      <c r="R279" s="20" t="inlineStr">
        <is>
          <t>➡️ Neutral</t>
        </is>
      </c>
      <c r="S279" s="20" t="inlineStr">
        <is>
          <t>🔴 Not Qualified</t>
        </is>
      </c>
      <c r="T279" s="20" t="inlineStr">
        <is>
          <t>🔴 Avoid</t>
        </is>
      </c>
      <c r="U279" s="83" t="inlineStr">
        <is>
          <t>FULL</t>
        </is>
      </c>
    </row>
    <row r="280" ht="16" customHeight="1">
      <c r="A280" s="28" t="n">
        <v>276</v>
      </c>
      <c r="B280" s="29" t="inlineStr">
        <is>
          <t>HDFC Nifty G-Sec Apr 2029 Index Fund - Growth Option</t>
        </is>
      </c>
      <c r="C280" s="29" t="inlineStr">
        <is>
          <t>HDFC Mutual Fund</t>
        </is>
      </c>
      <c r="D280" s="29" t="inlineStr">
        <is>
          <t>Index Funds</t>
        </is>
      </c>
      <c r="E280" s="29" t="inlineStr">
        <is>
          <t>G-SEC</t>
        </is>
      </c>
      <c r="F280" s="30" t="n">
        <v>0.38</v>
      </c>
      <c r="G280" s="30" t="n">
        <v>2.44</v>
      </c>
      <c r="H280" s="30" t="n">
        <v>2.34</v>
      </c>
      <c r="I280" s="30" t="n">
        <v>5.63</v>
      </c>
      <c r="J280" s="30" t="n">
        <v>7.186752912848338</v>
      </c>
      <c r="K280" s="30" t="n">
        <v>24.87</v>
      </c>
      <c r="L280" s="37" t="n">
        <v>43.5</v>
      </c>
      <c r="M280" s="18" t="n">
        <v>0</v>
      </c>
      <c r="N280" s="19" t="n">
        <v>23.9</v>
      </c>
      <c r="O280" s="108">
        <f>COUNTIFS($E:$E,$E280,$L:$L,"&gt;"&amp;$L280)+1</f>
        <v/>
      </c>
      <c r="P280" s="108">
        <f>COUNTIFS($E:$E,$E280,$M:$M,"&gt;"&amp;$M280)+1</f>
        <v/>
      </c>
      <c r="Q280" s="108">
        <f>COUNTIFS($E:$E,$E280,$N:$N,"&gt;"&amp;$N280)+1</f>
        <v/>
      </c>
      <c r="R280" s="31" t="inlineStr">
        <is>
          <t>➡️ Neutral</t>
        </is>
      </c>
      <c r="S280" s="31" t="inlineStr">
        <is>
          <t>🔴 Not Qualified</t>
        </is>
      </c>
      <c r="T280" s="31" t="inlineStr">
        <is>
          <t>🔴 Avoid</t>
        </is>
      </c>
      <c r="U280" s="83" t="inlineStr">
        <is>
          <t>FULL</t>
        </is>
      </c>
    </row>
    <row r="281" ht="16" customHeight="1">
      <c r="A281" s="13" t="n">
        <v>277</v>
      </c>
      <c r="B281" s="14" t="inlineStr">
        <is>
          <t>ICICI Prudential Diversified Equity All Cap Omni FOF - Growth</t>
        </is>
      </c>
      <c r="C281" s="14" t="inlineStr">
        <is>
          <t>ICICI Prudential Mutual Fund</t>
        </is>
      </c>
      <c r="D281" s="14" t="inlineStr">
        <is>
          <t>Fof Domestic</t>
        </is>
      </c>
      <c r="E281" s="14" t="inlineStr">
        <is>
          <t>Standard Equity/Debt</t>
        </is>
      </c>
      <c r="F281" s="15" t="n">
        <v>0.61</v>
      </c>
      <c r="G281" s="15" t="n">
        <v>6.26</v>
      </c>
      <c r="H281" s="15" t="n">
        <v>0.57</v>
      </c>
      <c r="I281" s="15" t="n">
        <v>5.09</v>
      </c>
      <c r="J281" s="15" t="n">
        <v>3.508453761033437</v>
      </c>
      <c r="K281" s="15" t="n">
        <v>58.38</v>
      </c>
      <c r="L281" s="37" t="n">
        <v>43.3</v>
      </c>
      <c r="M281" s="18" t="n">
        <v>0</v>
      </c>
      <c r="N281" s="19" t="n">
        <v>23.8</v>
      </c>
      <c r="O281" s="108">
        <f>COUNTIFS($E:$E,$E281,$L:$L,"&gt;"&amp;$L281)+1</f>
        <v/>
      </c>
      <c r="P281" s="108">
        <f>COUNTIFS($E:$E,$E281,$M:$M,"&gt;"&amp;$M281)+1</f>
        <v/>
      </c>
      <c r="Q281" s="108">
        <f>COUNTIFS($E:$E,$E281,$N:$N,"&gt;"&amp;$N281)+1</f>
        <v/>
      </c>
      <c r="R281" s="20" t="inlineStr">
        <is>
          <t>➡️ Neutral</t>
        </is>
      </c>
      <c r="S281" s="20" t="inlineStr">
        <is>
          <t>🔴 Not Qualified</t>
        </is>
      </c>
      <c r="T281" s="20" t="inlineStr">
        <is>
          <t>🔴 Avoid</t>
        </is>
      </c>
      <c r="U281" s="83" t="inlineStr">
        <is>
          <t>FULL</t>
        </is>
      </c>
    </row>
    <row r="282" ht="16" customHeight="1">
      <c r="A282" s="28" t="n">
        <v>278</v>
      </c>
      <c r="B282" s="29" t="inlineStr">
        <is>
          <t>HDFC Nifty G-Sec Jun 2027 Index Fund - Growth Option</t>
        </is>
      </c>
      <c r="C282" s="29" t="inlineStr">
        <is>
          <t>HDFC Mutual Fund</t>
        </is>
      </c>
      <c r="D282" s="29" t="inlineStr">
        <is>
          <t>Index Funds</t>
        </is>
      </c>
      <c r="E282" s="29" t="inlineStr">
        <is>
          <t>G-SEC</t>
        </is>
      </c>
      <c r="F282" s="30" t="n">
        <v>0.43</v>
      </c>
      <c r="G282" s="30" t="n">
        <v>1.65</v>
      </c>
      <c r="H282" s="30" t="n">
        <v>2.49</v>
      </c>
      <c r="I282" s="30" t="n">
        <v>5.53</v>
      </c>
      <c r="J282" s="30" t="n">
        <v>6.826962888589128</v>
      </c>
      <c r="K282" s="30" t="n">
        <v>23.41</v>
      </c>
      <c r="L282" s="37" t="n">
        <v>43.2</v>
      </c>
      <c r="M282" s="18" t="n">
        <v>0</v>
      </c>
      <c r="N282" s="19" t="n">
        <v>23.7</v>
      </c>
      <c r="O282" s="108">
        <f>COUNTIFS($E:$E,$E282,$L:$L,"&gt;"&amp;$L282)+1</f>
        <v/>
      </c>
      <c r="P282" s="108">
        <f>COUNTIFS($E:$E,$E282,$M:$M,"&gt;"&amp;$M282)+1</f>
        <v/>
      </c>
      <c r="Q282" s="108">
        <f>COUNTIFS($E:$E,$E282,$N:$N,"&gt;"&amp;$N282)+1</f>
        <v/>
      </c>
      <c r="R282" s="31" t="inlineStr">
        <is>
          <t>➡️ Neutral</t>
        </is>
      </c>
      <c r="S282" s="31" t="inlineStr">
        <is>
          <t>🔴 Not Qualified</t>
        </is>
      </c>
      <c r="T282" s="31" t="inlineStr">
        <is>
          <t>🔴 Avoid</t>
        </is>
      </c>
      <c r="U282" s="83" t="inlineStr">
        <is>
          <t>FULL</t>
        </is>
      </c>
    </row>
    <row r="283" ht="16" customHeight="1">
      <c r="A283" s="13" t="n">
        <v>279</v>
      </c>
      <c r="B283" s="14" t="inlineStr">
        <is>
          <t>ICICI Prudential Nifty SDL Sep 2026 Index Fund - Growth</t>
        </is>
      </c>
      <c r="C283" s="14" t="inlineStr">
        <is>
          <t>ICICI Prudential Mutual Fund</t>
        </is>
      </c>
      <c r="D283" s="14" t="inlineStr">
        <is>
          <t>Index Funds</t>
        </is>
      </c>
      <c r="E283" s="14" t="inlineStr">
        <is>
          <t>Index Fund</t>
        </is>
      </c>
      <c r="F283" s="15" t="n">
        <v>0.44</v>
      </c>
      <c r="G283" s="15" t="n">
        <v>1.33</v>
      </c>
      <c r="H283" s="15" t="n">
        <v>2.6</v>
      </c>
      <c r="I283" s="15" t="n">
        <v>5.51</v>
      </c>
      <c r="J283" s="15" t="n">
        <v>6.634891100427343</v>
      </c>
      <c r="K283" s="15" t="n">
        <v>22.55</v>
      </c>
      <c r="L283" s="37" t="n">
        <v>43.1</v>
      </c>
      <c r="M283" s="18" t="n">
        <v>0</v>
      </c>
      <c r="N283" s="19" t="n">
        <v>23.7</v>
      </c>
      <c r="O283" s="108">
        <f>COUNTIFS($E:$E,$E283,$L:$L,"&gt;"&amp;$L283)+1</f>
        <v/>
      </c>
      <c r="P283" s="108">
        <f>COUNTIFS($E:$E,$E283,$M:$M,"&gt;"&amp;$M283)+1</f>
        <v/>
      </c>
      <c r="Q283" s="108">
        <f>COUNTIFS($E:$E,$E283,$N:$N,"&gt;"&amp;$N283)+1</f>
        <v/>
      </c>
      <c r="R283" s="20" t="inlineStr">
        <is>
          <t>➡️ Neutral</t>
        </is>
      </c>
      <c r="S283" s="20" t="inlineStr">
        <is>
          <t>🔴 Not Qualified</t>
        </is>
      </c>
      <c r="T283" s="20" t="inlineStr">
        <is>
          <t>🔴 Avoid</t>
        </is>
      </c>
      <c r="U283" s="83" t="inlineStr">
        <is>
          <t>FULL</t>
        </is>
      </c>
    </row>
    <row r="284" ht="16" customHeight="1">
      <c r="A284" s="28" t="n">
        <v>280</v>
      </c>
      <c r="B284" s="29" t="inlineStr">
        <is>
          <t>Quantum Multi Asset Active FOF - Regular Plan Growth Option</t>
        </is>
      </c>
      <c r="C284" s="29" t="inlineStr">
        <is>
          <t>Quantum Mutual Fund</t>
        </is>
      </c>
      <c r="D284" s="29" t="inlineStr">
        <is>
          <t>Fof Domestic</t>
        </is>
      </c>
      <c r="E284" s="29" t="inlineStr">
        <is>
          <t>Standard Equity/Debt</t>
        </is>
      </c>
      <c r="F284" s="30" t="n">
        <v>1.8</v>
      </c>
      <c r="G284" s="30" t="n">
        <v>2.13</v>
      </c>
      <c r="H284" s="91" t="n">
        <v>-0.52</v>
      </c>
      <c r="I284" s="30" t="n">
        <v>8.73</v>
      </c>
      <c r="J284" s="30" t="n">
        <v>8.853112036358436</v>
      </c>
      <c r="K284" s="30" t="n">
        <v>40.08</v>
      </c>
      <c r="L284" s="37" t="n">
        <v>43.1</v>
      </c>
      <c r="M284" s="18" t="n">
        <v>0</v>
      </c>
      <c r="N284" s="19" t="n">
        <v>23.7</v>
      </c>
      <c r="O284" s="108">
        <f>COUNTIFS($E:$E,$E284,$L:$L,"&gt;"&amp;$L284)+1</f>
        <v/>
      </c>
      <c r="P284" s="108">
        <f>COUNTIFS($E:$E,$E284,$M:$M,"&gt;"&amp;$M284)+1</f>
        <v/>
      </c>
      <c r="Q284" s="108">
        <f>COUNTIFS($E:$E,$E284,$N:$N,"&gt;"&amp;$N284)+1</f>
        <v/>
      </c>
      <c r="R284" s="31" t="inlineStr">
        <is>
          <t>➡️ Neutral</t>
        </is>
      </c>
      <c r="S284" s="31" t="inlineStr">
        <is>
          <t>🔴 Not Qualified</t>
        </is>
      </c>
      <c r="T284" s="31" t="inlineStr">
        <is>
          <t>🔴 Avoid</t>
        </is>
      </c>
      <c r="U284" s="83" t="inlineStr">
        <is>
          <t>FULL</t>
        </is>
      </c>
    </row>
    <row r="285" ht="16" customHeight="1">
      <c r="A285" s="13" t="n">
        <v>281</v>
      </c>
      <c r="B285" s="14" t="inlineStr">
        <is>
          <t>Tata Nifty G-Sec Dec 2029 Index Fund - Regular Plan - Growth</t>
        </is>
      </c>
      <c r="C285" s="14" t="inlineStr">
        <is>
          <t>Tata Mutual Fund</t>
        </is>
      </c>
      <c r="D285" s="14" t="inlineStr">
        <is>
          <t>Index Funds</t>
        </is>
      </c>
      <c r="E285" s="14" t="inlineStr">
        <is>
          <t>G-SEC</t>
        </is>
      </c>
      <c r="F285" s="15" t="n">
        <v>0.44</v>
      </c>
      <c r="G285" s="15" t="n">
        <v>2.43</v>
      </c>
      <c r="H285" s="15" t="n">
        <v>2.29</v>
      </c>
      <c r="I285" s="15" t="n">
        <v>5.5</v>
      </c>
      <c r="J285" s="15" t="n">
        <v>7.084079115431541</v>
      </c>
      <c r="K285" s="15" t="n">
        <v>24.52</v>
      </c>
      <c r="L285" s="37" t="n">
        <v>42.7</v>
      </c>
      <c r="M285" s="18" t="n">
        <v>0</v>
      </c>
      <c r="N285" s="19" t="n">
        <v>23.5</v>
      </c>
      <c r="O285" s="108">
        <f>COUNTIFS($E:$E,$E285,$L:$L,"&gt;"&amp;$L285)+1</f>
        <v/>
      </c>
      <c r="P285" s="108">
        <f>COUNTIFS($E:$E,$E285,$M:$M,"&gt;"&amp;$M285)+1</f>
        <v/>
      </c>
      <c r="Q285" s="108">
        <f>COUNTIFS($E:$E,$E285,$N:$N,"&gt;"&amp;$N285)+1</f>
        <v/>
      </c>
      <c r="R285" s="20" t="inlineStr">
        <is>
          <t>➡️ Neutral</t>
        </is>
      </c>
      <c r="S285" s="20" t="inlineStr">
        <is>
          <t>🔴 Not Qualified</t>
        </is>
      </c>
      <c r="T285" s="20" t="inlineStr">
        <is>
          <t>🔴 Avoid</t>
        </is>
      </c>
      <c r="U285" s="83" t="inlineStr">
        <is>
          <t>FULL</t>
        </is>
      </c>
    </row>
    <row r="286" ht="16" customHeight="1">
      <c r="A286" s="28" t="n">
        <v>282</v>
      </c>
      <c r="B286" s="29" t="inlineStr">
        <is>
          <t>Sundaram Nifty 100 Equal Weight Fund (Formerly Known as Principal Nifty 100 Equal Weight Fund-Income Distribution CUM Capital Withdrawal</t>
        </is>
      </c>
      <c r="C286" s="29" t="inlineStr">
        <is>
          <t>Sundaram Mutual Fund</t>
        </is>
      </c>
      <c r="D286" s="29" t="inlineStr">
        <is>
          <t>Index Funds</t>
        </is>
      </c>
      <c r="E286" s="29" t="inlineStr">
        <is>
          <t>Index Fund</t>
        </is>
      </c>
      <c r="F286" s="30" t="n">
        <v>1.91</v>
      </c>
      <c r="G286" s="30" t="n">
        <v>5.47</v>
      </c>
      <c r="H286" s="91" t="n">
        <v>-4.54</v>
      </c>
      <c r="I286" s="91" t="n">
        <v>-5.53</v>
      </c>
      <c r="J286" s="91" t="n">
        <v>-8.179522980982068</v>
      </c>
      <c r="K286" s="30" t="n">
        <v>16.11</v>
      </c>
      <c r="L286" s="37" t="n">
        <v>42.5</v>
      </c>
      <c r="M286" s="18" t="n">
        <v>0</v>
      </c>
      <c r="N286" s="19" t="n">
        <v>23.4</v>
      </c>
      <c r="O286" s="108">
        <f>COUNTIFS($E:$E,$E286,$L:$L,"&gt;"&amp;$L286)+1</f>
        <v/>
      </c>
      <c r="P286" s="108">
        <f>COUNTIFS($E:$E,$E286,$M:$M,"&gt;"&amp;$M286)+1</f>
        <v/>
      </c>
      <c r="Q286" s="108">
        <f>COUNTIFS($E:$E,$E286,$N:$N,"&gt;"&amp;$N286)+1</f>
        <v/>
      </c>
      <c r="R286" s="31" t="inlineStr">
        <is>
          <t>➡️ Neutral</t>
        </is>
      </c>
      <c r="S286" s="31" t="inlineStr">
        <is>
          <t>🔴 Not Qualified</t>
        </is>
      </c>
      <c r="T286" s="31" t="inlineStr">
        <is>
          <t>🔴 Avoid</t>
        </is>
      </c>
      <c r="U286" s="83" t="inlineStr">
        <is>
          <t>FULL</t>
        </is>
      </c>
    </row>
    <row r="287" ht="16" customHeight="1">
      <c r="A287" s="13" t="n">
        <v>283</v>
      </c>
      <c r="B287" s="14" t="inlineStr">
        <is>
          <t>Nippon India Nifty G-Sec Sep 2027 Maturity Index Fund-Regular Plan-Growth Option</t>
        </is>
      </c>
      <c r="C287" s="14" t="inlineStr">
        <is>
          <t>Nippon India Mutual Fund</t>
        </is>
      </c>
      <c r="D287" s="14" t="inlineStr">
        <is>
          <t>Index Funds</t>
        </is>
      </c>
      <c r="E287" s="14" t="inlineStr">
        <is>
          <t>G-SEC</t>
        </is>
      </c>
      <c r="F287" s="15" t="n">
        <v>0.44</v>
      </c>
      <c r="G287" s="15" t="n">
        <v>1.66</v>
      </c>
      <c r="H287" s="15" t="n">
        <v>2.46</v>
      </c>
      <c r="I287" s="15" t="n">
        <v>5.47</v>
      </c>
      <c r="J287" s="15" t="n">
        <v>6.780147967681716</v>
      </c>
      <c r="K287" s="15" t="n">
        <v>23.21</v>
      </c>
      <c r="L287" s="37" t="n">
        <v>42.5</v>
      </c>
      <c r="M287" s="18" t="n">
        <v>0</v>
      </c>
      <c r="N287" s="19" t="n">
        <v>23.4</v>
      </c>
      <c r="O287" s="108">
        <f>COUNTIFS($E:$E,$E287,$L:$L,"&gt;"&amp;$L287)+1</f>
        <v/>
      </c>
      <c r="P287" s="108">
        <f>COUNTIFS($E:$E,$E287,$M:$M,"&gt;"&amp;$M287)+1</f>
        <v/>
      </c>
      <c r="Q287" s="108">
        <f>COUNTIFS($E:$E,$E287,$N:$N,"&gt;"&amp;$N287)+1</f>
        <v/>
      </c>
      <c r="R287" s="20" t="inlineStr">
        <is>
          <t>➡️ Neutral</t>
        </is>
      </c>
      <c r="S287" s="20" t="inlineStr">
        <is>
          <t>🔴 Not Qualified</t>
        </is>
      </c>
      <c r="T287" s="20" t="inlineStr">
        <is>
          <t>🔴 Avoid</t>
        </is>
      </c>
      <c r="U287" s="83" t="inlineStr">
        <is>
          <t>FULL</t>
        </is>
      </c>
    </row>
    <row r="288" ht="16" customHeight="1">
      <c r="A288" s="28" t="n">
        <v>284</v>
      </c>
      <c r="B288" s="29" t="inlineStr">
        <is>
          <t>ICICI Prudential BSE 500 ETF FOF - Growth</t>
        </is>
      </c>
      <c r="C288" s="29" t="inlineStr">
        <is>
          <t>ICICI Prudential Mutual Fund</t>
        </is>
      </c>
      <c r="D288" s="29" t="inlineStr">
        <is>
          <t>Fof Domestic</t>
        </is>
      </c>
      <c r="E288" s="29" t="inlineStr">
        <is>
          <t>Index Fund</t>
        </is>
      </c>
      <c r="F288" s="30" t="n">
        <v>1.51</v>
      </c>
      <c r="G288" s="30" t="n">
        <v>5.03</v>
      </c>
      <c r="H288" s="91" t="n">
        <v>-0.04</v>
      </c>
      <c r="I288" s="30" t="n">
        <v>3.8</v>
      </c>
      <c r="J288" s="30" t="n">
        <v>1.000000000000001</v>
      </c>
      <c r="K288" s="30" t="n">
        <v>39.18</v>
      </c>
      <c r="L288" s="37" t="n">
        <v>42.5</v>
      </c>
      <c r="M288" s="18" t="n">
        <v>0</v>
      </c>
      <c r="N288" s="19" t="n">
        <v>23.3</v>
      </c>
      <c r="O288" s="108">
        <f>COUNTIFS($E:$E,$E288,$L:$L,"&gt;"&amp;$L288)+1</f>
        <v/>
      </c>
      <c r="P288" s="108">
        <f>COUNTIFS($E:$E,$E288,$M:$M,"&gt;"&amp;$M288)+1</f>
        <v/>
      </c>
      <c r="Q288" s="108">
        <f>COUNTIFS($E:$E,$E288,$N:$N,"&gt;"&amp;$N288)+1</f>
        <v/>
      </c>
      <c r="R288" s="31" t="inlineStr">
        <is>
          <t>➡️ Neutral</t>
        </is>
      </c>
      <c r="S288" s="31" t="inlineStr">
        <is>
          <t>🔴 Not Qualified</t>
        </is>
      </c>
      <c r="T288" s="31" t="inlineStr">
        <is>
          <t>🔴 Avoid</t>
        </is>
      </c>
      <c r="U288" s="83" t="inlineStr">
        <is>
          <t>FULL</t>
        </is>
      </c>
    </row>
    <row r="289" ht="16" customHeight="1">
      <c r="A289" s="13" t="n">
        <v>285</v>
      </c>
      <c r="B289" s="14" t="inlineStr">
        <is>
          <t>Aditya Birla Sun Life Crisil IBX Gilt-Apr 2029 Index Fund-Regular Growth</t>
        </is>
      </c>
      <c r="C289" s="14" t="inlineStr">
        <is>
          <t>Aditya Birla Sun Life Mutual Fund</t>
        </is>
      </c>
      <c r="D289" s="14" t="inlineStr">
        <is>
          <t>Index Funds</t>
        </is>
      </c>
      <c r="E289" s="14" t="inlineStr">
        <is>
          <t>GILT</t>
        </is>
      </c>
      <c r="F289" s="15" t="n">
        <v>0.36</v>
      </c>
      <c r="G289" s="15" t="n">
        <v>2.42</v>
      </c>
      <c r="H289" s="15" t="n">
        <v>2.32</v>
      </c>
      <c r="I289" s="15" t="n">
        <v>5.59</v>
      </c>
      <c r="J289" s="15" t="n">
        <v>7.163426596950506</v>
      </c>
      <c r="K289" s="15" t="n">
        <v>24.91</v>
      </c>
      <c r="L289" s="37" t="n">
        <v>42.3</v>
      </c>
      <c r="M289" s="18" t="n">
        <v>0</v>
      </c>
      <c r="N289" s="19" t="n">
        <v>23.2</v>
      </c>
      <c r="O289" s="108">
        <f>COUNTIFS($E:$E,$E289,$L:$L,"&gt;"&amp;$L289)+1</f>
        <v/>
      </c>
      <c r="P289" s="108">
        <f>COUNTIFS($E:$E,$E289,$M:$M,"&gt;"&amp;$M289)+1</f>
        <v/>
      </c>
      <c r="Q289" s="108">
        <f>COUNTIFS($E:$E,$E289,$N:$N,"&gt;"&amp;$N289)+1</f>
        <v/>
      </c>
      <c r="R289" s="20" t="inlineStr">
        <is>
          <t>➡️ Neutral</t>
        </is>
      </c>
      <c r="S289" s="20" t="inlineStr">
        <is>
          <t>🔴 Not Qualified</t>
        </is>
      </c>
      <c r="T289" s="20" t="inlineStr">
        <is>
          <t>🔴 Avoid</t>
        </is>
      </c>
      <c r="U289" s="83" t="inlineStr">
        <is>
          <t>FULL</t>
        </is>
      </c>
    </row>
    <row r="290" ht="16" customHeight="1">
      <c r="A290" s="28" t="n">
        <v>286</v>
      </c>
      <c r="B290" s="29" t="inlineStr">
        <is>
          <t>LIC MF Nifty 100 ETF</t>
        </is>
      </c>
      <c r="C290" s="29" t="inlineStr">
        <is>
          <t>LIC Mutual Fund</t>
        </is>
      </c>
      <c r="D290" s="29" t="inlineStr">
        <is>
          <t>Other  Etfs</t>
        </is>
      </c>
      <c r="E290" s="29" t="inlineStr">
        <is>
          <t>Index Fund</t>
        </is>
      </c>
      <c r="F290" s="30" t="n">
        <v>0.2</v>
      </c>
      <c r="G290" s="30" t="n">
        <v>3.91</v>
      </c>
      <c r="H290" s="91" t="n">
        <v>-3.72</v>
      </c>
      <c r="I290" s="30" t="n">
        <v>1.21</v>
      </c>
      <c r="J290" s="30" t="n">
        <v>0.3742994994236692</v>
      </c>
      <c r="K290" s="30" t="n">
        <v>35</v>
      </c>
      <c r="L290" s="37" t="n">
        <v>42.3</v>
      </c>
      <c r="M290" s="18" t="n">
        <v>0</v>
      </c>
      <c r="N290" s="19" t="n">
        <v>23.2</v>
      </c>
      <c r="O290" s="108">
        <f>COUNTIFS($E:$E,$E290,$L:$L,"&gt;"&amp;$L290)+1</f>
        <v/>
      </c>
      <c r="P290" s="108">
        <f>COUNTIFS($E:$E,$E290,$M:$M,"&gt;"&amp;$M290)+1</f>
        <v/>
      </c>
      <c r="Q290" s="108">
        <f>COUNTIFS($E:$E,$E290,$N:$N,"&gt;"&amp;$N290)+1</f>
        <v/>
      </c>
      <c r="R290" s="31" t="inlineStr">
        <is>
          <t>➡️ Neutral</t>
        </is>
      </c>
      <c r="S290" s="31" t="inlineStr">
        <is>
          <t>🔴 Not Qualified</t>
        </is>
      </c>
      <c r="T290" s="31" t="inlineStr">
        <is>
          <t>🔴 Avoid</t>
        </is>
      </c>
      <c r="U290" s="83" t="inlineStr">
        <is>
          <t>FULL</t>
        </is>
      </c>
    </row>
    <row r="291" ht="16" customHeight="1">
      <c r="A291" s="13" t="n">
        <v>287</v>
      </c>
      <c r="B291" s="14" t="inlineStr">
        <is>
          <t>Mirae Asset Nifty Bank ETF</t>
        </is>
      </c>
      <c r="C291" s="14" t="inlineStr">
        <is>
          <t>Mirae Asset Mutual Fund</t>
        </is>
      </c>
      <c r="D291" s="14" t="inlineStr">
        <is>
          <t>Other  Etfs</t>
        </is>
      </c>
      <c r="E291" s="14" t="inlineStr">
        <is>
          <t>Banking/Financial</t>
        </is>
      </c>
      <c r="F291" s="16" t="n">
        <v>-1.99</v>
      </c>
      <c r="G291" s="15" t="n">
        <v>7.68</v>
      </c>
      <c r="H291" s="16" t="n">
        <v>-6.43</v>
      </c>
      <c r="I291" s="15" t="n">
        <v>4.01</v>
      </c>
      <c r="J291" s="15" t="n">
        <v>7.102754399688527</v>
      </c>
      <c r="K291" s="15" t="n">
        <v>33.14</v>
      </c>
      <c r="L291" s="37" t="n">
        <v>42.2</v>
      </c>
      <c r="M291" s="18" t="n">
        <v>0</v>
      </c>
      <c r="N291" s="19" t="n">
        <v>23.2</v>
      </c>
      <c r="O291" s="108">
        <f>COUNTIFS($E:$E,$E291,$L:$L,"&gt;"&amp;$L291)+1</f>
        <v/>
      </c>
      <c r="P291" s="108">
        <f>COUNTIFS($E:$E,$E291,$M:$M,"&gt;"&amp;$M291)+1</f>
        <v/>
      </c>
      <c r="Q291" s="108">
        <f>COUNTIFS($E:$E,$E291,$N:$N,"&gt;"&amp;$N291)+1</f>
        <v/>
      </c>
      <c r="R291" s="20" t="inlineStr">
        <is>
          <t>➡️ Neutral</t>
        </is>
      </c>
      <c r="S291" s="20" t="inlineStr">
        <is>
          <t>🔴 Not Qualified</t>
        </is>
      </c>
      <c r="T291" s="20" t="inlineStr">
        <is>
          <t>🔴 Avoid</t>
        </is>
      </c>
      <c r="U291" s="83" t="inlineStr">
        <is>
          <t>FULL</t>
        </is>
      </c>
    </row>
    <row r="292" ht="16" customHeight="1">
      <c r="A292" s="28" t="n">
        <v>288</v>
      </c>
      <c r="B292" s="29" t="inlineStr">
        <is>
          <t>Edelweiss CRISIL IBX 50:50 Gilt Plus SDL Sep 2028 Index Fund - Regular Plan - Growth</t>
        </is>
      </c>
      <c r="C292" s="29" t="inlineStr">
        <is>
          <t>Edelweiss Mutual Fund</t>
        </is>
      </c>
      <c r="D292" s="29" t="inlineStr">
        <is>
          <t>Index Funds</t>
        </is>
      </c>
      <c r="E292" s="29" t="inlineStr">
        <is>
          <t>GILT</t>
        </is>
      </c>
      <c r="F292" s="30" t="n">
        <v>0.4</v>
      </c>
      <c r="G292" s="30" t="n">
        <v>2.1</v>
      </c>
      <c r="H292" s="30" t="n">
        <v>2.29</v>
      </c>
      <c r="I292" s="30" t="n">
        <v>5.36</v>
      </c>
      <c r="J292" s="30" t="n">
        <v>6.953260819855323</v>
      </c>
      <c r="K292" s="30" t="n">
        <v>24</v>
      </c>
      <c r="L292" s="37" t="n">
        <v>41.7</v>
      </c>
      <c r="M292" s="18" t="n">
        <v>0</v>
      </c>
      <c r="N292" s="19" t="n">
        <v>22.9</v>
      </c>
      <c r="O292" s="108">
        <f>COUNTIFS($E:$E,$E292,$L:$L,"&gt;"&amp;$L292)+1</f>
        <v/>
      </c>
      <c r="P292" s="108">
        <f>COUNTIFS($E:$E,$E292,$M:$M,"&gt;"&amp;$M292)+1</f>
        <v/>
      </c>
      <c r="Q292" s="108">
        <f>COUNTIFS($E:$E,$E292,$N:$N,"&gt;"&amp;$N292)+1</f>
        <v/>
      </c>
      <c r="R292" s="31" t="inlineStr">
        <is>
          <t>➡️ Neutral</t>
        </is>
      </c>
      <c r="S292" s="31" t="inlineStr">
        <is>
          <t>🔴 Not Qualified</t>
        </is>
      </c>
      <c r="T292" s="31" t="inlineStr">
        <is>
          <t>🔴 Avoid</t>
        </is>
      </c>
      <c r="U292" s="83" t="inlineStr">
        <is>
          <t>FULL</t>
        </is>
      </c>
    </row>
    <row r="293" ht="16" customHeight="1">
      <c r="A293" s="13" t="n">
        <v>289</v>
      </c>
      <c r="B293" s="14" t="inlineStr">
        <is>
          <t>HDFC NIFTY 100 ETF - Growth Option</t>
        </is>
      </c>
      <c r="C293" s="14" t="inlineStr">
        <is>
          <t>HDFC Mutual Fund</t>
        </is>
      </c>
      <c r="D293" s="14" t="inlineStr">
        <is>
          <t>Other  Etfs</t>
        </is>
      </c>
      <c r="E293" s="14" t="inlineStr">
        <is>
          <t>Index Fund</t>
        </is>
      </c>
      <c r="F293" s="15" t="n">
        <v>0.2</v>
      </c>
      <c r="G293" s="15" t="n">
        <v>3.85</v>
      </c>
      <c r="H293" s="16" t="n">
        <v>-3.77</v>
      </c>
      <c r="I293" s="15" t="n">
        <v>1.17</v>
      </c>
      <c r="J293" s="15" t="n">
        <v>0.3194896318756246</v>
      </c>
      <c r="K293" s="16" t="n">
        <v>-86.5</v>
      </c>
      <c r="L293" s="37" t="n">
        <v>41.6</v>
      </c>
      <c r="M293" s="18" t="n">
        <v>0</v>
      </c>
      <c r="N293" s="19" t="n">
        <v>22.9</v>
      </c>
      <c r="O293" s="108">
        <f>COUNTIFS($E:$E,$E293,$L:$L,"&gt;"&amp;$L293)+1</f>
        <v/>
      </c>
      <c r="P293" s="108">
        <f>COUNTIFS($E:$E,$E293,$M:$M,"&gt;"&amp;$M293)+1</f>
        <v/>
      </c>
      <c r="Q293" s="108">
        <f>COUNTIFS($E:$E,$E293,$N:$N,"&gt;"&amp;$N293)+1</f>
        <v/>
      </c>
      <c r="R293" s="20" t="inlineStr">
        <is>
          <t>➡️ Neutral</t>
        </is>
      </c>
      <c r="S293" s="20" t="inlineStr">
        <is>
          <t>🔴 Not Qualified</t>
        </is>
      </c>
      <c r="T293" s="20" t="inlineStr">
        <is>
          <t>🔴 Avoid</t>
        </is>
      </c>
      <c r="U293" s="83" t="inlineStr">
        <is>
          <t>FULL</t>
        </is>
      </c>
    </row>
    <row r="294" ht="16" customHeight="1">
      <c r="A294" s="28" t="n">
        <v>290</v>
      </c>
      <c r="B294" s="29" t="inlineStr">
        <is>
          <t>Tata Nifty G Sec Dec 2026 Index Fund-Regular Plan-Growth</t>
        </is>
      </c>
      <c r="C294" s="29" t="inlineStr">
        <is>
          <t>Tata Mutual Fund</t>
        </is>
      </c>
      <c r="D294" s="29" t="inlineStr">
        <is>
          <t>Index Funds</t>
        </is>
      </c>
      <c r="E294" s="29" t="inlineStr">
        <is>
          <t>Index Fund</t>
        </is>
      </c>
      <c r="F294" s="30" t="n">
        <v>0.44</v>
      </c>
      <c r="G294" s="30" t="n">
        <v>1.42</v>
      </c>
      <c r="H294" s="30" t="n">
        <v>2.52</v>
      </c>
      <c r="I294" s="30" t="n">
        <v>5.41</v>
      </c>
      <c r="J294" s="30" t="n">
        <v>6.517604178839842</v>
      </c>
      <c r="K294" s="30" t="n">
        <v>22.25</v>
      </c>
      <c r="L294" s="37" t="n">
        <v>41.5</v>
      </c>
      <c r="M294" s="18" t="n">
        <v>0</v>
      </c>
      <c r="N294" s="19" t="n">
        <v>22.8</v>
      </c>
      <c r="O294" s="108">
        <f>COUNTIFS($E:$E,$E294,$L:$L,"&gt;"&amp;$L294)+1</f>
        <v/>
      </c>
      <c r="P294" s="108">
        <f>COUNTIFS($E:$E,$E294,$M:$M,"&gt;"&amp;$M294)+1</f>
        <v/>
      </c>
      <c r="Q294" s="108">
        <f>COUNTIFS($E:$E,$E294,$N:$N,"&gt;"&amp;$N294)+1</f>
        <v/>
      </c>
      <c r="R294" s="31" t="inlineStr">
        <is>
          <t>➡️ Neutral</t>
        </is>
      </c>
      <c r="S294" s="31" t="inlineStr">
        <is>
          <t>🔴 Not Qualified</t>
        </is>
      </c>
      <c r="T294" s="31" t="inlineStr">
        <is>
          <t>🔴 Avoid</t>
        </is>
      </c>
      <c r="U294" s="83" t="inlineStr">
        <is>
          <t>FULL</t>
        </is>
      </c>
    </row>
    <row r="295" ht="16" customHeight="1">
      <c r="A295" s="13" t="n">
        <v>291</v>
      </c>
      <c r="B295" s="14" t="inlineStr">
        <is>
          <t>Kotak Nifty IT ETF</t>
        </is>
      </c>
      <c r="C295" s="14" t="inlineStr">
        <is>
          <t>Kotak Mahindra Mutual Fund</t>
        </is>
      </c>
      <c r="D295" s="14" t="inlineStr">
        <is>
          <t>Other  Etfs</t>
        </is>
      </c>
      <c r="E295" s="14" t="inlineStr">
        <is>
          <t>Index Fund</t>
        </is>
      </c>
      <c r="F295" s="15" t="n">
        <v>3.43</v>
      </c>
      <c r="G295" s="15" t="n">
        <v>3.87</v>
      </c>
      <c r="H295" s="16" t="n">
        <v>-6.59</v>
      </c>
      <c r="I295" s="16" t="n">
        <v>-11.22</v>
      </c>
      <c r="J295" s="16" t="n">
        <v>-12.09664397760459</v>
      </c>
      <c r="K295" s="15" t="n">
        <v>5.12</v>
      </c>
      <c r="L295" s="37" t="n">
        <v>41</v>
      </c>
      <c r="M295" s="18" t="n">
        <v>0</v>
      </c>
      <c r="N295" s="19" t="n">
        <v>22.6</v>
      </c>
      <c r="O295" s="108">
        <f>COUNTIFS($E:$E,$E295,$L:$L,"&gt;"&amp;$L295)+1</f>
        <v/>
      </c>
      <c r="P295" s="108">
        <f>COUNTIFS($E:$E,$E295,$M:$M,"&gt;"&amp;$M295)+1</f>
        <v/>
      </c>
      <c r="Q295" s="108">
        <f>COUNTIFS($E:$E,$E295,$N:$N,"&gt;"&amp;$N295)+1</f>
        <v/>
      </c>
      <c r="R295" s="20" t="inlineStr">
        <is>
          <t>➡️ Neutral</t>
        </is>
      </c>
      <c r="S295" s="20" t="inlineStr">
        <is>
          <t>🔴 Not Qualified</t>
        </is>
      </c>
      <c r="T295" s="20" t="inlineStr">
        <is>
          <t>🔴 Avoid</t>
        </is>
      </c>
      <c r="U295" s="83" t="inlineStr">
        <is>
          <t>FULL</t>
        </is>
      </c>
    </row>
    <row r="296" ht="16" customHeight="1">
      <c r="A296" s="28" t="n">
        <v>292</v>
      </c>
      <c r="B296" s="29" t="inlineStr">
        <is>
          <t>BANDHAN CRISIL IBX Gilt June 2027 Index Fund Regular Plan-Growth</t>
        </is>
      </c>
      <c r="C296" s="29" t="inlineStr">
        <is>
          <t>Bandhan Mutual Fund</t>
        </is>
      </c>
      <c r="D296" s="29" t="inlineStr">
        <is>
          <t>Index Funds</t>
        </is>
      </c>
      <c r="E296" s="29" t="inlineStr">
        <is>
          <t>GILT</t>
        </is>
      </c>
      <c r="F296" s="30" t="n">
        <v>0.43</v>
      </c>
      <c r="G296" s="30" t="n">
        <v>1.58</v>
      </c>
      <c r="H296" s="30" t="n">
        <v>2.44</v>
      </c>
      <c r="I296" s="30" t="n">
        <v>5.41</v>
      </c>
      <c r="J296" s="30" t="n">
        <v>6.709887077065169</v>
      </c>
      <c r="K296" s="30" t="n">
        <v>23</v>
      </c>
      <c r="L296" s="37" t="n">
        <v>41</v>
      </c>
      <c r="M296" s="18" t="n">
        <v>0</v>
      </c>
      <c r="N296" s="19" t="n">
        <v>22.6</v>
      </c>
      <c r="O296" s="108">
        <f>COUNTIFS($E:$E,$E296,$L:$L,"&gt;"&amp;$L296)+1</f>
        <v/>
      </c>
      <c r="P296" s="108">
        <f>COUNTIFS($E:$E,$E296,$M:$M,"&gt;"&amp;$M296)+1</f>
        <v/>
      </c>
      <c r="Q296" s="108">
        <f>COUNTIFS($E:$E,$E296,$N:$N,"&gt;"&amp;$N296)+1</f>
        <v/>
      </c>
      <c r="R296" s="31" t="inlineStr">
        <is>
          <t>➡️ Neutral</t>
        </is>
      </c>
      <c r="S296" s="31" t="inlineStr">
        <is>
          <t>🔴 Not Qualified</t>
        </is>
      </c>
      <c r="T296" s="31" t="inlineStr">
        <is>
          <t>🔴 Avoid</t>
        </is>
      </c>
      <c r="U296" s="83" t="inlineStr">
        <is>
          <t>FULL</t>
        </is>
      </c>
    </row>
    <row r="297" ht="16" customHeight="1">
      <c r="A297" s="13" t="n">
        <v>293</v>
      </c>
      <c r="B297" s="14" t="inlineStr">
        <is>
          <t>SBI CRISIL IBX Gilt Index - April 2029 Fund - Regular Plan - Growth</t>
        </is>
      </c>
      <c r="C297" s="14" t="inlineStr">
        <is>
          <t>SBI Mutual Fund</t>
        </is>
      </c>
      <c r="D297" s="14" t="inlineStr">
        <is>
          <t>Index Funds</t>
        </is>
      </c>
      <c r="E297" s="14" t="inlineStr">
        <is>
          <t>GILT</t>
        </is>
      </c>
      <c r="F297" s="15" t="n">
        <v>0.36</v>
      </c>
      <c r="G297" s="15" t="n">
        <v>2.41</v>
      </c>
      <c r="H297" s="15" t="n">
        <v>2.28</v>
      </c>
      <c r="I297" s="15" t="n">
        <v>5.5</v>
      </c>
      <c r="J297" s="15" t="n">
        <v>7.079409785448476</v>
      </c>
      <c r="K297" s="15" t="n">
        <v>24.57</v>
      </c>
      <c r="L297" s="37" t="n">
        <v>41</v>
      </c>
      <c r="M297" s="18" t="n">
        <v>0</v>
      </c>
      <c r="N297" s="19" t="n">
        <v>22.6</v>
      </c>
      <c r="O297" s="108">
        <f>COUNTIFS($E:$E,$E297,$L:$L,"&gt;"&amp;$L297)+1</f>
        <v/>
      </c>
      <c r="P297" s="108">
        <f>COUNTIFS($E:$E,$E297,$M:$M,"&gt;"&amp;$M297)+1</f>
        <v/>
      </c>
      <c r="Q297" s="108">
        <f>COUNTIFS($E:$E,$E297,$N:$N,"&gt;"&amp;$N297)+1</f>
        <v/>
      </c>
      <c r="R297" s="20" t="inlineStr">
        <is>
          <t>➡️ Neutral</t>
        </is>
      </c>
      <c r="S297" s="20" t="inlineStr">
        <is>
          <t>🔴 Not Qualified</t>
        </is>
      </c>
      <c r="T297" s="20" t="inlineStr">
        <is>
          <t>🔴 Avoid</t>
        </is>
      </c>
      <c r="U297" s="83" t="inlineStr">
        <is>
          <t>FULL</t>
        </is>
      </c>
    </row>
    <row r="298" ht="16" customHeight="1">
      <c r="A298" s="28" t="n">
        <v>294</v>
      </c>
      <c r="B298" s="29" t="inlineStr">
        <is>
          <t>PGIM India Global Select Real Estate Securities Fund of Fund - Regular Plan - Growth Option</t>
        </is>
      </c>
      <c r="C298" s="29" t="inlineStr">
        <is>
          <t>PGIM India Mutual Fund</t>
        </is>
      </c>
      <c r="D298" s="29" t="inlineStr">
        <is>
          <t>Fof Overseas</t>
        </is>
      </c>
      <c r="E298" s="29" t="inlineStr">
        <is>
          <t>International</t>
        </is>
      </c>
      <c r="F298" s="91" t="n">
        <v>-2.51</v>
      </c>
      <c r="G298" s="30" t="n">
        <v>1.57</v>
      </c>
      <c r="H298" s="30" t="n">
        <v>6.93</v>
      </c>
      <c r="I298" s="30" t="n">
        <v>24.04</v>
      </c>
      <c r="J298" s="30" t="n">
        <v>14.66908912169835</v>
      </c>
      <c r="K298" s="30" t="n">
        <v>56.34</v>
      </c>
      <c r="L298" s="37" t="n">
        <v>26.1</v>
      </c>
      <c r="M298" s="18" t="n">
        <v>17.9</v>
      </c>
      <c r="N298" s="19" t="n">
        <v>22.5</v>
      </c>
      <c r="O298" s="108">
        <f>COUNTIFS($E:$E,$E298,$L:$L,"&gt;"&amp;$L298)+1</f>
        <v/>
      </c>
      <c r="P298" s="108">
        <f>COUNTIFS($E:$E,$E298,$M:$M,"&gt;"&amp;$M298)+1</f>
        <v/>
      </c>
      <c r="Q298" s="108">
        <f>COUNTIFS($E:$E,$E298,$N:$N,"&gt;"&amp;$N298)+1</f>
        <v/>
      </c>
      <c r="R298" s="31" t="inlineStr">
        <is>
          <t>📉 Weak</t>
        </is>
      </c>
      <c r="S298" s="31" t="inlineStr">
        <is>
          <t>⚠️ Below Avg</t>
        </is>
      </c>
      <c r="T298" s="31" t="inlineStr">
        <is>
          <t>🔴 Avoid</t>
        </is>
      </c>
      <c r="U298" s="83" t="inlineStr">
        <is>
          <t>FULL</t>
        </is>
      </c>
    </row>
    <row r="299" ht="16" customHeight="1">
      <c r="A299" s="13" t="n">
        <v>295</v>
      </c>
      <c r="B299" s="14" t="inlineStr">
        <is>
          <t>ICICI Prudential Nifty Infrastructure ETF</t>
        </is>
      </c>
      <c r="C299" s="14" t="inlineStr">
        <is>
          <t>ICICI Prudential Mutual Fund</t>
        </is>
      </c>
      <c r="D299" s="14" t="inlineStr">
        <is>
          <t>Other  Etfs</t>
        </is>
      </c>
      <c r="E299" s="14" t="inlineStr">
        <is>
          <t>Infrastructure</t>
        </is>
      </c>
      <c r="F299" s="15" t="n">
        <v>0.19</v>
      </c>
      <c r="G299" s="15" t="n">
        <v>1.48</v>
      </c>
      <c r="H299" s="16" t="n">
        <v>-3.37</v>
      </c>
      <c r="I299" s="15" t="n">
        <v>4.61</v>
      </c>
      <c r="J299" s="15" t="n">
        <v>1.528321171976432</v>
      </c>
      <c r="K299" s="15" t="n">
        <v>58.4</v>
      </c>
      <c r="L299" s="37" t="n">
        <v>40.7</v>
      </c>
      <c r="M299" s="18" t="n">
        <v>0</v>
      </c>
      <c r="N299" s="19" t="n">
        <v>22.4</v>
      </c>
      <c r="O299" s="108">
        <f>COUNTIFS($E:$E,$E299,$L:$L,"&gt;"&amp;$L299)+1</f>
        <v/>
      </c>
      <c r="P299" s="108">
        <f>COUNTIFS($E:$E,$E299,$M:$M,"&gt;"&amp;$M299)+1</f>
        <v/>
      </c>
      <c r="Q299" s="108">
        <f>COUNTIFS($E:$E,$E299,$N:$N,"&gt;"&amp;$N299)+1</f>
        <v/>
      </c>
      <c r="R299" s="20" t="inlineStr">
        <is>
          <t>➡️ Neutral</t>
        </is>
      </c>
      <c r="S299" s="20" t="inlineStr">
        <is>
          <t>🔴 Not Qualified</t>
        </is>
      </c>
      <c r="T299" s="20" t="inlineStr">
        <is>
          <t>🔴 Avoid</t>
        </is>
      </c>
      <c r="U299" s="83" t="inlineStr">
        <is>
          <t>FULL</t>
        </is>
      </c>
    </row>
    <row r="300" ht="16" customHeight="1">
      <c r="A300" s="28" t="n">
        <v>296</v>
      </c>
      <c r="B300" s="29" t="inlineStr">
        <is>
          <t>BANDHAN CRISIL IBX Gilt April 2028 Index Fund Regular Plan-Growth</t>
        </is>
      </c>
      <c r="C300" s="29" t="inlineStr">
        <is>
          <t>Bandhan Mutual Fund</t>
        </is>
      </c>
      <c r="D300" s="29" t="inlineStr">
        <is>
          <t>Index Funds</t>
        </is>
      </c>
      <c r="E300" s="29" t="inlineStr">
        <is>
          <t>GILT</t>
        </is>
      </c>
      <c r="F300" s="30" t="n">
        <v>0.39</v>
      </c>
      <c r="G300" s="30" t="n">
        <v>1.72</v>
      </c>
      <c r="H300" s="30" t="n">
        <v>2.32</v>
      </c>
      <c r="I300" s="30" t="n">
        <v>5.46</v>
      </c>
      <c r="J300" s="30" t="n">
        <v>6.883113727099111</v>
      </c>
      <c r="K300" s="30" t="n">
        <v>23.5</v>
      </c>
      <c r="L300" s="37" t="n">
        <v>40.6</v>
      </c>
      <c r="M300" s="18" t="n">
        <v>0</v>
      </c>
      <c r="N300" s="19" t="n">
        <v>22.4</v>
      </c>
      <c r="O300" s="108">
        <f>COUNTIFS($E:$E,$E300,$L:$L,"&gt;"&amp;$L300)+1</f>
        <v/>
      </c>
      <c r="P300" s="108">
        <f>COUNTIFS($E:$E,$E300,$M:$M,"&gt;"&amp;$M300)+1</f>
        <v/>
      </c>
      <c r="Q300" s="108">
        <f>COUNTIFS($E:$E,$E300,$N:$N,"&gt;"&amp;$N300)+1</f>
        <v/>
      </c>
      <c r="R300" s="31" t="inlineStr">
        <is>
          <t>➡️ Neutral</t>
        </is>
      </c>
      <c r="S300" s="31" t="inlineStr">
        <is>
          <t>🔴 Not Qualified</t>
        </is>
      </c>
      <c r="T300" s="31" t="inlineStr">
        <is>
          <t>🔴 Avoid</t>
        </is>
      </c>
      <c r="U300" s="83" t="inlineStr">
        <is>
          <t>FULL</t>
        </is>
      </c>
    </row>
    <row r="301" ht="16" customHeight="1">
      <c r="A301" s="13" t="n">
        <v>297</v>
      </c>
      <c r="B301" s="14" t="inlineStr">
        <is>
          <t>Nippon India ETF Nifty Infrastructure BeES</t>
        </is>
      </c>
      <c r="C301" s="14" t="inlineStr">
        <is>
          <t>Nippon India Mutual Fund</t>
        </is>
      </c>
      <c r="D301" s="14" t="inlineStr">
        <is>
          <t>Other  Etfs</t>
        </is>
      </c>
      <c r="E301" s="14" t="inlineStr">
        <is>
          <t>Infrastructure</t>
        </is>
      </c>
      <c r="F301" s="15" t="n">
        <v>0.19</v>
      </c>
      <c r="G301" s="15" t="n">
        <v>1.49</v>
      </c>
      <c r="H301" s="16" t="n">
        <v>-3.37</v>
      </c>
      <c r="I301" s="15" t="n">
        <v>4.4</v>
      </c>
      <c r="J301" s="15" t="n">
        <v>1.178060863015173</v>
      </c>
      <c r="K301" s="15" t="n">
        <v>56.3</v>
      </c>
      <c r="L301" s="37" t="n">
        <v>40.5</v>
      </c>
      <c r="M301" s="18" t="n">
        <v>0</v>
      </c>
      <c r="N301" s="19" t="n">
        <v>22.3</v>
      </c>
      <c r="O301" s="108">
        <f>COUNTIFS($E:$E,$E301,$L:$L,"&gt;"&amp;$L301)+1</f>
        <v/>
      </c>
      <c r="P301" s="108">
        <f>COUNTIFS($E:$E,$E301,$M:$M,"&gt;"&amp;$M301)+1</f>
        <v/>
      </c>
      <c r="Q301" s="108">
        <f>COUNTIFS($E:$E,$E301,$N:$N,"&gt;"&amp;$N301)+1</f>
        <v/>
      </c>
      <c r="R301" s="20" t="inlineStr">
        <is>
          <t>➡️ Neutral</t>
        </is>
      </c>
      <c r="S301" s="20" t="inlineStr">
        <is>
          <t>🔴 Not Qualified</t>
        </is>
      </c>
      <c r="T301" s="20" t="inlineStr">
        <is>
          <t>🔴 Avoid</t>
        </is>
      </c>
      <c r="U301" s="83" t="inlineStr">
        <is>
          <t>FULL</t>
        </is>
      </c>
    </row>
    <row r="302" ht="16" customHeight="1">
      <c r="A302" s="28" t="n">
        <v>298</v>
      </c>
      <c r="B302" s="29" t="inlineStr">
        <is>
          <t>Quantum Diversified Equity All Cap Active FOF - Regular Plan Growth Option</t>
        </is>
      </c>
      <c r="C302" s="29" t="inlineStr">
        <is>
          <t>Quantum Mutual Fund</t>
        </is>
      </c>
      <c r="D302" s="29" t="inlineStr">
        <is>
          <t>Fof Domestic</t>
        </is>
      </c>
      <c r="E302" s="29" t="inlineStr">
        <is>
          <t>Standard Equity/Debt</t>
        </is>
      </c>
      <c r="F302" s="30" t="n">
        <v>0.84</v>
      </c>
      <c r="G302" s="30" t="n">
        <v>6.22</v>
      </c>
      <c r="H302" s="91" t="n">
        <v>-0.55</v>
      </c>
      <c r="I302" s="30" t="n">
        <v>4.16</v>
      </c>
      <c r="J302" s="30" t="n">
        <v>2.391405889361642</v>
      </c>
      <c r="K302" s="30" t="n">
        <v>44.7</v>
      </c>
      <c r="L302" s="37" t="n">
        <v>40.5</v>
      </c>
      <c r="M302" s="18" t="n">
        <v>0</v>
      </c>
      <c r="N302" s="19" t="n">
        <v>22.3</v>
      </c>
      <c r="O302" s="108">
        <f>COUNTIFS($E:$E,$E302,$L:$L,"&gt;"&amp;$L302)+1</f>
        <v/>
      </c>
      <c r="P302" s="108">
        <f>COUNTIFS($E:$E,$E302,$M:$M,"&gt;"&amp;$M302)+1</f>
        <v/>
      </c>
      <c r="Q302" s="108">
        <f>COUNTIFS($E:$E,$E302,$N:$N,"&gt;"&amp;$N302)+1</f>
        <v/>
      </c>
      <c r="R302" s="31" t="inlineStr">
        <is>
          <t>➡️ Neutral</t>
        </is>
      </c>
      <c r="S302" s="31" t="inlineStr">
        <is>
          <t>🔴 Not Qualified</t>
        </is>
      </c>
      <c r="T302" s="31" t="inlineStr">
        <is>
          <t>🔴 Avoid</t>
        </is>
      </c>
      <c r="U302" s="83" t="inlineStr">
        <is>
          <t>FULL</t>
        </is>
      </c>
    </row>
    <row r="303" ht="16" customHeight="1">
      <c r="A303" s="13" t="n">
        <v>299</v>
      </c>
      <c r="B303" s="14" t="inlineStr">
        <is>
          <t>ICICI Prudential Nifty Bank ETF</t>
        </is>
      </c>
      <c r="C303" s="14" t="inlineStr">
        <is>
          <t>ICICI Prudential Mutual Fund</t>
        </is>
      </c>
      <c r="D303" s="14" t="inlineStr">
        <is>
          <t>Other  Etfs</t>
        </is>
      </c>
      <c r="E303" s="14" t="inlineStr">
        <is>
          <t>Banking/Financial</t>
        </is>
      </c>
      <c r="F303" s="16" t="n">
        <v>-2</v>
      </c>
      <c r="G303" s="15" t="n">
        <v>7.67</v>
      </c>
      <c r="H303" s="16" t="n">
        <v>-6.46</v>
      </c>
      <c r="I303" s="15" t="n">
        <v>3.95</v>
      </c>
      <c r="J303" s="15" t="n">
        <v>7.065400573668068</v>
      </c>
      <c r="K303" s="15" t="n">
        <v>32.99</v>
      </c>
      <c r="L303" s="37" t="n">
        <v>40.3</v>
      </c>
      <c r="M303" s="18" t="n">
        <v>0</v>
      </c>
      <c r="N303" s="19" t="n">
        <v>22.2</v>
      </c>
      <c r="O303" s="108">
        <f>COUNTIFS($E:$E,$E303,$L:$L,"&gt;"&amp;$L303)+1</f>
        <v/>
      </c>
      <c r="P303" s="108">
        <f>COUNTIFS($E:$E,$E303,$M:$M,"&gt;"&amp;$M303)+1</f>
        <v/>
      </c>
      <c r="Q303" s="108">
        <f>COUNTIFS($E:$E,$E303,$N:$N,"&gt;"&amp;$N303)+1</f>
        <v/>
      </c>
      <c r="R303" s="20" t="inlineStr">
        <is>
          <t>➡️ Neutral</t>
        </is>
      </c>
      <c r="S303" s="20" t="inlineStr">
        <is>
          <t>🔴 Not Qualified</t>
        </is>
      </c>
      <c r="T303" s="20" t="inlineStr">
        <is>
          <t>🔴 Avoid</t>
        </is>
      </c>
      <c r="U303" s="83" t="inlineStr">
        <is>
          <t>FULL</t>
        </is>
      </c>
    </row>
    <row r="304" ht="16" customHeight="1">
      <c r="A304" s="28" t="n">
        <v>300</v>
      </c>
      <c r="B304" s="29" t="inlineStr">
        <is>
          <t>ICICI Prudential Nifty SDL Dec 2028 Index Fund - Growth</t>
        </is>
      </c>
      <c r="C304" s="29" t="inlineStr">
        <is>
          <t>ICICI Prudential Mutual Fund</t>
        </is>
      </c>
      <c r="D304" s="29" t="inlineStr">
        <is>
          <t>Index Funds</t>
        </is>
      </c>
      <c r="E304" s="29" t="inlineStr">
        <is>
          <t>Index Fund</t>
        </is>
      </c>
      <c r="F304" s="30" t="n">
        <v>0.35</v>
      </c>
      <c r="G304" s="30" t="n">
        <v>2.5</v>
      </c>
      <c r="H304" s="30" t="n">
        <v>2.38</v>
      </c>
      <c r="I304" s="30" t="n">
        <v>5.16</v>
      </c>
      <c r="J304" s="30" t="n">
        <v>7.060730429042006</v>
      </c>
      <c r="K304" s="30" t="n">
        <v>24.62</v>
      </c>
      <c r="L304" s="37" t="n">
        <v>40.3</v>
      </c>
      <c r="M304" s="18" t="n">
        <v>0</v>
      </c>
      <c r="N304" s="19" t="n">
        <v>22.2</v>
      </c>
      <c r="O304" s="108">
        <f>COUNTIFS($E:$E,$E304,$L:$L,"&gt;"&amp;$L304)+1</f>
        <v/>
      </c>
      <c r="P304" s="108">
        <f>COUNTIFS($E:$E,$E304,$M:$M,"&gt;"&amp;$M304)+1</f>
        <v/>
      </c>
      <c r="Q304" s="108">
        <f>COUNTIFS($E:$E,$E304,$N:$N,"&gt;"&amp;$N304)+1</f>
        <v/>
      </c>
      <c r="R304" s="31" t="inlineStr">
        <is>
          <t>➡️ Neutral</t>
        </is>
      </c>
      <c r="S304" s="31" t="inlineStr">
        <is>
          <t>🔴 Not Qualified</t>
        </is>
      </c>
      <c r="T304" s="31" t="inlineStr">
        <is>
          <t>🔴 Avoid</t>
        </is>
      </c>
      <c r="U304" s="83" t="inlineStr">
        <is>
          <t>FULL</t>
        </is>
      </c>
    </row>
    <row r="305" ht="16" customHeight="1">
      <c r="A305" s="13" t="n">
        <v>301</v>
      </c>
      <c r="B305" s="14" t="inlineStr">
        <is>
          <t>Bandhan Multi-Asset Passive FOF - Regular Plan - Growth</t>
        </is>
      </c>
      <c r="C305" s="14" t="inlineStr">
        <is>
          <t>Bandhan Mutual Fund</t>
        </is>
      </c>
      <c r="D305" s="14" t="inlineStr">
        <is>
          <t>Fof Domestic</t>
        </is>
      </c>
      <c r="E305" s="14" t="inlineStr">
        <is>
          <t>Standard Equity/Debt</t>
        </is>
      </c>
      <c r="F305" s="15" t="n">
        <v>3.14</v>
      </c>
      <c r="G305" s="15" t="n">
        <v>2.55</v>
      </c>
      <c r="H305" s="15" t="n">
        <v>0.29</v>
      </c>
      <c r="I305" s="15" t="n">
        <v>5.62</v>
      </c>
      <c r="J305" s="15" t="n">
        <v>5.237825899245929</v>
      </c>
      <c r="K305" s="15" t="n">
        <v>34.07</v>
      </c>
      <c r="L305" s="37" t="n">
        <v>40.3</v>
      </c>
      <c r="M305" s="18" t="n">
        <v>0</v>
      </c>
      <c r="N305" s="19" t="n">
        <v>22.1</v>
      </c>
      <c r="O305" s="108">
        <f>COUNTIFS($E:$E,$E305,$L:$L,"&gt;"&amp;$L305)+1</f>
        <v/>
      </c>
      <c r="P305" s="108">
        <f>COUNTIFS($E:$E,$E305,$M:$M,"&gt;"&amp;$M305)+1</f>
        <v/>
      </c>
      <c r="Q305" s="108">
        <f>COUNTIFS($E:$E,$E305,$N:$N,"&gt;"&amp;$N305)+1</f>
        <v/>
      </c>
      <c r="R305" s="20" t="inlineStr">
        <is>
          <t>➡️ Neutral</t>
        </is>
      </c>
      <c r="S305" s="20" t="inlineStr">
        <is>
          <t>🔴 Not Qualified</t>
        </is>
      </c>
      <c r="T305" s="20" t="inlineStr">
        <is>
          <t>🔴 Avoid</t>
        </is>
      </c>
      <c r="U305" s="83" t="inlineStr">
        <is>
          <t>FULL</t>
        </is>
      </c>
    </row>
    <row r="306" ht="16" customHeight="1">
      <c r="A306" s="28" t="n">
        <v>302</v>
      </c>
      <c r="B306" s="29" t="inlineStr">
        <is>
          <t>Nippon India ETF Nifty 100</t>
        </is>
      </c>
      <c r="C306" s="29" t="inlineStr">
        <is>
          <t>Nippon India Mutual Fund</t>
        </is>
      </c>
      <c r="D306" s="29" t="inlineStr">
        <is>
          <t>Other  Etfs</t>
        </is>
      </c>
      <c r="E306" s="29" t="inlineStr">
        <is>
          <t>Index Fund</t>
        </is>
      </c>
      <c r="F306" s="30" t="n">
        <v>0.18</v>
      </c>
      <c r="G306" s="30" t="n">
        <v>3.79</v>
      </c>
      <c r="H306" s="91" t="n">
        <v>-3.85</v>
      </c>
      <c r="I306" s="30" t="n">
        <v>0.96</v>
      </c>
      <c r="J306" s="30" t="n">
        <v>0.124921972503933</v>
      </c>
      <c r="K306" s="30" t="n">
        <v>34.15</v>
      </c>
      <c r="L306" s="37" t="n">
        <v>40.2</v>
      </c>
      <c r="M306" s="18" t="n">
        <v>0</v>
      </c>
      <c r="N306" s="19" t="n">
        <v>22.1</v>
      </c>
      <c r="O306" s="108">
        <f>COUNTIFS($E:$E,$E306,$L:$L,"&gt;"&amp;$L306)+1</f>
        <v/>
      </c>
      <c r="P306" s="108">
        <f>COUNTIFS($E:$E,$E306,$M:$M,"&gt;"&amp;$M306)+1</f>
        <v/>
      </c>
      <c r="Q306" s="108">
        <f>COUNTIFS($E:$E,$E306,$N:$N,"&gt;"&amp;$N306)+1</f>
        <v/>
      </c>
      <c r="R306" s="31" t="inlineStr">
        <is>
          <t>➡️ Neutral</t>
        </is>
      </c>
      <c r="S306" s="31" t="inlineStr">
        <is>
          <t>🔴 Not Qualified</t>
        </is>
      </c>
      <c r="T306" s="31" t="inlineStr">
        <is>
          <t>🔴 Avoid</t>
        </is>
      </c>
      <c r="U306" s="83" t="inlineStr">
        <is>
          <t>FULL</t>
        </is>
      </c>
    </row>
    <row r="307" ht="16" customHeight="1">
      <c r="A307" s="13" t="n">
        <v>303</v>
      </c>
      <c r="B307" s="14" t="inlineStr">
        <is>
          <t>ICICI Prudential Nifty 100 ETF</t>
        </is>
      </c>
      <c r="C307" s="14" t="inlineStr">
        <is>
          <t>ICICI Prudential Mutual Fund</t>
        </is>
      </c>
      <c r="D307" s="14" t="inlineStr">
        <is>
          <t>Other  Etfs</t>
        </is>
      </c>
      <c r="E307" s="14" t="inlineStr">
        <is>
          <t>Index Fund</t>
        </is>
      </c>
      <c r="F307" s="15" t="n">
        <v>0.18</v>
      </c>
      <c r="G307" s="15" t="n">
        <v>3.78</v>
      </c>
      <c r="H307" s="16" t="n">
        <v>-3.87</v>
      </c>
      <c r="I307" s="15" t="n">
        <v>0.97</v>
      </c>
      <c r="J307" s="15" t="n">
        <v>0.1448950271555338</v>
      </c>
      <c r="K307" s="16" t="n">
        <v>-86.56999999999999</v>
      </c>
      <c r="L307" s="37" t="n">
        <v>40</v>
      </c>
      <c r="M307" s="18" t="n">
        <v>0</v>
      </c>
      <c r="N307" s="19" t="n">
        <v>22</v>
      </c>
      <c r="O307" s="108">
        <f>COUNTIFS($E:$E,$E307,$L:$L,"&gt;"&amp;$L307)+1</f>
        <v/>
      </c>
      <c r="P307" s="108">
        <f>COUNTIFS($E:$E,$E307,$M:$M,"&gt;"&amp;$M307)+1</f>
        <v/>
      </c>
      <c r="Q307" s="108">
        <f>COUNTIFS($E:$E,$E307,$N:$N,"&gt;"&amp;$N307)+1</f>
        <v/>
      </c>
      <c r="R307" s="20" t="inlineStr">
        <is>
          <t>➡️ Neutral</t>
        </is>
      </c>
      <c r="S307" s="20" t="inlineStr">
        <is>
          <t>🔴 Not Qualified</t>
        </is>
      </c>
      <c r="T307" s="20" t="inlineStr">
        <is>
          <t>🔴 Avoid</t>
        </is>
      </c>
      <c r="U307" s="83" t="inlineStr">
        <is>
          <t>FULL</t>
        </is>
      </c>
    </row>
    <row r="308" ht="16" customHeight="1">
      <c r="A308" s="28" t="n">
        <v>304</v>
      </c>
      <c r="B308" s="29" t="inlineStr">
        <is>
          <t>UTI BSE Housing Index Fund - Regular Plan - Growth Option</t>
        </is>
      </c>
      <c r="C308" s="29" t="inlineStr">
        <is>
          <t>UTI Mutual Fund</t>
        </is>
      </c>
      <c r="D308" s="29" t="inlineStr">
        <is>
          <t>Index Funds</t>
        </is>
      </c>
      <c r="E308" s="29" t="inlineStr">
        <is>
          <t>Index Fund</t>
        </is>
      </c>
      <c r="F308" s="91" t="n">
        <v>-0.02</v>
      </c>
      <c r="G308" s="30" t="n">
        <v>7.9</v>
      </c>
      <c r="H308" s="30" t="n">
        <v>0.57</v>
      </c>
      <c r="I308" s="91" t="n">
        <v>-1.52</v>
      </c>
      <c r="J308" s="91" t="n">
        <v>-2.866071838929529</v>
      </c>
      <c r="K308" s="30" t="n">
        <v>34.95</v>
      </c>
      <c r="L308" s="37" t="n">
        <v>39.9</v>
      </c>
      <c r="M308" s="18" t="n">
        <v>0</v>
      </c>
      <c r="N308" s="19" t="n">
        <v>22</v>
      </c>
      <c r="O308" s="108">
        <f>COUNTIFS($E:$E,$E308,$L:$L,"&gt;"&amp;$L308)+1</f>
        <v/>
      </c>
      <c r="P308" s="108">
        <f>COUNTIFS($E:$E,$E308,$M:$M,"&gt;"&amp;$M308)+1</f>
        <v/>
      </c>
      <c r="Q308" s="108">
        <f>COUNTIFS($E:$E,$E308,$N:$N,"&gt;"&amp;$N308)+1</f>
        <v/>
      </c>
      <c r="R308" s="31" t="inlineStr">
        <is>
          <t>📉 Weak</t>
        </is>
      </c>
      <c r="S308" s="31" t="inlineStr">
        <is>
          <t>🔴 Not Qualified</t>
        </is>
      </c>
      <c r="T308" s="31" t="inlineStr">
        <is>
          <t>🔴 Avoid</t>
        </is>
      </c>
      <c r="U308" s="83" t="inlineStr">
        <is>
          <t>FULL</t>
        </is>
      </c>
    </row>
    <row r="309" ht="16" customHeight="1">
      <c r="A309" s="13" t="n">
        <v>305</v>
      </c>
      <c r="B309" s="14" t="inlineStr">
        <is>
          <t>DSP Nifty Bank ETF</t>
        </is>
      </c>
      <c r="C309" s="14" t="inlineStr">
        <is>
          <t>DSP Mutual Fund</t>
        </is>
      </c>
      <c r="D309" s="14" t="inlineStr">
        <is>
          <t>Other  Etfs</t>
        </is>
      </c>
      <c r="E309" s="14" t="inlineStr">
        <is>
          <t>Banking/Financial</t>
        </is>
      </c>
      <c r="F309" s="16" t="n">
        <v>-2</v>
      </c>
      <c r="G309" s="15" t="n">
        <v>7.66</v>
      </c>
      <c r="H309" s="16" t="n">
        <v>-6.46</v>
      </c>
      <c r="I309" s="15" t="n">
        <v>3.94</v>
      </c>
      <c r="J309" s="15" t="n">
        <v>7.037376649467642</v>
      </c>
      <c r="K309" s="15" t="n">
        <v>32.92</v>
      </c>
      <c r="L309" s="37" t="n">
        <v>39.9</v>
      </c>
      <c r="M309" s="18" t="n">
        <v>0</v>
      </c>
      <c r="N309" s="19" t="n">
        <v>22</v>
      </c>
      <c r="O309" s="108">
        <f>COUNTIFS($E:$E,$E309,$L:$L,"&gt;"&amp;$L309)+1</f>
        <v/>
      </c>
      <c r="P309" s="108">
        <f>COUNTIFS($E:$E,$E309,$M:$M,"&gt;"&amp;$M309)+1</f>
        <v/>
      </c>
      <c r="Q309" s="108">
        <f>COUNTIFS($E:$E,$E309,$N:$N,"&gt;"&amp;$N309)+1</f>
        <v/>
      </c>
      <c r="R309" s="20" t="inlineStr">
        <is>
          <t>📉 Weak</t>
        </is>
      </c>
      <c r="S309" s="20" t="inlineStr">
        <is>
          <t>🔴 Not Qualified</t>
        </is>
      </c>
      <c r="T309" s="20" t="inlineStr">
        <is>
          <t>🔴 Avoid</t>
        </is>
      </c>
      <c r="U309" s="83" t="inlineStr">
        <is>
          <t>FULL</t>
        </is>
      </c>
    </row>
    <row r="310" ht="16" customHeight="1">
      <c r="A310" s="28" t="n">
        <v>306</v>
      </c>
      <c r="B310" s="29" t="inlineStr">
        <is>
          <t>HDFC NIFTY Bank ETF - GROWTH</t>
        </is>
      </c>
      <c r="C310" s="29" t="inlineStr">
        <is>
          <t>HDFC Mutual Fund</t>
        </is>
      </c>
      <c r="D310" s="29" t="inlineStr">
        <is>
          <t>Other  Etfs</t>
        </is>
      </c>
      <c r="E310" s="29" t="inlineStr">
        <is>
          <t>Banking/Financial</t>
        </is>
      </c>
      <c r="F310" s="91" t="n">
        <v>-2</v>
      </c>
      <c r="G310" s="30" t="n">
        <v>7.67</v>
      </c>
      <c r="H310" s="91" t="n">
        <v>-6.47</v>
      </c>
      <c r="I310" s="30" t="n">
        <v>3.93</v>
      </c>
      <c r="J310" s="30" t="n">
        <v>7.042047812997287</v>
      </c>
      <c r="K310" s="91" t="n">
        <v>-86.70999999999999</v>
      </c>
      <c r="L310" s="37" t="n">
        <v>39.8</v>
      </c>
      <c r="M310" s="18" t="n">
        <v>0</v>
      </c>
      <c r="N310" s="19" t="n">
        <v>21.9</v>
      </c>
      <c r="O310" s="108">
        <f>COUNTIFS($E:$E,$E310,$L:$L,"&gt;"&amp;$L310)+1</f>
        <v/>
      </c>
      <c r="P310" s="108">
        <f>COUNTIFS($E:$E,$E310,$M:$M,"&gt;"&amp;$M310)+1</f>
        <v/>
      </c>
      <c r="Q310" s="108">
        <f>COUNTIFS($E:$E,$E310,$N:$N,"&gt;"&amp;$N310)+1</f>
        <v/>
      </c>
      <c r="R310" s="31" t="inlineStr">
        <is>
          <t>📉 Weak</t>
        </is>
      </c>
      <c r="S310" s="31" t="inlineStr">
        <is>
          <t>🔴 Not Qualified</t>
        </is>
      </c>
      <c r="T310" s="31" t="inlineStr">
        <is>
          <t>🔴 Avoid</t>
        </is>
      </c>
      <c r="U310" s="83" t="inlineStr">
        <is>
          <t>FULL</t>
        </is>
      </c>
    </row>
    <row r="311" ht="16" customHeight="1">
      <c r="A311" s="13" t="n">
        <v>307</v>
      </c>
      <c r="B311" s="14" t="inlineStr">
        <is>
          <t>UTI Nifty Bank ETF</t>
        </is>
      </c>
      <c r="C311" s="14" t="inlineStr">
        <is>
          <t>UTI Mutual Fund</t>
        </is>
      </c>
      <c r="D311" s="14" t="inlineStr">
        <is>
          <t>Other  Etfs</t>
        </is>
      </c>
      <c r="E311" s="14" t="inlineStr">
        <is>
          <t>Banking/Financial</t>
        </is>
      </c>
      <c r="F311" s="16" t="n">
        <v>-2</v>
      </c>
      <c r="G311" s="15" t="n">
        <v>7.67</v>
      </c>
      <c r="H311" s="16" t="n">
        <v>-6.47</v>
      </c>
      <c r="I311" s="15" t="n">
        <v>3.93</v>
      </c>
      <c r="J311" s="15" t="n">
        <v>7.074740251844647</v>
      </c>
      <c r="K311" s="15" t="n">
        <v>33.05</v>
      </c>
      <c r="L311" s="37" t="n">
        <v>39.8</v>
      </c>
      <c r="M311" s="18" t="n">
        <v>0</v>
      </c>
      <c r="N311" s="19" t="n">
        <v>21.9</v>
      </c>
      <c r="O311" s="108">
        <f>COUNTIFS($E:$E,$E311,$L:$L,"&gt;"&amp;$L311)+1</f>
        <v/>
      </c>
      <c r="P311" s="108">
        <f>COUNTIFS($E:$E,$E311,$M:$M,"&gt;"&amp;$M311)+1</f>
        <v/>
      </c>
      <c r="Q311" s="108">
        <f>COUNTIFS($E:$E,$E311,$N:$N,"&gt;"&amp;$N311)+1</f>
        <v/>
      </c>
      <c r="R311" s="20" t="inlineStr">
        <is>
          <t>📉 Weak</t>
        </is>
      </c>
      <c r="S311" s="20" t="inlineStr">
        <is>
          <t>🔴 Not Qualified</t>
        </is>
      </c>
      <c r="T311" s="20" t="inlineStr">
        <is>
          <t>🔴 Avoid</t>
        </is>
      </c>
      <c r="U311" s="83" t="inlineStr">
        <is>
          <t>FULL</t>
        </is>
      </c>
    </row>
    <row r="312" ht="16" customHeight="1">
      <c r="A312" s="28" t="n">
        <v>308</v>
      </c>
      <c r="B312" s="29" t="inlineStr">
        <is>
          <t>PGIM India CRISIL IBX Gilt Index - Apr 2028 Fund - Regular Plan, Growth Option</t>
        </is>
      </c>
      <c r="C312" s="29" t="inlineStr">
        <is>
          <t>PGIM India Mutual Fund</t>
        </is>
      </c>
      <c r="D312" s="29" t="inlineStr">
        <is>
          <t>Index Funds</t>
        </is>
      </c>
      <c r="E312" s="29" t="inlineStr">
        <is>
          <t>GILT</t>
        </is>
      </c>
      <c r="F312" s="30" t="n">
        <v>0.43</v>
      </c>
      <c r="G312" s="30" t="n">
        <v>1.7</v>
      </c>
      <c r="H312" s="30" t="n">
        <v>2.21</v>
      </c>
      <c r="I312" s="30" t="n">
        <v>5.29</v>
      </c>
      <c r="J312" s="30" t="n">
        <v>6.79419459877022</v>
      </c>
      <c r="K312" s="30" t="n">
        <v>23.14</v>
      </c>
      <c r="L312" s="37" t="n">
        <v>39.8</v>
      </c>
      <c r="M312" s="18" t="n">
        <v>0</v>
      </c>
      <c r="N312" s="19" t="n">
        <v>21.9</v>
      </c>
      <c r="O312" s="108">
        <f>COUNTIFS($E:$E,$E312,$L:$L,"&gt;"&amp;$L312)+1</f>
        <v/>
      </c>
      <c r="P312" s="108">
        <f>COUNTIFS($E:$E,$E312,$M:$M,"&gt;"&amp;$M312)+1</f>
        <v/>
      </c>
      <c r="Q312" s="108">
        <f>COUNTIFS($E:$E,$E312,$N:$N,"&gt;"&amp;$N312)+1</f>
        <v/>
      </c>
      <c r="R312" s="31" t="inlineStr">
        <is>
          <t>📉 Weak</t>
        </is>
      </c>
      <c r="S312" s="31" t="inlineStr">
        <is>
          <t>🔴 Not Qualified</t>
        </is>
      </c>
      <c r="T312" s="31" t="inlineStr">
        <is>
          <t>🔴 Avoid</t>
        </is>
      </c>
      <c r="U312" s="83" t="inlineStr">
        <is>
          <t>FULL</t>
        </is>
      </c>
    </row>
    <row r="313" ht="16" customHeight="1">
      <c r="A313" s="13" t="n">
        <v>309</v>
      </c>
      <c r="B313" s="14" t="inlineStr">
        <is>
          <t>DSP Nifty IT ETF</t>
        </is>
      </c>
      <c r="C313" s="14" t="inlineStr">
        <is>
          <t>DSP Mutual Fund</t>
        </is>
      </c>
      <c r="D313" s="14" t="inlineStr">
        <is>
          <t>Other  Etfs</t>
        </is>
      </c>
      <c r="E313" s="14" t="inlineStr">
        <is>
          <t>Index Fund</t>
        </is>
      </c>
      <c r="F313" s="15" t="n">
        <v>3.42</v>
      </c>
      <c r="G313" s="15" t="n">
        <v>3.81</v>
      </c>
      <c r="H313" s="16" t="n">
        <v>-6.72</v>
      </c>
      <c r="I313" s="16" t="n">
        <v>-11.33</v>
      </c>
      <c r="J313" s="16" t="n">
        <v>-12.19908884299662</v>
      </c>
      <c r="K313" s="15" t="n">
        <v>4.7</v>
      </c>
      <c r="L313" s="37" t="n">
        <v>39.5</v>
      </c>
      <c r="M313" s="18" t="n">
        <v>0</v>
      </c>
      <c r="N313" s="19" t="n">
        <v>21.7</v>
      </c>
      <c r="O313" s="108">
        <f>COUNTIFS($E:$E,$E313,$L:$L,"&gt;"&amp;$L313)+1</f>
        <v/>
      </c>
      <c r="P313" s="108">
        <f>COUNTIFS($E:$E,$E313,$M:$M,"&gt;"&amp;$M313)+1</f>
        <v/>
      </c>
      <c r="Q313" s="108">
        <f>COUNTIFS($E:$E,$E313,$N:$N,"&gt;"&amp;$N313)+1</f>
        <v/>
      </c>
      <c r="R313" s="20" t="inlineStr">
        <is>
          <t>📉 Weak</t>
        </is>
      </c>
      <c r="S313" s="20" t="inlineStr">
        <is>
          <t>🔴 Not Qualified</t>
        </is>
      </c>
      <c r="T313" s="20" t="inlineStr">
        <is>
          <t>🔴 Avoid</t>
        </is>
      </c>
      <c r="U313" s="83" t="inlineStr">
        <is>
          <t>FULL</t>
        </is>
      </c>
    </row>
    <row r="314" ht="16" customHeight="1">
      <c r="A314" s="28" t="n">
        <v>310</v>
      </c>
      <c r="B314" s="29" t="inlineStr">
        <is>
          <t>ICICI Prudential Nifty IT ETF</t>
        </is>
      </c>
      <c r="C314" s="29" t="inlineStr">
        <is>
          <t>ICICI Prudential Mutual Fund</t>
        </is>
      </c>
      <c r="D314" s="29" t="inlineStr">
        <is>
          <t>Other  Etfs</t>
        </is>
      </c>
      <c r="E314" s="29" t="inlineStr">
        <is>
          <t>Index Fund</t>
        </is>
      </c>
      <c r="F314" s="30" t="n">
        <v>3.45</v>
      </c>
      <c r="G314" s="30" t="n">
        <v>3.76</v>
      </c>
      <c r="H314" s="91" t="n">
        <v>-6.72</v>
      </c>
      <c r="I314" s="91" t="n">
        <v>-11.45</v>
      </c>
      <c r="J314" s="91" t="n">
        <v>-12.25605433991471</v>
      </c>
      <c r="K314" s="30" t="n">
        <v>4.72</v>
      </c>
      <c r="L314" s="37" t="n">
        <v>39.5</v>
      </c>
      <c r="M314" s="18" t="n">
        <v>0</v>
      </c>
      <c r="N314" s="19" t="n">
        <v>21.7</v>
      </c>
      <c r="O314" s="108">
        <f>COUNTIFS($E:$E,$E314,$L:$L,"&gt;"&amp;$L314)+1</f>
        <v/>
      </c>
      <c r="P314" s="108">
        <f>COUNTIFS($E:$E,$E314,$M:$M,"&gt;"&amp;$M314)+1</f>
        <v/>
      </c>
      <c r="Q314" s="108">
        <f>COUNTIFS($E:$E,$E314,$N:$N,"&gt;"&amp;$N314)+1</f>
        <v/>
      </c>
      <c r="R314" s="31" t="inlineStr">
        <is>
          <t>📉 Weak</t>
        </is>
      </c>
      <c r="S314" s="31" t="inlineStr">
        <is>
          <t>🔴 Not Qualified</t>
        </is>
      </c>
      <c r="T314" s="31" t="inlineStr">
        <is>
          <t>🔴 Avoid</t>
        </is>
      </c>
      <c r="U314" s="83" t="inlineStr">
        <is>
          <t>FULL</t>
        </is>
      </c>
    </row>
    <row r="315" ht="16" customHeight="1">
      <c r="A315" s="13" t="n">
        <v>311</v>
      </c>
      <c r="B315" s="14" t="inlineStr">
        <is>
          <t>BANDHAN NIFTY100 LOW VOLATILITY 30 INDEX FUND - GROWTH - REGULAR PLAN</t>
        </is>
      </c>
      <c r="C315" s="14" t="inlineStr">
        <is>
          <t>Bandhan Mutual Fund</t>
        </is>
      </c>
      <c r="D315" s="14" t="inlineStr">
        <is>
          <t>Index Funds</t>
        </is>
      </c>
      <c r="E315" s="14" t="inlineStr">
        <is>
          <t>Index Fund</t>
        </is>
      </c>
      <c r="F315" s="15" t="n">
        <v>0.66</v>
      </c>
      <c r="G315" s="15" t="n">
        <v>3.57</v>
      </c>
      <c r="H315" s="16" t="n">
        <v>-2.74</v>
      </c>
      <c r="I315" s="15" t="n">
        <v>1.34</v>
      </c>
      <c r="J315" s="15" t="n">
        <v>0.4091629284897369</v>
      </c>
      <c r="K315" s="15" t="n">
        <v>35.25</v>
      </c>
      <c r="L315" s="37" t="n">
        <v>39.4</v>
      </c>
      <c r="M315" s="18" t="n">
        <v>0</v>
      </c>
      <c r="N315" s="19" t="n">
        <v>21.7</v>
      </c>
      <c r="O315" s="108">
        <f>COUNTIFS($E:$E,$E315,$L:$L,"&gt;"&amp;$L315)+1</f>
        <v/>
      </c>
      <c r="P315" s="108">
        <f>COUNTIFS($E:$E,$E315,$M:$M,"&gt;"&amp;$M315)+1</f>
        <v/>
      </c>
      <c r="Q315" s="108">
        <f>COUNTIFS($E:$E,$E315,$N:$N,"&gt;"&amp;$N315)+1</f>
        <v/>
      </c>
      <c r="R315" s="20" t="inlineStr">
        <is>
          <t>📉 Weak</t>
        </is>
      </c>
      <c r="S315" s="20" t="inlineStr">
        <is>
          <t>🔴 Not Qualified</t>
        </is>
      </c>
      <c r="T315" s="20" t="inlineStr">
        <is>
          <t>🔴 Avoid</t>
        </is>
      </c>
      <c r="U315" s="83" t="inlineStr">
        <is>
          <t>FULL</t>
        </is>
      </c>
    </row>
    <row r="316" ht="16" customHeight="1">
      <c r="A316" s="28" t="n">
        <v>312</v>
      </c>
      <c r="B316" s="29" t="inlineStr">
        <is>
          <t>Nippon India ETF Nifty Bank BeES</t>
        </is>
      </c>
      <c r="C316" s="29" t="inlineStr">
        <is>
          <t>Nippon India Mutual Fund</t>
        </is>
      </c>
      <c r="D316" s="29" t="inlineStr">
        <is>
          <t>Other  Etfs</t>
        </is>
      </c>
      <c r="E316" s="29" t="inlineStr">
        <is>
          <t>Banking/Financial</t>
        </is>
      </c>
      <c r="F316" s="91" t="n">
        <v>-2</v>
      </c>
      <c r="G316" s="30" t="n">
        <v>7.66</v>
      </c>
      <c r="H316" s="91" t="n">
        <v>-6.49</v>
      </c>
      <c r="I316" s="30" t="n">
        <v>3.9</v>
      </c>
      <c r="J316" s="30" t="n">
        <v>6.990653797422897</v>
      </c>
      <c r="K316" s="30" t="n">
        <v>32.78</v>
      </c>
      <c r="L316" s="37" t="n">
        <v>39</v>
      </c>
      <c r="M316" s="18" t="n">
        <v>0</v>
      </c>
      <c r="N316" s="19" t="n">
        <v>21.5</v>
      </c>
      <c r="O316" s="108">
        <f>COUNTIFS($E:$E,$E316,$L:$L,"&gt;"&amp;$L316)+1</f>
        <v/>
      </c>
      <c r="P316" s="108">
        <f>COUNTIFS($E:$E,$E316,$M:$M,"&gt;"&amp;$M316)+1</f>
        <v/>
      </c>
      <c r="Q316" s="108">
        <f>COUNTIFS($E:$E,$E316,$N:$N,"&gt;"&amp;$N316)+1</f>
        <v/>
      </c>
      <c r="R316" s="31" t="inlineStr">
        <is>
          <t>📉 Weak</t>
        </is>
      </c>
      <c r="S316" s="31" t="inlineStr">
        <is>
          <t>🔴 Not Qualified</t>
        </is>
      </c>
      <c r="T316" s="31" t="inlineStr">
        <is>
          <t>🔴 Avoid</t>
        </is>
      </c>
      <c r="U316" s="83" t="inlineStr">
        <is>
          <t>FULL</t>
        </is>
      </c>
    </row>
    <row r="317" ht="16" customHeight="1">
      <c r="A317" s="13" t="n">
        <v>313</v>
      </c>
      <c r="B317" s="14" t="inlineStr">
        <is>
          <t>SBI Nifty Bank ETF</t>
        </is>
      </c>
      <c r="C317" s="14" t="inlineStr">
        <is>
          <t>SBI Mutual Fund</t>
        </is>
      </c>
      <c r="D317" s="14" t="inlineStr">
        <is>
          <t>Other  Etfs</t>
        </is>
      </c>
      <c r="E317" s="14" t="inlineStr">
        <is>
          <t>Banking/Financial</t>
        </is>
      </c>
      <c r="F317" s="16" t="n">
        <v>-2</v>
      </c>
      <c r="G317" s="15" t="n">
        <v>7.66</v>
      </c>
      <c r="H317" s="16" t="n">
        <v>-6.49</v>
      </c>
      <c r="I317" s="15" t="n">
        <v>3.9</v>
      </c>
      <c r="J317" s="15" t="n">
        <v>7.023361935607308</v>
      </c>
      <c r="K317" s="15" t="n">
        <v>32.84</v>
      </c>
      <c r="L317" s="37" t="n">
        <v>39</v>
      </c>
      <c r="M317" s="18" t="n">
        <v>0</v>
      </c>
      <c r="N317" s="19" t="n">
        <v>21.5</v>
      </c>
      <c r="O317" s="108">
        <f>COUNTIFS($E:$E,$E317,$L:$L,"&gt;"&amp;$L317)+1</f>
        <v/>
      </c>
      <c r="P317" s="108">
        <f>COUNTIFS($E:$E,$E317,$M:$M,"&gt;"&amp;$M317)+1</f>
        <v/>
      </c>
      <c r="Q317" s="108">
        <f>COUNTIFS($E:$E,$E317,$N:$N,"&gt;"&amp;$N317)+1</f>
        <v/>
      </c>
      <c r="R317" s="20" t="inlineStr">
        <is>
          <t>📉 Weak</t>
        </is>
      </c>
      <c r="S317" s="20" t="inlineStr">
        <is>
          <t>🔴 Not Qualified</t>
        </is>
      </c>
      <c r="T317" s="20" t="inlineStr">
        <is>
          <t>🔴 Avoid</t>
        </is>
      </c>
      <c r="U317" s="83" t="inlineStr">
        <is>
          <t>FULL</t>
        </is>
      </c>
    </row>
    <row r="318" ht="16" customHeight="1">
      <c r="A318" s="28" t="n">
        <v>314</v>
      </c>
      <c r="B318" s="29" t="inlineStr">
        <is>
          <t>HDFC NIFTY IT ETF - Growth option</t>
        </is>
      </c>
      <c r="C318" s="29" t="inlineStr">
        <is>
          <t>HDFC Mutual Fund</t>
        </is>
      </c>
      <c r="D318" s="29" t="inlineStr">
        <is>
          <t>Other  Etfs</t>
        </is>
      </c>
      <c r="E318" s="29" t="inlineStr">
        <is>
          <t>Index Fund</t>
        </is>
      </c>
      <c r="F318" s="30" t="n">
        <v>3.44</v>
      </c>
      <c r="G318" s="30" t="n">
        <v>3.73</v>
      </c>
      <c r="H318" s="91" t="n">
        <v>-6.75</v>
      </c>
      <c r="I318" s="91" t="n">
        <v>-11.5</v>
      </c>
      <c r="J318" s="91" t="n">
        <v>-12.29025139700832</v>
      </c>
      <c r="K318" s="91" t="n">
        <v>-89.54000000000001</v>
      </c>
      <c r="L318" s="37" t="n">
        <v>38.7</v>
      </c>
      <c r="M318" s="18" t="n">
        <v>0</v>
      </c>
      <c r="N318" s="19" t="n">
        <v>21.3</v>
      </c>
      <c r="O318" s="108">
        <f>COUNTIFS($E:$E,$E318,$L:$L,"&gt;"&amp;$L318)+1</f>
        <v/>
      </c>
      <c r="P318" s="108">
        <f>COUNTIFS($E:$E,$E318,$M:$M,"&gt;"&amp;$M318)+1</f>
        <v/>
      </c>
      <c r="Q318" s="108">
        <f>COUNTIFS($E:$E,$E318,$N:$N,"&gt;"&amp;$N318)+1</f>
        <v/>
      </c>
      <c r="R318" s="31" t="inlineStr">
        <is>
          <t>📉 Weak</t>
        </is>
      </c>
      <c r="S318" s="31" t="inlineStr">
        <is>
          <t>🔴 Not Qualified</t>
        </is>
      </c>
      <c r="T318" s="31" t="inlineStr">
        <is>
          <t>🔴 Avoid</t>
        </is>
      </c>
      <c r="U318" s="83" t="inlineStr">
        <is>
          <t>FULL</t>
        </is>
      </c>
    </row>
    <row r="319" ht="16" customHeight="1">
      <c r="A319" s="13" t="n">
        <v>315</v>
      </c>
      <c r="B319" s="14" t="inlineStr">
        <is>
          <t>Axis NIFTY Bank ETF</t>
        </is>
      </c>
      <c r="C319" s="14" t="inlineStr">
        <is>
          <t>Axis Mutual Fund</t>
        </is>
      </c>
      <c r="D319" s="14" t="inlineStr">
        <is>
          <t>Other  Etfs</t>
        </is>
      </c>
      <c r="E319" s="14" t="inlineStr">
        <is>
          <t>Banking/Financial</t>
        </is>
      </c>
      <c r="F319" s="16" t="n">
        <v>-2</v>
      </c>
      <c r="G319" s="15" t="n">
        <v>7.66</v>
      </c>
      <c r="H319" s="16" t="n">
        <v>-6.51</v>
      </c>
      <c r="I319" s="15" t="n">
        <v>3.86</v>
      </c>
      <c r="J319" s="15" t="n">
        <v>7.00467279516348</v>
      </c>
      <c r="K319" s="15" t="n">
        <v>32.77</v>
      </c>
      <c r="L319" s="37" t="n">
        <v>38.5</v>
      </c>
      <c r="M319" s="18" t="n">
        <v>0</v>
      </c>
      <c r="N319" s="19" t="n">
        <v>21.2</v>
      </c>
      <c r="O319" s="108">
        <f>COUNTIFS($E:$E,$E319,$L:$L,"&gt;"&amp;$L319)+1</f>
        <v/>
      </c>
      <c r="P319" s="108">
        <f>COUNTIFS($E:$E,$E319,$M:$M,"&gt;"&amp;$M319)+1</f>
        <v/>
      </c>
      <c r="Q319" s="108">
        <f>COUNTIFS($E:$E,$E319,$N:$N,"&gt;"&amp;$N319)+1</f>
        <v/>
      </c>
      <c r="R319" s="20" t="inlineStr">
        <is>
          <t>📉 Weak</t>
        </is>
      </c>
      <c r="S319" s="20" t="inlineStr">
        <is>
          <t>🔴 Not Qualified</t>
        </is>
      </c>
      <c r="T319" s="20" t="inlineStr">
        <is>
          <t>🔴 Avoid</t>
        </is>
      </c>
      <c r="U319" s="83" t="inlineStr">
        <is>
          <t>FULL</t>
        </is>
      </c>
    </row>
    <row r="320" ht="16" customHeight="1">
      <c r="A320" s="28" t="n">
        <v>316</v>
      </c>
      <c r="B320" s="29" t="inlineStr">
        <is>
          <t>Baroda BNP Paribas NIFTY SDL December 2028 Index Fund - Regular Plan - Growth Option</t>
        </is>
      </c>
      <c r="C320" s="29" t="inlineStr">
        <is>
          <t>Baroda BNP Paribas Mutual Fund</t>
        </is>
      </c>
      <c r="D320" s="29" t="inlineStr">
        <is>
          <t>Index Funds</t>
        </is>
      </c>
      <c r="E320" s="29" t="inlineStr">
        <is>
          <t>Index Fund</t>
        </is>
      </c>
      <c r="F320" s="30" t="n">
        <v>0.31</v>
      </c>
      <c r="G320" s="30" t="n">
        <v>2.45</v>
      </c>
      <c r="H320" s="30" t="n">
        <v>2.26</v>
      </c>
      <c r="I320" s="30" t="n">
        <v>4.95</v>
      </c>
      <c r="J320" s="30" t="n">
        <v>6.887791632159757</v>
      </c>
      <c r="K320" s="30" t="n">
        <v>23.94</v>
      </c>
      <c r="L320" s="37" t="n">
        <v>38.5</v>
      </c>
      <c r="M320" s="18" t="n">
        <v>0</v>
      </c>
      <c r="N320" s="19" t="n">
        <v>21.2</v>
      </c>
      <c r="O320" s="108">
        <f>COUNTIFS($E:$E,$E320,$L:$L,"&gt;"&amp;$L320)+1</f>
        <v/>
      </c>
      <c r="P320" s="108">
        <f>COUNTIFS($E:$E,$E320,$M:$M,"&gt;"&amp;$M320)+1</f>
        <v/>
      </c>
      <c r="Q320" s="108">
        <f>COUNTIFS($E:$E,$E320,$N:$N,"&gt;"&amp;$N320)+1</f>
        <v/>
      </c>
      <c r="R320" s="31" t="inlineStr">
        <is>
          <t>📉 Weak</t>
        </is>
      </c>
      <c r="S320" s="31" t="inlineStr">
        <is>
          <t>🔴 Not Qualified</t>
        </is>
      </c>
      <c r="T320" s="31" t="inlineStr">
        <is>
          <t>🔴 Avoid</t>
        </is>
      </c>
      <c r="U320" s="83" t="inlineStr">
        <is>
          <t>FULL</t>
        </is>
      </c>
    </row>
    <row r="321" ht="16" customHeight="1">
      <c r="A321" s="13" t="n">
        <v>317</v>
      </c>
      <c r="B321" s="14" t="inlineStr">
        <is>
          <t>Bandhan Conservative Hybrid Passive FOF - Regular Plan - Growth</t>
        </is>
      </c>
      <c r="C321" s="14" t="inlineStr">
        <is>
          <t>Bandhan Mutual Fund</t>
        </is>
      </c>
      <c r="D321" s="14" t="inlineStr">
        <is>
          <t>Fof Domestic</t>
        </is>
      </c>
      <c r="E321" s="14" t="inlineStr">
        <is>
          <t>Standard Equity/Debt</t>
        </is>
      </c>
      <c r="F321" s="15" t="n">
        <v>0.77</v>
      </c>
      <c r="G321" s="15" t="n">
        <v>2.89</v>
      </c>
      <c r="H321" s="15" t="n">
        <v>0.88</v>
      </c>
      <c r="I321" s="15" t="n">
        <v>4.47</v>
      </c>
      <c r="J321" s="15" t="n">
        <v>5.180796726398684</v>
      </c>
      <c r="K321" s="15" t="n">
        <v>25.26</v>
      </c>
      <c r="L321" s="37" t="n">
        <v>37.9</v>
      </c>
      <c r="M321" s="18" t="n">
        <v>0</v>
      </c>
      <c r="N321" s="19" t="n">
        <v>20.8</v>
      </c>
      <c r="O321" s="108">
        <f>COUNTIFS($E:$E,$E321,$L:$L,"&gt;"&amp;$L321)+1</f>
        <v/>
      </c>
      <c r="P321" s="108">
        <f>COUNTIFS($E:$E,$E321,$M:$M,"&gt;"&amp;$M321)+1</f>
        <v/>
      </c>
      <c r="Q321" s="108">
        <f>COUNTIFS($E:$E,$E321,$N:$N,"&gt;"&amp;$N321)+1</f>
        <v/>
      </c>
      <c r="R321" s="20" t="inlineStr">
        <is>
          <t>📉 Weak</t>
        </is>
      </c>
      <c r="S321" s="20" t="inlineStr">
        <is>
          <t>🔴 Not Qualified</t>
        </is>
      </c>
      <c r="T321" s="20" t="inlineStr">
        <is>
          <t>🔴 Avoid</t>
        </is>
      </c>
      <c r="U321" s="83" t="inlineStr">
        <is>
          <t>FULL</t>
        </is>
      </c>
    </row>
    <row r="322" ht="16" customHeight="1">
      <c r="A322" s="28" t="n">
        <v>318</v>
      </c>
      <c r="B322" s="29" t="inlineStr">
        <is>
          <t>Nippon India ETF Nifty IT</t>
        </is>
      </c>
      <c r="C322" s="29" t="inlineStr">
        <is>
          <t>Nippon India Mutual Fund</t>
        </is>
      </c>
      <c r="D322" s="29" t="inlineStr">
        <is>
          <t>Other  Etfs</t>
        </is>
      </c>
      <c r="E322" s="29" t="inlineStr">
        <is>
          <t>Index Fund</t>
        </is>
      </c>
      <c r="F322" s="30" t="n">
        <v>3.43</v>
      </c>
      <c r="G322" s="30" t="n">
        <v>3.67</v>
      </c>
      <c r="H322" s="91" t="n">
        <v>-6.82</v>
      </c>
      <c r="I322" s="91" t="n">
        <v>-11.6</v>
      </c>
      <c r="J322" s="91" t="n">
        <v>-12.3415719967555</v>
      </c>
      <c r="K322" s="30" t="n">
        <v>4.44</v>
      </c>
      <c r="L322" s="37" t="n">
        <v>37.6</v>
      </c>
      <c r="M322" s="18" t="n">
        <v>0</v>
      </c>
      <c r="N322" s="19" t="n">
        <v>20.7</v>
      </c>
      <c r="O322" s="108">
        <f>COUNTIFS($E:$E,$E322,$L:$L,"&gt;"&amp;$L322)+1</f>
        <v/>
      </c>
      <c r="P322" s="108">
        <f>COUNTIFS($E:$E,$E322,$M:$M,"&gt;"&amp;$M322)+1</f>
        <v/>
      </c>
      <c r="Q322" s="108">
        <f>COUNTIFS($E:$E,$E322,$N:$N,"&gt;"&amp;$N322)+1</f>
        <v/>
      </c>
      <c r="R322" s="31" t="inlineStr">
        <is>
          <t>📉 Weak</t>
        </is>
      </c>
      <c r="S322" s="31" t="inlineStr">
        <is>
          <t>🔴 Not Qualified</t>
        </is>
      </c>
      <c r="T322" s="31" t="inlineStr">
        <is>
          <t>🔴 Avoid</t>
        </is>
      </c>
      <c r="U322" s="83" t="inlineStr">
        <is>
          <t>FULL</t>
        </is>
      </c>
    </row>
    <row r="323" ht="16" customHeight="1">
      <c r="A323" s="13" t="n">
        <v>319</v>
      </c>
      <c r="B323" s="14" t="inlineStr">
        <is>
          <t>Aditya Birla Sun Life Crisil IBX Gilt Apr 2028 Index Fund-Regular Growth</t>
        </is>
      </c>
      <c r="C323" s="14" t="inlineStr">
        <is>
          <t>Aditya Birla Sun Life Mutual Fund</t>
        </is>
      </c>
      <c r="D323" s="14" t="inlineStr">
        <is>
          <t>Index Funds</t>
        </is>
      </c>
      <c r="E323" s="14" t="inlineStr">
        <is>
          <t>GILT</t>
        </is>
      </c>
      <c r="F323" s="15" t="n">
        <v>0.33</v>
      </c>
      <c r="G323" s="15" t="n">
        <v>1.62</v>
      </c>
      <c r="H323" s="15" t="n">
        <v>2.15</v>
      </c>
      <c r="I323" s="15" t="n">
        <v>5.13</v>
      </c>
      <c r="J323" s="15" t="n">
        <v>6.531685427388223</v>
      </c>
      <c r="K323" s="15" t="n">
        <v>22.21</v>
      </c>
      <c r="L323" s="37" t="n">
        <v>37.5</v>
      </c>
      <c r="M323" s="18" t="n">
        <v>0</v>
      </c>
      <c r="N323" s="19" t="n">
        <v>20.6</v>
      </c>
      <c r="O323" s="108">
        <f>COUNTIFS($E:$E,$E323,$L:$L,"&gt;"&amp;$L323)+1</f>
        <v/>
      </c>
      <c r="P323" s="108">
        <f>COUNTIFS($E:$E,$E323,$M:$M,"&gt;"&amp;$M323)+1</f>
        <v/>
      </c>
      <c r="Q323" s="108">
        <f>COUNTIFS($E:$E,$E323,$N:$N,"&gt;"&amp;$N323)+1</f>
        <v/>
      </c>
      <c r="R323" s="20" t="inlineStr">
        <is>
          <t>📉 Weak</t>
        </is>
      </c>
      <c r="S323" s="20" t="inlineStr">
        <is>
          <t>🔴 Not Qualified</t>
        </is>
      </c>
      <c r="T323" s="20" t="inlineStr">
        <is>
          <t>🔴 Avoid</t>
        </is>
      </c>
      <c r="U323" s="83" t="inlineStr">
        <is>
          <t>FULL</t>
        </is>
      </c>
    </row>
    <row r="324" ht="16" customHeight="1">
      <c r="A324" s="28" t="n">
        <v>320</v>
      </c>
      <c r="B324" s="29" t="inlineStr">
        <is>
          <t>Axis IT ETF</t>
        </is>
      </c>
      <c r="C324" s="29" t="inlineStr">
        <is>
          <t>Axis Mutual Fund</t>
        </is>
      </c>
      <c r="D324" s="29" t="inlineStr">
        <is>
          <t>Other  Etfs</t>
        </is>
      </c>
      <c r="E324" s="29" t="inlineStr">
        <is>
          <t>Standard Equity/Debt</t>
        </is>
      </c>
      <c r="F324" s="30" t="n">
        <v>3.43</v>
      </c>
      <c r="G324" s="30" t="n">
        <v>3.67</v>
      </c>
      <c r="H324" s="91" t="n">
        <v>-6.84</v>
      </c>
      <c r="I324" s="91" t="n">
        <v>-11.59</v>
      </c>
      <c r="J324" s="91" t="n">
        <v>-12.34727614044159</v>
      </c>
      <c r="K324" s="30" t="n">
        <v>4.4</v>
      </c>
      <c r="L324" s="37" t="n">
        <v>37.4</v>
      </c>
      <c r="M324" s="18" t="n">
        <v>0</v>
      </c>
      <c r="N324" s="19" t="n">
        <v>20.6</v>
      </c>
      <c r="O324" s="108">
        <f>COUNTIFS($E:$E,$E324,$L:$L,"&gt;"&amp;$L324)+1</f>
        <v/>
      </c>
      <c r="P324" s="108">
        <f>COUNTIFS($E:$E,$E324,$M:$M,"&gt;"&amp;$M324)+1</f>
        <v/>
      </c>
      <c r="Q324" s="108">
        <f>COUNTIFS($E:$E,$E324,$N:$N,"&gt;"&amp;$N324)+1</f>
        <v/>
      </c>
      <c r="R324" s="31" t="inlineStr">
        <is>
          <t>📉 Weak</t>
        </is>
      </c>
      <c r="S324" s="31" t="inlineStr">
        <is>
          <t>🔴 Not Qualified</t>
        </is>
      </c>
      <c r="T324" s="31" t="inlineStr">
        <is>
          <t>🔴 Avoid</t>
        </is>
      </c>
      <c r="U324" s="83" t="inlineStr">
        <is>
          <t>FULL</t>
        </is>
      </c>
    </row>
    <row r="325" ht="16" customHeight="1">
      <c r="A325" s="13" t="n">
        <v>321</v>
      </c>
      <c r="B325" s="14" t="inlineStr">
        <is>
          <t>Nippon India Nifty G-Sec Oct 2028 Maturity Index Fund-Regular Plan-Growth Option</t>
        </is>
      </c>
      <c r="C325" s="14" t="inlineStr">
        <is>
          <t>Nippon India Mutual Fund</t>
        </is>
      </c>
      <c r="D325" s="14" t="inlineStr">
        <is>
          <t>Index Funds</t>
        </is>
      </c>
      <c r="E325" s="14" t="inlineStr">
        <is>
          <t>G-SEC</t>
        </is>
      </c>
      <c r="F325" s="15" t="n">
        <v>0.28</v>
      </c>
      <c r="G325" s="15" t="n">
        <v>2.01</v>
      </c>
      <c r="H325" s="15" t="n">
        <v>2.01</v>
      </c>
      <c r="I325" s="15" t="n">
        <v>5.43</v>
      </c>
      <c r="J325" s="15" t="n">
        <v>7.042047812997287</v>
      </c>
      <c r="K325" s="15" t="n">
        <v>23.98</v>
      </c>
      <c r="L325" s="37" t="n">
        <v>37.4</v>
      </c>
      <c r="M325" s="18" t="n">
        <v>0</v>
      </c>
      <c r="N325" s="19" t="n">
        <v>20.6</v>
      </c>
      <c r="O325" s="108">
        <f>COUNTIFS($E:$E,$E325,$L:$L,"&gt;"&amp;$L325)+1</f>
        <v/>
      </c>
      <c r="P325" s="108">
        <f>COUNTIFS($E:$E,$E325,$M:$M,"&gt;"&amp;$M325)+1</f>
        <v/>
      </c>
      <c r="Q325" s="108">
        <f>COUNTIFS($E:$E,$E325,$N:$N,"&gt;"&amp;$N325)+1</f>
        <v/>
      </c>
      <c r="R325" s="20" t="inlineStr">
        <is>
          <t>📉 Weak</t>
        </is>
      </c>
      <c r="S325" s="20" t="inlineStr">
        <is>
          <t>🔴 Not Qualified</t>
        </is>
      </c>
      <c r="T325" s="20" t="inlineStr">
        <is>
          <t>🔴 Avoid</t>
        </is>
      </c>
      <c r="U325" s="83" t="inlineStr">
        <is>
          <t>FULL</t>
        </is>
      </c>
    </row>
    <row r="326" ht="16" customHeight="1">
      <c r="A326" s="28" t="n">
        <v>322</v>
      </c>
      <c r="B326" s="29" t="inlineStr">
        <is>
          <t>ICICI Prudential Nifty IT Index Fund - Growth</t>
        </is>
      </c>
      <c r="C326" s="29" t="inlineStr">
        <is>
          <t>ICICI Prudential Mutual Fund</t>
        </is>
      </c>
      <c r="D326" s="29" t="inlineStr">
        <is>
          <t>Index Funds</t>
        </is>
      </c>
      <c r="E326" s="29" t="inlineStr">
        <is>
          <t>Index Fund</t>
        </is>
      </c>
      <c r="F326" s="30" t="n">
        <v>3.38</v>
      </c>
      <c r="G326" s="30" t="n">
        <v>3.49</v>
      </c>
      <c r="H326" s="91" t="n">
        <v>-7.16</v>
      </c>
      <c r="I326" s="91" t="n">
        <v>-12.21</v>
      </c>
      <c r="J326" s="91" t="n">
        <v>-12.89087303846973</v>
      </c>
      <c r="K326" s="30" t="n">
        <v>2.36</v>
      </c>
      <c r="L326" s="37" t="n">
        <v>37.2</v>
      </c>
      <c r="M326" s="18" t="n">
        <v>0</v>
      </c>
      <c r="N326" s="19" t="n">
        <v>20.5</v>
      </c>
      <c r="O326" s="108">
        <f>COUNTIFS($E:$E,$E326,$L:$L,"&gt;"&amp;$L326)+1</f>
        <v/>
      </c>
      <c r="P326" s="108">
        <f>COUNTIFS($E:$E,$E326,$M:$M,"&gt;"&amp;$M326)+1</f>
        <v/>
      </c>
      <c r="Q326" s="108">
        <f>COUNTIFS($E:$E,$E326,$N:$N,"&gt;"&amp;$N326)+1</f>
        <v/>
      </c>
      <c r="R326" s="31" t="inlineStr">
        <is>
          <t>📉 Weak</t>
        </is>
      </c>
      <c r="S326" s="31" t="inlineStr">
        <is>
          <t>🔴 Not Qualified</t>
        </is>
      </c>
      <c r="T326" s="31" t="inlineStr">
        <is>
          <t>🔴 Avoid</t>
        </is>
      </c>
      <c r="U326" s="83" t="inlineStr">
        <is>
          <t>FULL</t>
        </is>
      </c>
    </row>
    <row r="327" ht="16" customHeight="1">
      <c r="A327" s="13" t="n">
        <v>323</v>
      </c>
      <c r="B327" s="14" t="inlineStr">
        <is>
          <t>SBI Nifty IT ETF</t>
        </is>
      </c>
      <c r="C327" s="14" t="inlineStr">
        <is>
          <t>SBI Mutual Fund</t>
        </is>
      </c>
      <c r="D327" s="14" t="inlineStr">
        <is>
          <t>Other  Etfs</t>
        </is>
      </c>
      <c r="E327" s="14" t="inlineStr">
        <is>
          <t>Index Fund</t>
        </is>
      </c>
      <c r="F327" s="15" t="n">
        <v>3.42</v>
      </c>
      <c r="G327" s="15" t="n">
        <v>3.65</v>
      </c>
      <c r="H327" s="16" t="n">
        <v>-6.85</v>
      </c>
      <c r="I327" s="16" t="n">
        <v>-11.61</v>
      </c>
      <c r="J327" s="16" t="n">
        <v>-12.34727614044159</v>
      </c>
      <c r="K327" s="15" t="n">
        <v>4.44</v>
      </c>
      <c r="L327" s="37" t="n">
        <v>36.8</v>
      </c>
      <c r="M327" s="18" t="n">
        <v>0</v>
      </c>
      <c r="N327" s="19" t="n">
        <v>20.3</v>
      </c>
      <c r="O327" s="108">
        <f>COUNTIFS($E:$E,$E327,$L:$L,"&gt;"&amp;$L327)+1</f>
        <v/>
      </c>
      <c r="P327" s="108">
        <f>COUNTIFS($E:$E,$E327,$M:$M,"&gt;"&amp;$M327)+1</f>
        <v/>
      </c>
      <c r="Q327" s="108">
        <f>COUNTIFS($E:$E,$E327,$N:$N,"&gt;"&amp;$N327)+1</f>
        <v/>
      </c>
      <c r="R327" s="20" t="inlineStr">
        <is>
          <t>📉 Weak</t>
        </is>
      </c>
      <c r="S327" s="20" t="inlineStr">
        <is>
          <t>🔴 Not Qualified</t>
        </is>
      </c>
      <c r="T327" s="20" t="inlineStr">
        <is>
          <t>🔴 Avoid</t>
        </is>
      </c>
      <c r="U327" s="83" t="inlineStr">
        <is>
          <t>FULL</t>
        </is>
      </c>
    </row>
    <row r="328" ht="16" customHeight="1">
      <c r="A328" s="28" t="n">
        <v>324</v>
      </c>
      <c r="B328" s="29" t="inlineStr">
        <is>
          <t>Nippon India Diversified Equity Flexicap Passive FoF - Regular Plan - Growth Option</t>
        </is>
      </c>
      <c r="C328" s="29" t="inlineStr">
        <is>
          <t>Nippon India Mutual Fund</t>
        </is>
      </c>
      <c r="D328" s="29" t="inlineStr">
        <is>
          <t>Fof Domestic</t>
        </is>
      </c>
      <c r="E328" s="29" t="inlineStr">
        <is>
          <t>Standard Equity/Debt</t>
        </is>
      </c>
      <c r="F328" s="30" t="n">
        <v>0.84</v>
      </c>
      <c r="G328" s="30" t="n">
        <v>4.6</v>
      </c>
      <c r="H328" s="91" t="n">
        <v>-0.6899999999999999</v>
      </c>
      <c r="I328" s="30" t="n">
        <v>2.85</v>
      </c>
      <c r="J328" s="30" t="n">
        <v>0.7174264961133714</v>
      </c>
      <c r="K328" s="30" t="n">
        <v>39.35</v>
      </c>
      <c r="L328" s="37" t="n">
        <v>36.6</v>
      </c>
      <c r="M328" s="18" t="n">
        <v>0</v>
      </c>
      <c r="N328" s="19" t="n">
        <v>20.1</v>
      </c>
      <c r="O328" s="108">
        <f>COUNTIFS($E:$E,$E328,$L:$L,"&gt;"&amp;$L328)+1</f>
        <v/>
      </c>
      <c r="P328" s="108">
        <f>COUNTIFS($E:$E,$E328,$M:$M,"&gt;"&amp;$M328)+1</f>
        <v/>
      </c>
      <c r="Q328" s="108">
        <f>COUNTIFS($E:$E,$E328,$N:$N,"&gt;"&amp;$N328)+1</f>
        <v/>
      </c>
      <c r="R328" s="31" t="inlineStr">
        <is>
          <t>📉 Weak</t>
        </is>
      </c>
      <c r="S328" s="31" t="inlineStr">
        <is>
          <t>🔴 Not Qualified</t>
        </is>
      </c>
      <c r="T328" s="31" t="inlineStr">
        <is>
          <t>🔴 Avoid</t>
        </is>
      </c>
      <c r="U328" s="83" t="inlineStr">
        <is>
          <t>FULL</t>
        </is>
      </c>
    </row>
    <row r="329" ht="16" customHeight="1">
      <c r="A329" s="13" t="n">
        <v>325</v>
      </c>
      <c r="B329" s="14" t="inlineStr">
        <is>
          <t>Axis Multi Factor Passive FoF - Regular Plan - Growth Option</t>
        </is>
      </c>
      <c r="C329" s="14" t="inlineStr">
        <is>
          <t>Axis Mutual Fund</t>
        </is>
      </c>
      <c r="D329" s="14" t="inlineStr">
        <is>
          <t>Fof Domestic</t>
        </is>
      </c>
      <c r="E329" s="14" t="inlineStr">
        <is>
          <t>Standard Equity/Debt</t>
        </is>
      </c>
      <c r="F329" s="15" t="n">
        <v>2.07</v>
      </c>
      <c r="G329" s="15" t="n">
        <v>2.09</v>
      </c>
      <c r="H329" s="16" t="n">
        <v>-1.71</v>
      </c>
      <c r="I329" s="15" t="n">
        <v>6.05</v>
      </c>
      <c r="J329" s="16" t="n">
        <v>-1.557123162719387</v>
      </c>
      <c r="K329" s="15" t="n">
        <v>34.64</v>
      </c>
      <c r="L329" s="37" t="n">
        <v>36.5</v>
      </c>
      <c r="M329" s="18" t="n">
        <v>0</v>
      </c>
      <c r="N329" s="19" t="n">
        <v>20.1</v>
      </c>
      <c r="O329" s="108">
        <f>COUNTIFS($E:$E,$E329,$L:$L,"&gt;"&amp;$L329)+1</f>
        <v/>
      </c>
      <c r="P329" s="108">
        <f>COUNTIFS($E:$E,$E329,$M:$M,"&gt;"&amp;$M329)+1</f>
        <v/>
      </c>
      <c r="Q329" s="108">
        <f>COUNTIFS($E:$E,$E329,$N:$N,"&gt;"&amp;$N329)+1</f>
        <v/>
      </c>
      <c r="R329" s="20" t="inlineStr">
        <is>
          <t>📉 Weak</t>
        </is>
      </c>
      <c r="S329" s="20" t="inlineStr">
        <is>
          <t>🔴 Not Qualified</t>
        </is>
      </c>
      <c r="T329" s="20" t="inlineStr">
        <is>
          <t>🔴 Avoid</t>
        </is>
      </c>
      <c r="U329" s="83" t="inlineStr">
        <is>
          <t>FULL</t>
        </is>
      </c>
    </row>
    <row r="330" ht="16" customHeight="1">
      <c r="A330" s="28" t="n">
        <v>326</v>
      </c>
      <c r="B330" s="29" t="inlineStr">
        <is>
          <t>Baroda BNP Paribas Aqua Fund of Fund - Regular Plan Growth</t>
        </is>
      </c>
      <c r="C330" s="29" t="inlineStr">
        <is>
          <t>Baroda BNP Paribas Mutual Fund</t>
        </is>
      </c>
      <c r="D330" s="29" t="inlineStr">
        <is>
          <t>Fof Overseas</t>
        </is>
      </c>
      <c r="E330" s="29" t="inlineStr">
        <is>
          <t>Standard Equity/Debt</t>
        </is>
      </c>
      <c r="F330" s="91" t="n">
        <v>-1.03</v>
      </c>
      <c r="G330" s="30" t="n">
        <v>5.42</v>
      </c>
      <c r="H330" s="30" t="n">
        <v>1.66</v>
      </c>
      <c r="I330" s="30" t="n">
        <v>14.18</v>
      </c>
      <c r="J330" s="30" t="n">
        <v>13.37989239719715</v>
      </c>
      <c r="K330" s="30" t="n">
        <v>50.4</v>
      </c>
      <c r="L330" s="37" t="n">
        <v>26.9</v>
      </c>
      <c r="M330" s="18" t="n">
        <v>11.4</v>
      </c>
      <c r="N330" s="19" t="n">
        <v>19.9</v>
      </c>
      <c r="O330" s="108">
        <f>COUNTIFS($E:$E,$E330,$L:$L,"&gt;"&amp;$L330)+1</f>
        <v/>
      </c>
      <c r="P330" s="108">
        <f>COUNTIFS($E:$E,$E330,$M:$M,"&gt;"&amp;$M330)+1</f>
        <v/>
      </c>
      <c r="Q330" s="108">
        <f>COUNTIFS($E:$E,$E330,$N:$N,"&gt;"&amp;$N330)+1</f>
        <v/>
      </c>
      <c r="R330" s="31" t="inlineStr">
        <is>
          <t>📉 Weak</t>
        </is>
      </c>
      <c r="S330" s="31" t="inlineStr">
        <is>
          <t>⚠️ Below Avg</t>
        </is>
      </c>
      <c r="T330" s="31" t="inlineStr">
        <is>
          <t>🔴 Avoid</t>
        </is>
      </c>
      <c r="U330" s="83" t="inlineStr">
        <is>
          <t>FULL</t>
        </is>
      </c>
    </row>
    <row r="331" ht="16" customHeight="1">
      <c r="A331" s="13" t="n">
        <v>327</v>
      </c>
      <c r="B331" s="14" t="inlineStr">
        <is>
          <t>Kotak Nifty India Consumption ETF</t>
        </is>
      </c>
      <c r="C331" s="14" t="inlineStr">
        <is>
          <t>Kotak Mahindra Mutual Fund</t>
        </is>
      </c>
      <c r="D331" s="14" t="inlineStr">
        <is>
          <t>Other  Etfs</t>
        </is>
      </c>
      <c r="E331" s="14" t="inlineStr">
        <is>
          <t>Index Fund</t>
        </is>
      </c>
      <c r="F331" s="15" t="n">
        <v>2.84</v>
      </c>
      <c r="G331" s="15" t="n">
        <v>6.74</v>
      </c>
      <c r="H331" s="16" t="n">
        <v>-89.86</v>
      </c>
      <c r="I331" s="16" t="n">
        <v>-89.79000000000001</v>
      </c>
      <c r="J331" s="16" t="n">
        <v>-67.87524319158197</v>
      </c>
      <c r="K331" s="16" t="n">
        <v>-85.03</v>
      </c>
      <c r="L331" s="37" t="n">
        <v>36</v>
      </c>
      <c r="M331" s="18" t="n">
        <v>0</v>
      </c>
      <c r="N331" s="19" t="n">
        <v>19.8</v>
      </c>
      <c r="O331" s="108">
        <f>COUNTIFS($E:$E,$E331,$L:$L,"&gt;"&amp;$L331)+1</f>
        <v/>
      </c>
      <c r="P331" s="108">
        <f>COUNTIFS($E:$E,$E331,$M:$M,"&gt;"&amp;$M331)+1</f>
        <v/>
      </c>
      <c r="Q331" s="108">
        <f>COUNTIFS($E:$E,$E331,$N:$N,"&gt;"&amp;$N331)+1</f>
        <v/>
      </c>
      <c r="R331" s="20" t="inlineStr">
        <is>
          <t>📉 Weak</t>
        </is>
      </c>
      <c r="S331" s="20" t="inlineStr">
        <is>
          <t>🔴 Not Qualified</t>
        </is>
      </c>
      <c r="T331" s="20" t="inlineStr">
        <is>
          <t>🔴 Avoid</t>
        </is>
      </c>
      <c r="U331" s="83" t="inlineStr">
        <is>
          <t>FULL</t>
        </is>
      </c>
    </row>
    <row r="332" ht="16" customHeight="1">
      <c r="A332" s="28" t="n">
        <v>328</v>
      </c>
      <c r="B332" s="29" t="inlineStr">
        <is>
          <t>ICICI Prudential Multi Sector Passive FOF - Growth</t>
        </is>
      </c>
      <c r="C332" s="29" t="inlineStr">
        <is>
          <t>ICICI Prudential Mutual Fund</t>
        </is>
      </c>
      <c r="D332" s="29" t="inlineStr">
        <is>
          <t>Fof Domestic</t>
        </is>
      </c>
      <c r="E332" s="29" t="inlineStr">
        <is>
          <t>Standard Equity/Debt</t>
        </is>
      </c>
      <c r="F332" s="91" t="n">
        <v>-0.04</v>
      </c>
      <c r="G332" s="30" t="n">
        <v>3.73</v>
      </c>
      <c r="H332" s="91" t="n">
        <v>-0.49</v>
      </c>
      <c r="I332" s="30" t="n">
        <v>6.62</v>
      </c>
      <c r="J332" s="30" t="n">
        <v>4.062481231229542</v>
      </c>
      <c r="K332" s="30" t="n">
        <v>48.02</v>
      </c>
      <c r="L332" s="37" t="n">
        <v>36</v>
      </c>
      <c r="M332" s="18" t="n">
        <v>0</v>
      </c>
      <c r="N332" s="19" t="n">
        <v>19.8</v>
      </c>
      <c r="O332" s="108">
        <f>COUNTIFS($E:$E,$E332,$L:$L,"&gt;"&amp;$L332)+1</f>
        <v/>
      </c>
      <c r="P332" s="108">
        <f>COUNTIFS($E:$E,$E332,$M:$M,"&gt;"&amp;$M332)+1</f>
        <v/>
      </c>
      <c r="Q332" s="108">
        <f>COUNTIFS($E:$E,$E332,$N:$N,"&gt;"&amp;$N332)+1</f>
        <v/>
      </c>
      <c r="R332" s="31" t="inlineStr">
        <is>
          <t>📉 Weak</t>
        </is>
      </c>
      <c r="S332" s="31" t="inlineStr">
        <is>
          <t>🔴 Not Qualified</t>
        </is>
      </c>
      <c r="T332" s="31" t="inlineStr">
        <is>
          <t>🔴 Avoid</t>
        </is>
      </c>
      <c r="U332" s="83" t="inlineStr">
        <is>
          <t>FULL</t>
        </is>
      </c>
    </row>
    <row r="333" ht="16" customHeight="1">
      <c r="A333" s="13" t="n">
        <v>329</v>
      </c>
      <c r="B333" s="14" t="inlineStr">
        <is>
          <t>Axis Nifty IT Index Fund - Regular Plan - Growth</t>
        </is>
      </c>
      <c r="C333" s="14" t="inlineStr">
        <is>
          <t>Axis Mutual Fund</t>
        </is>
      </c>
      <c r="D333" s="14" t="inlineStr">
        <is>
          <t>Index Funds</t>
        </is>
      </c>
      <c r="E333" s="14" t="inlineStr">
        <is>
          <t>Index Fund</t>
        </is>
      </c>
      <c r="F333" s="15" t="n">
        <v>3.34</v>
      </c>
      <c r="G333" s="15" t="n">
        <v>3.41</v>
      </c>
      <c r="H333" s="16" t="n">
        <v>-7.23</v>
      </c>
      <c r="I333" s="16" t="n">
        <v>-12.34</v>
      </c>
      <c r="J333" s="16" t="n">
        <v>-13.09775607039827</v>
      </c>
      <c r="K333" s="15" t="n">
        <v>1.83</v>
      </c>
      <c r="L333" s="37" t="n">
        <v>35.6</v>
      </c>
      <c r="M333" s="18" t="n">
        <v>0</v>
      </c>
      <c r="N333" s="19" t="n">
        <v>19.6</v>
      </c>
      <c r="O333" s="108">
        <f>COUNTIFS($E:$E,$E333,$L:$L,"&gt;"&amp;$L333)+1</f>
        <v/>
      </c>
      <c r="P333" s="108">
        <f>COUNTIFS($E:$E,$E333,$M:$M,"&gt;"&amp;$M333)+1</f>
        <v/>
      </c>
      <c r="Q333" s="108">
        <f>COUNTIFS($E:$E,$E333,$N:$N,"&gt;"&amp;$N333)+1</f>
        <v/>
      </c>
      <c r="R333" s="20" t="inlineStr">
        <is>
          <t>📉 Weak</t>
        </is>
      </c>
      <c r="S333" s="20" t="inlineStr">
        <is>
          <t>🔴 Not Qualified</t>
        </is>
      </c>
      <c r="T333" s="20" t="inlineStr">
        <is>
          <t>🔴 Avoid</t>
        </is>
      </c>
      <c r="U333" s="83" t="inlineStr">
        <is>
          <t>FULL</t>
        </is>
      </c>
    </row>
    <row r="334" ht="16" customHeight="1">
      <c r="A334" s="28" t="n">
        <v>330</v>
      </c>
      <c r="B334" s="29" t="inlineStr">
        <is>
          <t>Franklin India Dynamic Asset Allocation Active Fund of Funds-Growth</t>
        </is>
      </c>
      <c r="C334" s="29" t="inlineStr">
        <is>
          <t>Franklin Templeton Mutual Fund</t>
        </is>
      </c>
      <c r="D334" s="29" t="inlineStr">
        <is>
          <t>Fof Domestic</t>
        </is>
      </c>
      <c r="E334" s="29" t="inlineStr">
        <is>
          <t>Standard Equity/Debt</t>
        </is>
      </c>
      <c r="F334" s="30" t="n">
        <v>0.59</v>
      </c>
      <c r="G334" s="30" t="n">
        <v>4.06</v>
      </c>
      <c r="H334" s="30" t="n">
        <v>0.2</v>
      </c>
      <c r="I334" s="30" t="n">
        <v>2.64</v>
      </c>
      <c r="J334" s="30" t="n">
        <v>3.363436475380399</v>
      </c>
      <c r="K334" s="30" t="n">
        <v>33.47</v>
      </c>
      <c r="L334" s="37" t="n">
        <v>35.5</v>
      </c>
      <c r="M334" s="18" t="n">
        <v>0</v>
      </c>
      <c r="N334" s="19" t="n">
        <v>19.5</v>
      </c>
      <c r="O334" s="108">
        <f>COUNTIFS($E:$E,$E334,$L:$L,"&gt;"&amp;$L334)+1</f>
        <v/>
      </c>
      <c r="P334" s="108">
        <f>COUNTIFS($E:$E,$E334,$M:$M,"&gt;"&amp;$M334)+1</f>
        <v/>
      </c>
      <c r="Q334" s="108">
        <f>COUNTIFS($E:$E,$E334,$N:$N,"&gt;"&amp;$N334)+1</f>
        <v/>
      </c>
      <c r="R334" s="31" t="inlineStr">
        <is>
          <t>📉 Weak</t>
        </is>
      </c>
      <c r="S334" s="31" t="inlineStr">
        <is>
          <t>🔴 Not Qualified</t>
        </is>
      </c>
      <c r="T334" s="31" t="inlineStr">
        <is>
          <t>🔴 Avoid</t>
        </is>
      </c>
      <c r="U334" s="83" t="inlineStr">
        <is>
          <t>FULL</t>
        </is>
      </c>
    </row>
    <row r="335" ht="16" customHeight="1">
      <c r="A335" s="13" t="n">
        <v>331</v>
      </c>
      <c r="B335" s="14" t="inlineStr">
        <is>
          <t>Mirae Asset Nifty 100 ESG Sector Leaders ETF</t>
        </is>
      </c>
      <c r="C335" s="14" t="inlineStr">
        <is>
          <t>Mirae Asset Mutual Fund</t>
        </is>
      </c>
      <c r="D335" s="14" t="inlineStr">
        <is>
          <t>Other  Etfs</t>
        </is>
      </c>
      <c r="E335" s="14" t="inlineStr">
        <is>
          <t>Index Fund</t>
        </is>
      </c>
      <c r="F335" s="16" t="n">
        <v>-0.5</v>
      </c>
      <c r="G335" s="15" t="n">
        <v>3.78</v>
      </c>
      <c r="H335" s="16" t="n">
        <v>-4.11</v>
      </c>
      <c r="I335" s="16" t="n">
        <v>-0.8100000000000001</v>
      </c>
      <c r="J335" s="15" t="n">
        <v>0.279609093773403</v>
      </c>
      <c r="K335" s="15" t="n">
        <v>33.83</v>
      </c>
      <c r="L335" s="37" t="n">
        <v>35.4</v>
      </c>
      <c r="M335" s="18" t="n">
        <v>0</v>
      </c>
      <c r="N335" s="19" t="n">
        <v>19.4</v>
      </c>
      <c r="O335" s="108">
        <f>COUNTIFS($E:$E,$E335,$L:$L,"&gt;"&amp;$L335)+1</f>
        <v/>
      </c>
      <c r="P335" s="108">
        <f>COUNTIFS($E:$E,$E335,$M:$M,"&gt;"&amp;$M335)+1</f>
        <v/>
      </c>
      <c r="Q335" s="108">
        <f>COUNTIFS($E:$E,$E335,$N:$N,"&gt;"&amp;$N335)+1</f>
        <v/>
      </c>
      <c r="R335" s="20" t="inlineStr">
        <is>
          <t>📉 Weak</t>
        </is>
      </c>
      <c r="S335" s="20" t="inlineStr">
        <is>
          <t>🔴 Not Qualified</t>
        </is>
      </c>
      <c r="T335" s="20" t="inlineStr">
        <is>
          <t>🔴 Avoid</t>
        </is>
      </c>
      <c r="U335" s="83" t="inlineStr">
        <is>
          <t>FULL</t>
        </is>
      </c>
    </row>
    <row r="336" ht="16" customHeight="1">
      <c r="A336" s="28" t="n">
        <v>332</v>
      </c>
      <c r="B336" s="29" t="inlineStr">
        <is>
          <t>DSP Nifty Private Bank ETF</t>
        </is>
      </c>
      <c r="C336" s="29" t="inlineStr">
        <is>
          <t>DSP Mutual Fund</t>
        </is>
      </c>
      <c r="D336" s="29" t="inlineStr">
        <is>
          <t>Other  Etfs</t>
        </is>
      </c>
      <c r="E336" s="29" t="inlineStr">
        <is>
          <t>Banking/Financial</t>
        </is>
      </c>
      <c r="F336" s="91" t="n">
        <v>-4.2</v>
      </c>
      <c r="G336" s="30" t="n">
        <v>5.53</v>
      </c>
      <c r="H336" s="91" t="n">
        <v>-6.16</v>
      </c>
      <c r="I336" s="30" t="n">
        <v>2.71</v>
      </c>
      <c r="J336" s="30" t="n">
        <v>4.307238483242393</v>
      </c>
      <c r="K336" s="30" t="n">
        <v>22.24</v>
      </c>
      <c r="L336" s="37" t="n">
        <v>34.9</v>
      </c>
      <c r="M336" s="18" t="n">
        <v>0</v>
      </c>
      <c r="N336" s="19" t="n">
        <v>19.2</v>
      </c>
      <c r="O336" s="108">
        <f>COUNTIFS($E:$E,$E336,$L:$L,"&gt;"&amp;$L336)+1</f>
        <v/>
      </c>
      <c r="P336" s="108">
        <f>COUNTIFS($E:$E,$E336,$M:$M,"&gt;"&amp;$M336)+1</f>
        <v/>
      </c>
      <c r="Q336" s="108">
        <f>COUNTIFS($E:$E,$E336,$N:$N,"&gt;"&amp;$N336)+1</f>
        <v/>
      </c>
      <c r="R336" s="31" t="inlineStr">
        <is>
          <t>📉 Weak</t>
        </is>
      </c>
      <c r="S336" s="31" t="inlineStr">
        <is>
          <t>🔴 Not Qualified</t>
        </is>
      </c>
      <c r="T336" s="31" t="inlineStr">
        <is>
          <t>🔴 Avoid</t>
        </is>
      </c>
      <c r="U336" s="83" t="inlineStr">
        <is>
          <t>FULL</t>
        </is>
      </c>
    </row>
    <row r="337" ht="16" customHeight="1">
      <c r="A337" s="13" t="n">
        <v>333</v>
      </c>
      <c r="B337" s="14" t="inlineStr">
        <is>
          <t>UTI Nifty 500 Value 50 Index Fund - Regular Plan - Growth Option</t>
        </is>
      </c>
      <c r="C337" s="14" t="inlineStr">
        <is>
          <t>UTI Mutual Fund</t>
        </is>
      </c>
      <c r="D337" s="14" t="inlineStr">
        <is>
          <t>Index Funds</t>
        </is>
      </c>
      <c r="E337" s="14" t="inlineStr">
        <is>
          <t>Index Fund</t>
        </is>
      </c>
      <c r="F337" s="15" t="n">
        <v>0.39</v>
      </c>
      <c r="G337" s="16" t="n">
        <v>-1.92</v>
      </c>
      <c r="H337" s="16" t="n">
        <v>-3.52</v>
      </c>
      <c r="I337" s="15" t="n">
        <v>16.35</v>
      </c>
      <c r="J337" s="15" t="n">
        <v>4.436583628535073</v>
      </c>
      <c r="K337" s="15" t="n">
        <v>94.81</v>
      </c>
      <c r="L337" s="37" t="n">
        <v>34.8</v>
      </c>
      <c r="M337" s="18" t="n">
        <v>0</v>
      </c>
      <c r="N337" s="19" t="n">
        <v>19.1</v>
      </c>
      <c r="O337" s="108">
        <f>COUNTIFS($E:$E,$E337,$L:$L,"&gt;"&amp;$L337)+1</f>
        <v/>
      </c>
      <c r="P337" s="108">
        <f>COUNTIFS($E:$E,$E337,$M:$M,"&gt;"&amp;$M337)+1</f>
        <v/>
      </c>
      <c r="Q337" s="108">
        <f>COUNTIFS($E:$E,$E337,$N:$N,"&gt;"&amp;$N337)+1</f>
        <v/>
      </c>
      <c r="R337" s="20" t="inlineStr">
        <is>
          <t>📉 Weak</t>
        </is>
      </c>
      <c r="S337" s="20" t="inlineStr">
        <is>
          <t>🔴 Not Qualified</t>
        </is>
      </c>
      <c r="T337" s="20" t="inlineStr">
        <is>
          <t>🔴 Avoid</t>
        </is>
      </c>
      <c r="U337" s="83" t="inlineStr">
        <is>
          <t>FULL</t>
        </is>
      </c>
    </row>
    <row r="338" ht="16" customHeight="1">
      <c r="A338" s="28" t="n">
        <v>334</v>
      </c>
      <c r="B338" s="29" t="inlineStr">
        <is>
          <t>Tata Nifty Private Bank Exchange Traded Fund</t>
        </is>
      </c>
      <c r="C338" s="29" t="inlineStr">
        <is>
          <t>Tata Mutual Fund</t>
        </is>
      </c>
      <c r="D338" s="29" t="inlineStr">
        <is>
          <t>Other  Etfs</t>
        </is>
      </c>
      <c r="E338" s="29" t="inlineStr">
        <is>
          <t>Banking/Financial</t>
        </is>
      </c>
      <c r="F338" s="91" t="n">
        <v>-4.22</v>
      </c>
      <c r="G338" s="30" t="n">
        <v>5.49</v>
      </c>
      <c r="H338" s="91" t="n">
        <v>-6.17</v>
      </c>
      <c r="I338" s="30" t="n">
        <v>2.79</v>
      </c>
      <c r="J338" s="30" t="n">
        <v>4.31682510506155</v>
      </c>
      <c r="K338" s="30" t="n">
        <v>22.34</v>
      </c>
      <c r="L338" s="37" t="n">
        <v>34.7</v>
      </c>
      <c r="M338" s="18" t="n">
        <v>0</v>
      </c>
      <c r="N338" s="19" t="n">
        <v>19.1</v>
      </c>
      <c r="O338" s="108">
        <f>COUNTIFS($E:$E,$E338,$L:$L,"&gt;"&amp;$L338)+1</f>
        <v/>
      </c>
      <c r="P338" s="108">
        <f>COUNTIFS($E:$E,$E338,$M:$M,"&gt;"&amp;$M338)+1</f>
        <v/>
      </c>
      <c r="Q338" s="108">
        <f>COUNTIFS($E:$E,$E338,$N:$N,"&gt;"&amp;$N338)+1</f>
        <v/>
      </c>
      <c r="R338" s="31" t="inlineStr">
        <is>
          <t>📉 Weak</t>
        </is>
      </c>
      <c r="S338" s="31" t="inlineStr">
        <is>
          <t>🔴 Not Qualified</t>
        </is>
      </c>
      <c r="T338" s="31" t="inlineStr">
        <is>
          <t>🔴 Avoid</t>
        </is>
      </c>
      <c r="U338" s="83" t="inlineStr">
        <is>
          <t>FULL</t>
        </is>
      </c>
    </row>
    <row r="339" ht="16" customHeight="1">
      <c r="A339" s="13" t="n">
        <v>335</v>
      </c>
      <c r="B339" s="14" t="inlineStr">
        <is>
          <t>SBI Nifty Private Bank ETF</t>
        </is>
      </c>
      <c r="C339" s="14" t="inlineStr">
        <is>
          <t>SBI Mutual Fund</t>
        </is>
      </c>
      <c r="D339" s="14" t="inlineStr">
        <is>
          <t>Other  Etfs</t>
        </is>
      </c>
      <c r="E339" s="14" t="inlineStr">
        <is>
          <t>Banking/Financial</t>
        </is>
      </c>
      <c r="F339" s="16" t="n">
        <v>-4.21</v>
      </c>
      <c r="G339" s="15" t="n">
        <v>5.53</v>
      </c>
      <c r="H339" s="16" t="n">
        <v>-6.16</v>
      </c>
      <c r="I339" s="15" t="n">
        <v>2.71</v>
      </c>
      <c r="J339" s="15" t="n">
        <v>4.302444841911557</v>
      </c>
      <c r="K339" s="15" t="n">
        <v>22.11</v>
      </c>
      <c r="L339" s="37" t="n">
        <v>34.6</v>
      </c>
      <c r="M339" s="18" t="n">
        <v>0</v>
      </c>
      <c r="N339" s="19" t="n">
        <v>19</v>
      </c>
      <c r="O339" s="108">
        <f>COUNTIFS($E:$E,$E339,$L:$L,"&gt;"&amp;$L339)+1</f>
        <v/>
      </c>
      <c r="P339" s="108">
        <f>COUNTIFS($E:$E,$E339,$M:$M,"&gt;"&amp;$M339)+1</f>
        <v/>
      </c>
      <c r="Q339" s="108">
        <f>COUNTIFS($E:$E,$E339,$N:$N,"&gt;"&amp;$N339)+1</f>
        <v/>
      </c>
      <c r="R339" s="20" t="inlineStr">
        <is>
          <t>📉 Weak</t>
        </is>
      </c>
      <c r="S339" s="20" t="inlineStr">
        <is>
          <t>🔴 Not Qualified</t>
        </is>
      </c>
      <c r="T339" s="20" t="inlineStr">
        <is>
          <t>🔴 Avoid</t>
        </is>
      </c>
      <c r="U339" s="83" t="inlineStr">
        <is>
          <t>FULL</t>
        </is>
      </c>
    </row>
    <row r="340" ht="16" customHeight="1">
      <c r="A340" s="28" t="n">
        <v>336</v>
      </c>
      <c r="B340" s="29" t="inlineStr">
        <is>
          <t>ICICI Prudential Nifty Private Bank ETF</t>
        </is>
      </c>
      <c r="C340" s="29" t="inlineStr">
        <is>
          <t>ICICI Prudential Mutual Fund</t>
        </is>
      </c>
      <c r="D340" s="29" t="inlineStr">
        <is>
          <t>Other  Etfs</t>
        </is>
      </c>
      <c r="E340" s="29" t="inlineStr">
        <is>
          <t>Banking/Financial</t>
        </is>
      </c>
      <c r="F340" s="91" t="n">
        <v>-4.21</v>
      </c>
      <c r="G340" s="30" t="n">
        <v>5.53</v>
      </c>
      <c r="H340" s="91" t="n">
        <v>-6.16</v>
      </c>
      <c r="I340" s="30" t="n">
        <v>2.71</v>
      </c>
      <c r="J340" s="30" t="n">
        <v>4.297650980259382</v>
      </c>
      <c r="K340" s="91" t="n">
        <v>-87.79000000000001</v>
      </c>
      <c r="L340" s="37" t="n">
        <v>34.6</v>
      </c>
      <c r="M340" s="18" t="n">
        <v>0</v>
      </c>
      <c r="N340" s="19" t="n">
        <v>19</v>
      </c>
      <c r="O340" s="108">
        <f>COUNTIFS($E:$E,$E340,$L:$L,"&gt;"&amp;$L340)+1</f>
        <v/>
      </c>
      <c r="P340" s="108">
        <f>COUNTIFS($E:$E,$E340,$M:$M,"&gt;"&amp;$M340)+1</f>
        <v/>
      </c>
      <c r="Q340" s="108">
        <f>COUNTIFS($E:$E,$E340,$N:$N,"&gt;"&amp;$N340)+1</f>
        <v/>
      </c>
      <c r="R340" s="31" t="inlineStr">
        <is>
          <t>📉 Weak</t>
        </is>
      </c>
      <c r="S340" s="31" t="inlineStr">
        <is>
          <t>🔴 Not Qualified</t>
        </is>
      </c>
      <c r="T340" s="31" t="inlineStr">
        <is>
          <t>🔴 Avoid</t>
        </is>
      </c>
      <c r="U340" s="83" t="inlineStr">
        <is>
          <t>FULL</t>
        </is>
      </c>
    </row>
    <row r="341" ht="16" customHeight="1">
      <c r="A341" s="13" t="n">
        <v>337</v>
      </c>
      <c r="B341" s="14" t="inlineStr">
        <is>
          <t>HDFC NIFTY Private Bank ETF - Growth Option</t>
        </is>
      </c>
      <c r="C341" s="14" t="inlineStr">
        <is>
          <t>HDFC Mutual Fund</t>
        </is>
      </c>
      <c r="D341" s="14" t="inlineStr">
        <is>
          <t>Other  Etfs</t>
        </is>
      </c>
      <c r="E341" s="14" t="inlineStr">
        <is>
          <t>Banking/Financial</t>
        </is>
      </c>
      <c r="F341" s="16" t="n">
        <v>-4.21</v>
      </c>
      <c r="G341" s="15" t="n">
        <v>5.53</v>
      </c>
      <c r="H341" s="16" t="n">
        <v>-6.16</v>
      </c>
      <c r="I341" s="15" t="n">
        <v>2.7</v>
      </c>
      <c r="J341" s="15" t="n">
        <v>4.302444841911557</v>
      </c>
      <c r="K341" s="16" t="n">
        <v>-87.79000000000001</v>
      </c>
      <c r="L341" s="37" t="n">
        <v>34.5</v>
      </c>
      <c r="M341" s="18" t="n">
        <v>0</v>
      </c>
      <c r="N341" s="19" t="n">
        <v>19</v>
      </c>
      <c r="O341" s="108">
        <f>COUNTIFS($E:$E,$E341,$L:$L,"&gt;"&amp;$L341)+1</f>
        <v/>
      </c>
      <c r="P341" s="108">
        <f>COUNTIFS($E:$E,$E341,$M:$M,"&gt;"&amp;$M341)+1</f>
        <v/>
      </c>
      <c r="Q341" s="108">
        <f>COUNTIFS($E:$E,$E341,$N:$N,"&gt;"&amp;$N341)+1</f>
        <v/>
      </c>
      <c r="R341" s="20" t="inlineStr">
        <is>
          <t>📉 Weak</t>
        </is>
      </c>
      <c r="S341" s="20" t="inlineStr">
        <is>
          <t>🔴 Not Qualified</t>
        </is>
      </c>
      <c r="T341" s="20" t="inlineStr">
        <is>
          <t>🔴 Avoid</t>
        </is>
      </c>
      <c r="U341" s="83" t="inlineStr">
        <is>
          <t>FULL</t>
        </is>
      </c>
    </row>
    <row r="342" ht="16" customHeight="1">
      <c r="A342" s="28" t="n">
        <v>338</v>
      </c>
      <c r="B342" s="29" t="inlineStr">
        <is>
          <t>Nippon India ETF Gold BeES</t>
        </is>
      </c>
      <c r="C342" s="29" t="inlineStr">
        <is>
          <t>Nippon India Mutual Fund</t>
        </is>
      </c>
      <c r="D342" s="29" t="inlineStr">
        <is>
          <t>Gold Etf</t>
        </is>
      </c>
      <c r="E342" s="29" t="inlineStr">
        <is>
          <t>Gold</t>
        </is>
      </c>
      <c r="F342" s="30" t="n">
        <v>8.99</v>
      </c>
      <c r="G342" s="91" t="n">
        <v>-3.21</v>
      </c>
      <c r="H342" s="30" t="n">
        <v>1.17</v>
      </c>
      <c r="I342" s="30" t="n">
        <v>51.99</v>
      </c>
      <c r="J342" s="30" t="n">
        <v>45.8698049631931</v>
      </c>
      <c r="K342" s="30" t="n">
        <v>154.19</v>
      </c>
      <c r="L342" s="37" t="n">
        <v>33</v>
      </c>
      <c r="M342" s="18" t="n">
        <v>0</v>
      </c>
      <c r="N342" s="19" t="n">
        <v>18.1</v>
      </c>
      <c r="O342" s="108">
        <f>COUNTIFS($E:$E,$E342,$L:$L,"&gt;"&amp;$L342)+1</f>
        <v/>
      </c>
      <c r="P342" s="108">
        <f>COUNTIFS($E:$E,$E342,$M:$M,"&gt;"&amp;$M342)+1</f>
        <v/>
      </c>
      <c r="Q342" s="108">
        <f>COUNTIFS($E:$E,$E342,$N:$N,"&gt;"&amp;$N342)+1</f>
        <v/>
      </c>
      <c r="R342" s="31" t="inlineStr">
        <is>
          <t>📉 Weak</t>
        </is>
      </c>
      <c r="S342" s="31" t="inlineStr">
        <is>
          <t>🔴 Not Qualified</t>
        </is>
      </c>
      <c r="T342" s="31" t="inlineStr">
        <is>
          <t>🔴 Avoid</t>
        </is>
      </c>
      <c r="U342" s="83" t="inlineStr">
        <is>
          <t>FULL</t>
        </is>
      </c>
    </row>
    <row r="343" ht="16" customHeight="1">
      <c r="A343" s="13" t="n">
        <v>339</v>
      </c>
      <c r="B343" s="14" t="inlineStr">
        <is>
          <t>ICICI Prudential Nifty Bank Index Fund - Growth</t>
        </is>
      </c>
      <c r="C343" s="14" t="inlineStr">
        <is>
          <t>ICICI Prudential Mutual Fund</t>
        </is>
      </c>
      <c r="D343" s="14" t="inlineStr">
        <is>
          <t>Index Funds</t>
        </is>
      </c>
      <c r="E343" s="14" t="inlineStr">
        <is>
          <t>Banking/Financial</t>
        </is>
      </c>
      <c r="F343" s="16" t="n">
        <v>-2.05</v>
      </c>
      <c r="G343" s="15" t="n">
        <v>7.5</v>
      </c>
      <c r="H343" s="16" t="n">
        <v>-6.74</v>
      </c>
      <c r="I343" s="15" t="n">
        <v>3.29</v>
      </c>
      <c r="J343" s="15" t="n">
        <v>6.343782140753307</v>
      </c>
      <c r="K343" s="15" t="n">
        <v>30.32</v>
      </c>
      <c r="L343" s="37" t="n">
        <v>32.6</v>
      </c>
      <c r="M343" s="18" t="n">
        <v>0</v>
      </c>
      <c r="N343" s="19" t="n">
        <v>18</v>
      </c>
      <c r="O343" s="108">
        <f>COUNTIFS($E:$E,$E343,$L:$L,"&gt;"&amp;$L343)+1</f>
        <v/>
      </c>
      <c r="P343" s="108">
        <f>COUNTIFS($E:$E,$E343,$M:$M,"&gt;"&amp;$M343)+1</f>
        <v/>
      </c>
      <c r="Q343" s="108">
        <f>COUNTIFS($E:$E,$E343,$N:$N,"&gt;"&amp;$N343)+1</f>
        <v/>
      </c>
      <c r="R343" s="20" t="inlineStr">
        <is>
          <t>📉 Weak</t>
        </is>
      </c>
      <c r="S343" s="20" t="inlineStr">
        <is>
          <t>🔴 Not Qualified</t>
        </is>
      </c>
      <c r="T343" s="20" t="inlineStr">
        <is>
          <t>🔴 Avoid</t>
        </is>
      </c>
      <c r="U343" s="83" t="inlineStr">
        <is>
          <t>FULL</t>
        </is>
      </c>
    </row>
    <row r="344" ht="16" customHeight="1">
      <c r="A344" s="28" t="n">
        <v>340</v>
      </c>
      <c r="B344" s="29" t="inlineStr">
        <is>
          <t>BANDHAN NIFTY 100 INDEX FUND - REGULAR PLAN - GROWTH</t>
        </is>
      </c>
      <c r="C344" s="29" t="inlineStr">
        <is>
          <t>Bandhan Mutual Fund</t>
        </is>
      </c>
      <c r="D344" s="29" t="inlineStr">
        <is>
          <t>Index Funds</t>
        </is>
      </c>
      <c r="E344" s="29" t="inlineStr">
        <is>
          <t>Index Fund</t>
        </is>
      </c>
      <c r="F344" s="30" t="n">
        <v>0.17</v>
      </c>
      <c r="G344" s="30" t="n">
        <v>3.75</v>
      </c>
      <c r="H344" s="91" t="n">
        <v>-3.93</v>
      </c>
      <c r="I344" s="30" t="n">
        <v>0.8100000000000001</v>
      </c>
      <c r="J344" s="91" t="n">
        <v>-0.03500612714468776</v>
      </c>
      <c r="K344" s="30" t="n">
        <v>33.57</v>
      </c>
      <c r="L344" s="37" t="n">
        <v>32.6</v>
      </c>
      <c r="M344" s="18" t="n">
        <v>0</v>
      </c>
      <c r="N344" s="19" t="n">
        <v>17.9</v>
      </c>
      <c r="O344" s="108">
        <f>COUNTIFS($E:$E,$E344,$L:$L,"&gt;"&amp;$L344)+1</f>
        <v/>
      </c>
      <c r="P344" s="108">
        <f>COUNTIFS($E:$E,$E344,$M:$M,"&gt;"&amp;$M344)+1</f>
        <v/>
      </c>
      <c r="Q344" s="108">
        <f>COUNTIFS($E:$E,$E344,$N:$N,"&gt;"&amp;$N344)+1</f>
        <v/>
      </c>
      <c r="R344" s="31" t="inlineStr">
        <is>
          <t>📉 Weak</t>
        </is>
      </c>
      <c r="S344" s="31" t="inlineStr">
        <is>
          <t>🔴 Not Qualified</t>
        </is>
      </c>
      <c r="T344" s="31" t="inlineStr">
        <is>
          <t>🔴 Avoid</t>
        </is>
      </c>
      <c r="U344" s="83" t="inlineStr">
        <is>
          <t>FULL</t>
        </is>
      </c>
    </row>
    <row r="345" ht="16" customHeight="1">
      <c r="A345" s="13" t="n">
        <v>341</v>
      </c>
      <c r="B345" s="14" t="inlineStr">
        <is>
          <t>DSP NIFTY 1D Rate Liquid ETF</t>
        </is>
      </c>
      <c r="C345" s="14" t="inlineStr">
        <is>
          <t>DSP Mutual Fund</t>
        </is>
      </c>
      <c r="D345" s="14" t="inlineStr">
        <is>
          <t>Other  Etfs</t>
        </is>
      </c>
      <c r="E345" s="14" t="inlineStr">
        <is>
          <t>Index Fund</t>
        </is>
      </c>
      <c r="F345" s="15" t="n">
        <v>0</v>
      </c>
      <c r="G345" s="15" t="n">
        <v>0</v>
      </c>
      <c r="H345" s="15" t="n">
        <v>0</v>
      </c>
      <c r="I345" s="15" t="n">
        <v>0</v>
      </c>
      <c r="J345" s="15" t="n">
        <v>0</v>
      </c>
      <c r="K345" s="15" t="n">
        <v>0</v>
      </c>
      <c r="L345" s="37" t="n">
        <v>32.4</v>
      </c>
      <c r="M345" s="18" t="n">
        <v>0</v>
      </c>
      <c r="N345" s="19" t="n">
        <v>17.8</v>
      </c>
      <c r="O345" s="108">
        <f>COUNTIFS($E:$E,$E345,$L:$L,"&gt;"&amp;$L345)+1</f>
        <v/>
      </c>
      <c r="P345" s="108">
        <f>COUNTIFS($E:$E,$E345,$M:$M,"&gt;"&amp;$M345)+1</f>
        <v/>
      </c>
      <c r="Q345" s="108">
        <f>COUNTIFS($E:$E,$E345,$N:$N,"&gt;"&amp;$N345)+1</f>
        <v/>
      </c>
      <c r="R345" s="20" t="inlineStr">
        <is>
          <t>📉 Weak</t>
        </is>
      </c>
      <c r="S345" s="20" t="inlineStr">
        <is>
          <t>🔴 Not Qualified</t>
        </is>
      </c>
      <c r="T345" s="20" t="inlineStr">
        <is>
          <t>🔴 Avoid</t>
        </is>
      </c>
      <c r="U345" s="83" t="inlineStr">
        <is>
          <t>FULL</t>
        </is>
      </c>
    </row>
    <row r="346" ht="16" customHeight="1">
      <c r="A346" s="28" t="n">
        <v>342</v>
      </c>
      <c r="B346" s="29" t="inlineStr">
        <is>
          <t>Mirae Asset Diversified Equity Allocator Passive FOF - Regular Plan - Growth</t>
        </is>
      </c>
      <c r="C346" s="29" t="inlineStr">
        <is>
          <t>Mirae Asset Mutual Fund</t>
        </is>
      </c>
      <c r="D346" s="29" t="inlineStr">
        <is>
          <t>Fof Domestic</t>
        </is>
      </c>
      <c r="E346" s="29" t="inlineStr">
        <is>
          <t>Standard Equity/Debt</t>
        </is>
      </c>
      <c r="F346" s="30" t="n">
        <v>0.8100000000000001</v>
      </c>
      <c r="G346" s="30" t="n">
        <v>4.25</v>
      </c>
      <c r="H346" s="91" t="n">
        <v>-1.36</v>
      </c>
      <c r="I346" s="30" t="n">
        <v>3.79</v>
      </c>
      <c r="J346" s="30" t="n">
        <v>1.405128075457807</v>
      </c>
      <c r="K346" s="30" t="n">
        <v>40.69</v>
      </c>
      <c r="L346" s="37" t="n">
        <v>32.2</v>
      </c>
      <c r="M346" s="18" t="n">
        <v>0</v>
      </c>
      <c r="N346" s="19" t="n">
        <v>17.7</v>
      </c>
      <c r="O346" s="108">
        <f>COUNTIFS($E:$E,$E346,$L:$L,"&gt;"&amp;$L346)+1</f>
        <v/>
      </c>
      <c r="P346" s="108">
        <f>COUNTIFS($E:$E,$E346,$M:$M,"&gt;"&amp;$M346)+1</f>
        <v/>
      </c>
      <c r="Q346" s="108">
        <f>COUNTIFS($E:$E,$E346,$N:$N,"&gt;"&amp;$N346)+1</f>
        <v/>
      </c>
      <c r="R346" s="31" t="inlineStr">
        <is>
          <t>📉 Weak</t>
        </is>
      </c>
      <c r="S346" s="31" t="inlineStr">
        <is>
          <t>🔴 Not Qualified</t>
        </is>
      </c>
      <c r="T346" s="31" t="inlineStr">
        <is>
          <t>🔴 Avoid</t>
        </is>
      </c>
      <c r="U346" s="83" t="inlineStr">
        <is>
          <t>FULL</t>
        </is>
      </c>
    </row>
    <row r="347" ht="16" customHeight="1">
      <c r="A347" s="13" t="n">
        <v>343</v>
      </c>
      <c r="B347" s="14" t="inlineStr">
        <is>
          <t>HDFC NIFTY 100 Index Fund - Growth Option</t>
        </is>
      </c>
      <c r="C347" s="14" t="inlineStr">
        <is>
          <t>HDFC Mutual Fund</t>
        </is>
      </c>
      <c r="D347" s="14" t="inlineStr">
        <is>
          <t>Index Funds</t>
        </is>
      </c>
      <c r="E347" s="14" t="inlineStr">
        <is>
          <t>Index Fund</t>
        </is>
      </c>
      <c r="F347" s="15" t="n">
        <v>0.16</v>
      </c>
      <c r="G347" s="15" t="n">
        <v>3.73</v>
      </c>
      <c r="H347" s="16" t="n">
        <v>-3.97</v>
      </c>
      <c r="I347" s="15" t="n">
        <v>0.68</v>
      </c>
      <c r="J347" s="16" t="n">
        <v>-0.1551203115552902</v>
      </c>
      <c r="K347" s="15" t="n">
        <v>32.98</v>
      </c>
      <c r="L347" s="37" t="n">
        <v>32</v>
      </c>
      <c r="M347" s="18" t="n">
        <v>0</v>
      </c>
      <c r="N347" s="19" t="n">
        <v>17.6</v>
      </c>
      <c r="O347" s="108">
        <f>COUNTIFS($E:$E,$E347,$L:$L,"&gt;"&amp;$L347)+1</f>
        <v/>
      </c>
      <c r="P347" s="108">
        <f>COUNTIFS($E:$E,$E347,$M:$M,"&gt;"&amp;$M347)+1</f>
        <v/>
      </c>
      <c r="Q347" s="108">
        <f>COUNTIFS($E:$E,$E347,$N:$N,"&gt;"&amp;$N347)+1</f>
        <v/>
      </c>
      <c r="R347" s="20" t="inlineStr">
        <is>
          <t>📉 Weak</t>
        </is>
      </c>
      <c r="S347" s="20" t="inlineStr">
        <is>
          <t>🔴 Not Qualified</t>
        </is>
      </c>
      <c r="T347" s="20" t="inlineStr">
        <is>
          <t>🔴 Avoid</t>
        </is>
      </c>
      <c r="U347" s="83" t="inlineStr">
        <is>
          <t>FULL</t>
        </is>
      </c>
    </row>
    <row r="348" ht="16" customHeight="1">
      <c r="A348" s="28" t="n">
        <v>344</v>
      </c>
      <c r="B348" s="29" t="inlineStr">
        <is>
          <t>Axis Nifty 100 Index Fund - Regular Plan - Growth Option</t>
        </is>
      </c>
      <c r="C348" s="29" t="inlineStr">
        <is>
          <t>Axis Mutual Fund</t>
        </is>
      </c>
      <c r="D348" s="29" t="inlineStr">
        <is>
          <t>Index Funds</t>
        </is>
      </c>
      <c r="E348" s="29" t="inlineStr">
        <is>
          <t>Index Fund</t>
        </is>
      </c>
      <c r="F348" s="30" t="n">
        <v>0.14</v>
      </c>
      <c r="G348" s="30" t="n">
        <v>3.67</v>
      </c>
      <c r="H348" s="91" t="n">
        <v>-4.07</v>
      </c>
      <c r="I348" s="30" t="n">
        <v>0.51</v>
      </c>
      <c r="J348" s="91" t="n">
        <v>-0.2854072865962176</v>
      </c>
      <c r="K348" s="30" t="n">
        <v>32.52</v>
      </c>
      <c r="L348" s="37" t="n">
        <v>31.4</v>
      </c>
      <c r="M348" s="18" t="n">
        <v>0</v>
      </c>
      <c r="N348" s="19" t="n">
        <v>17.3</v>
      </c>
      <c r="O348" s="108">
        <f>COUNTIFS($E:$E,$E348,$L:$L,"&gt;"&amp;$L348)+1</f>
        <v/>
      </c>
      <c r="P348" s="108">
        <f>COUNTIFS($E:$E,$E348,$M:$M,"&gt;"&amp;$M348)+1</f>
        <v/>
      </c>
      <c r="Q348" s="108">
        <f>COUNTIFS($E:$E,$E348,$N:$N,"&gt;"&amp;$N348)+1</f>
        <v/>
      </c>
      <c r="R348" s="31" t="inlineStr">
        <is>
          <t>📉 Weak</t>
        </is>
      </c>
      <c r="S348" s="31" t="inlineStr">
        <is>
          <t>🔴 Not Qualified</t>
        </is>
      </c>
      <c r="T348" s="31" t="inlineStr">
        <is>
          <t>🔴 Avoid</t>
        </is>
      </c>
      <c r="U348" s="83" t="inlineStr">
        <is>
          <t>FULL</t>
        </is>
      </c>
    </row>
    <row r="349" ht="16" customHeight="1">
      <c r="A349" s="13" t="n">
        <v>345</v>
      </c>
      <c r="B349" s="14" t="inlineStr">
        <is>
          <t>ICICI Prudential Nifty 100 Low Volatility 30 ETF FOF - Growth</t>
        </is>
      </c>
      <c r="C349" s="14" t="inlineStr">
        <is>
          <t>ICICI Prudential Mutual Fund</t>
        </is>
      </c>
      <c r="D349" s="14" t="inlineStr">
        <is>
          <t>Fof Domestic</t>
        </is>
      </c>
      <c r="E349" s="14" t="inlineStr">
        <is>
          <t>Index Fund</t>
        </is>
      </c>
      <c r="F349" s="15" t="n">
        <v>1.08</v>
      </c>
      <c r="G349" s="15" t="n">
        <v>3.91</v>
      </c>
      <c r="H349" s="16" t="n">
        <v>-2.55</v>
      </c>
      <c r="I349" s="15" t="n">
        <v>1.7</v>
      </c>
      <c r="J349" s="15" t="n">
        <v>0.5832988124768068</v>
      </c>
      <c r="K349" s="15" t="n">
        <v>36.95</v>
      </c>
      <c r="L349" s="37" t="n">
        <v>31.3</v>
      </c>
      <c r="M349" s="18" t="n">
        <v>0</v>
      </c>
      <c r="N349" s="19" t="n">
        <v>17.2</v>
      </c>
      <c r="O349" s="108">
        <f>COUNTIFS($E:$E,$E349,$L:$L,"&gt;"&amp;$L349)+1</f>
        <v/>
      </c>
      <c r="P349" s="108">
        <f>COUNTIFS($E:$E,$E349,$M:$M,"&gt;"&amp;$M349)+1</f>
        <v/>
      </c>
      <c r="Q349" s="108">
        <f>COUNTIFS($E:$E,$E349,$N:$N,"&gt;"&amp;$N349)+1</f>
        <v/>
      </c>
      <c r="R349" s="20" t="inlineStr">
        <is>
          <t>📉 Weak</t>
        </is>
      </c>
      <c r="S349" s="20" t="inlineStr">
        <is>
          <t>🔴 Not Qualified</t>
        </is>
      </c>
      <c r="T349" s="20" t="inlineStr">
        <is>
          <t>🔴 Avoid</t>
        </is>
      </c>
      <c r="U349" s="83" t="inlineStr">
        <is>
          <t>FULL</t>
        </is>
      </c>
    </row>
    <row r="350" ht="16" customHeight="1">
      <c r="A350" s="28" t="n">
        <v>346</v>
      </c>
      <c r="B350" s="29" t="inlineStr">
        <is>
          <t>Motilal Oswal Nifty Bank Index - Regular Plan</t>
        </is>
      </c>
      <c r="C350" s="29" t="inlineStr">
        <is>
          <t>Motilal Oswal Mutual Fund</t>
        </is>
      </c>
      <c r="D350" s="29" t="inlineStr">
        <is>
          <t>Index Funds</t>
        </is>
      </c>
      <c r="E350" s="29" t="inlineStr">
        <is>
          <t>Banking/Financial</t>
        </is>
      </c>
      <c r="F350" s="91" t="n">
        <v>-2.08</v>
      </c>
      <c r="G350" s="30" t="n">
        <v>7.43</v>
      </c>
      <c r="H350" s="91" t="n">
        <v>-6.89</v>
      </c>
      <c r="I350" s="30" t="n">
        <v>3.03</v>
      </c>
      <c r="J350" s="30" t="n">
        <v>6.169675519895979</v>
      </c>
      <c r="K350" s="30" t="n">
        <v>29.65</v>
      </c>
      <c r="L350" s="37" t="n">
        <v>31.2</v>
      </c>
      <c r="M350" s="18" t="n">
        <v>0</v>
      </c>
      <c r="N350" s="19" t="n">
        <v>17.1</v>
      </c>
      <c r="O350" s="108">
        <f>COUNTIFS($E:$E,$E350,$L:$L,"&gt;"&amp;$L350)+1</f>
        <v/>
      </c>
      <c r="P350" s="108">
        <f>COUNTIFS($E:$E,$E350,$M:$M,"&gt;"&amp;$M350)+1</f>
        <v/>
      </c>
      <c r="Q350" s="108">
        <f>COUNTIFS($E:$E,$E350,$N:$N,"&gt;"&amp;$N350)+1</f>
        <v/>
      </c>
      <c r="R350" s="31" t="inlineStr">
        <is>
          <t>📉 Weak</t>
        </is>
      </c>
      <c r="S350" s="31" t="inlineStr">
        <is>
          <t>🔴 Not Qualified</t>
        </is>
      </c>
      <c r="T350" s="31" t="inlineStr">
        <is>
          <t>🔴 Avoid</t>
        </is>
      </c>
      <c r="U350" s="83" t="inlineStr">
        <is>
          <t>FULL</t>
        </is>
      </c>
    </row>
    <row r="351" ht="16" customHeight="1">
      <c r="A351" s="13" t="n">
        <v>347</v>
      </c>
      <c r="B351" s="14" t="inlineStr">
        <is>
          <t>Navi Nifty Bank Index Fund- Regular Plan- Growth</t>
        </is>
      </c>
      <c r="C351" s="14" t="inlineStr">
        <is>
          <t>Navi Mutual Fund</t>
        </is>
      </c>
      <c r="D351" s="14" t="inlineStr">
        <is>
          <t>Index Funds</t>
        </is>
      </c>
      <c r="E351" s="14" t="inlineStr">
        <is>
          <t>Banking/Financial</t>
        </is>
      </c>
      <c r="F351" s="16" t="n">
        <v>-2.08</v>
      </c>
      <c r="G351" s="15" t="n">
        <v>7.43</v>
      </c>
      <c r="H351" s="16" t="n">
        <v>-6.91</v>
      </c>
      <c r="I351" s="15" t="n">
        <v>2.99</v>
      </c>
      <c r="J351" s="15" t="n">
        <v>6.150836077724797</v>
      </c>
      <c r="K351" s="15" t="n">
        <v>29.7</v>
      </c>
      <c r="L351" s="37" t="n">
        <v>31</v>
      </c>
      <c r="M351" s="18" t="n">
        <v>0</v>
      </c>
      <c r="N351" s="19" t="n">
        <v>17.1</v>
      </c>
      <c r="O351" s="108">
        <f>COUNTIFS($E:$E,$E351,$L:$L,"&gt;"&amp;$L351)+1</f>
        <v/>
      </c>
      <c r="P351" s="108">
        <f>COUNTIFS($E:$E,$E351,$M:$M,"&gt;"&amp;$M351)+1</f>
        <v/>
      </c>
      <c r="Q351" s="108">
        <f>COUNTIFS($E:$E,$E351,$N:$N,"&gt;"&amp;$N351)+1</f>
        <v/>
      </c>
      <c r="R351" s="20" t="inlineStr">
        <is>
          <t>📉 Weak</t>
        </is>
      </c>
      <c r="S351" s="20" t="inlineStr">
        <is>
          <t>🔴 Not Qualified</t>
        </is>
      </c>
      <c r="T351" s="20" t="inlineStr">
        <is>
          <t>🔴 Avoid</t>
        </is>
      </c>
      <c r="U351" s="83" t="inlineStr">
        <is>
          <t>FULL</t>
        </is>
      </c>
    </row>
    <row r="352" ht="16" customHeight="1">
      <c r="A352" s="28" t="n">
        <v>348</v>
      </c>
      <c r="B352" s="29" t="inlineStr">
        <is>
          <t>Mirae Asset Hang Seng TECH ETF</t>
        </is>
      </c>
      <c r="C352" s="29" t="inlineStr">
        <is>
          <t>Mirae Asset Mutual Fund</t>
        </is>
      </c>
      <c r="D352" s="29" t="inlineStr">
        <is>
          <t>Other  Etfs</t>
        </is>
      </c>
      <c r="E352" s="29" t="inlineStr">
        <is>
          <t>International</t>
        </is>
      </c>
      <c r="F352" s="30" t="n">
        <v>1.99</v>
      </c>
      <c r="G352" s="91" t="n">
        <v>-3.07</v>
      </c>
      <c r="H352" s="91" t="n">
        <v>-6.65</v>
      </c>
      <c r="I352" s="91" t="n">
        <v>-6.81</v>
      </c>
      <c r="J352" s="30" t="n">
        <v>24.95599225327292</v>
      </c>
      <c r="K352" s="30" t="n">
        <v>37.43</v>
      </c>
      <c r="L352" s="37" t="n">
        <v>21.5</v>
      </c>
      <c r="M352" s="18" t="n">
        <v>11.2</v>
      </c>
      <c r="N352" s="19" t="n">
        <v>16.9</v>
      </c>
      <c r="O352" s="108">
        <f>COUNTIFS($E:$E,$E352,$L:$L,"&gt;"&amp;$L352)+1</f>
        <v/>
      </c>
      <c r="P352" s="108">
        <f>COUNTIFS($E:$E,$E352,$M:$M,"&gt;"&amp;$M352)+1</f>
        <v/>
      </c>
      <c r="Q352" s="108">
        <f>COUNTIFS($E:$E,$E352,$N:$N,"&gt;"&amp;$N352)+1</f>
        <v/>
      </c>
      <c r="R352" s="31" t="inlineStr">
        <is>
          <t>📉 Weak</t>
        </is>
      </c>
      <c r="S352" s="31" t="inlineStr">
        <is>
          <t>⚠️ Below Avg</t>
        </is>
      </c>
      <c r="T352" s="31" t="inlineStr">
        <is>
          <t>🔴 Avoid</t>
        </is>
      </c>
      <c r="U352" s="83" t="inlineStr">
        <is>
          <t>FULL</t>
        </is>
      </c>
    </row>
    <row r="353" ht="16" customHeight="1">
      <c r="A353" s="13" t="n">
        <v>349</v>
      </c>
      <c r="B353" s="14" t="inlineStr">
        <is>
          <t>Kotak Nifty Midcap 50 ETF</t>
        </is>
      </c>
      <c r="C353" s="14" t="inlineStr">
        <is>
          <t>Kotak Mahindra Mutual Fund</t>
        </is>
      </c>
      <c r="D353" s="14" t="inlineStr">
        <is>
          <t>Other  Etfs</t>
        </is>
      </c>
      <c r="E353" s="14" t="inlineStr">
        <is>
          <t>Index Fund</t>
        </is>
      </c>
      <c r="F353" s="15" t="n">
        <v>1.69</v>
      </c>
      <c r="G353" s="15" t="n">
        <v>4.84</v>
      </c>
      <c r="H353" s="16" t="n">
        <v>-89.34</v>
      </c>
      <c r="I353" s="16" t="n">
        <v>-88.52</v>
      </c>
      <c r="J353" s="16" t="n">
        <v>-66.38452737205678</v>
      </c>
      <c r="K353" s="16" t="n">
        <v>-82.98</v>
      </c>
      <c r="L353" s="37" t="n">
        <v>30.3</v>
      </c>
      <c r="M353" s="18" t="n">
        <v>0</v>
      </c>
      <c r="N353" s="19" t="n">
        <v>16.7</v>
      </c>
      <c r="O353" s="108">
        <f>COUNTIFS($E:$E,$E353,$L:$L,"&gt;"&amp;$L353)+1</f>
        <v/>
      </c>
      <c r="P353" s="108">
        <f>COUNTIFS($E:$E,$E353,$M:$M,"&gt;"&amp;$M353)+1</f>
        <v/>
      </c>
      <c r="Q353" s="108">
        <f>COUNTIFS($E:$E,$E353,$N:$N,"&gt;"&amp;$N353)+1</f>
        <v/>
      </c>
      <c r="R353" s="20" t="inlineStr">
        <is>
          <t>📉 Weak</t>
        </is>
      </c>
      <c r="S353" s="20" t="inlineStr">
        <is>
          <t>🔴 Not Qualified</t>
        </is>
      </c>
      <c r="T353" s="20" t="inlineStr">
        <is>
          <t>🔴 Avoid</t>
        </is>
      </c>
      <c r="U353" s="83" t="inlineStr">
        <is>
          <t>FULL</t>
        </is>
      </c>
    </row>
    <row r="354" ht="16" customHeight="1">
      <c r="A354" s="28" t="n">
        <v>350</v>
      </c>
      <c r="B354" s="29" t="inlineStr">
        <is>
          <t>Kotak Nifty 50 ETF</t>
        </is>
      </c>
      <c r="C354" s="29" t="inlineStr">
        <is>
          <t>Kotak Mahindra Mutual Fund</t>
        </is>
      </c>
      <c r="D354" s="29" t="inlineStr">
        <is>
          <t>Other  Etfs</t>
        </is>
      </c>
      <c r="E354" s="29" t="inlineStr">
        <is>
          <t>Index Fund</t>
        </is>
      </c>
      <c r="F354" s="91" t="n">
        <v>-0.54</v>
      </c>
      <c r="G354" s="30" t="n">
        <v>3</v>
      </c>
      <c r="H354" s="91" t="n">
        <v>-5.69</v>
      </c>
      <c r="I354" s="91" t="n">
        <v>-0.86</v>
      </c>
      <c r="J354" s="30" t="n">
        <v>0.3493896344167968</v>
      </c>
      <c r="K354" s="30" t="n">
        <v>29.43</v>
      </c>
      <c r="L354" s="37" t="n">
        <v>29.6</v>
      </c>
      <c r="M354" s="18" t="n">
        <v>0</v>
      </c>
      <c r="N354" s="19" t="n">
        <v>16.3</v>
      </c>
      <c r="O354" s="108">
        <f>COUNTIFS($E:$E,$E354,$L:$L,"&gt;"&amp;$L354)+1</f>
        <v/>
      </c>
      <c r="P354" s="108">
        <f>COUNTIFS($E:$E,$E354,$M:$M,"&gt;"&amp;$M354)+1</f>
        <v/>
      </c>
      <c r="Q354" s="108">
        <f>COUNTIFS($E:$E,$E354,$N:$N,"&gt;"&amp;$N354)+1</f>
        <v/>
      </c>
      <c r="R354" s="31" t="inlineStr">
        <is>
          <t>📉 Weak</t>
        </is>
      </c>
      <c r="S354" s="31" t="inlineStr">
        <is>
          <t>🔴 Not Qualified</t>
        </is>
      </c>
      <c r="T354" s="31" t="inlineStr">
        <is>
          <t>🔴 Avoid</t>
        </is>
      </c>
      <c r="U354" s="83" t="inlineStr">
        <is>
          <t>FULL</t>
        </is>
      </c>
    </row>
    <row r="355" ht="16" customHeight="1">
      <c r="A355" s="13" t="n">
        <v>351</v>
      </c>
      <c r="B355" s="14" t="inlineStr">
        <is>
          <t>Motilal Oswal BSE Enhanced Value ETF</t>
        </is>
      </c>
      <c r="C355" s="14" t="inlineStr">
        <is>
          <t>Motilal Oswal Mutual Fund</t>
        </is>
      </c>
      <c r="D355" s="14" t="inlineStr">
        <is>
          <t>Other  Etfs</t>
        </is>
      </c>
      <c r="E355" s="14" t="inlineStr">
        <is>
          <t>Index Fund</t>
        </is>
      </c>
      <c r="F355" s="16" t="n">
        <v>-0.21</v>
      </c>
      <c r="G355" s="16" t="n">
        <v>-0.68</v>
      </c>
      <c r="H355" s="16" t="n">
        <v>-9</v>
      </c>
      <c r="I355" s="15" t="n">
        <v>12.4</v>
      </c>
      <c r="J355" s="15" t="n">
        <v>3.571231526906149</v>
      </c>
      <c r="K355" s="15" t="n">
        <v>96.04000000000001</v>
      </c>
      <c r="L355" s="37" t="n">
        <v>29.3</v>
      </c>
      <c r="M355" s="18" t="n">
        <v>0</v>
      </c>
      <c r="N355" s="19" t="n">
        <v>16.1</v>
      </c>
      <c r="O355" s="108">
        <f>COUNTIFS($E:$E,$E355,$L:$L,"&gt;"&amp;$L355)+1</f>
        <v/>
      </c>
      <c r="P355" s="108">
        <f>COUNTIFS($E:$E,$E355,$M:$M,"&gt;"&amp;$M355)+1</f>
        <v/>
      </c>
      <c r="Q355" s="108">
        <f>COUNTIFS($E:$E,$E355,$N:$N,"&gt;"&amp;$N355)+1</f>
        <v/>
      </c>
      <c r="R355" s="20" t="inlineStr">
        <is>
          <t>📉 Weak</t>
        </is>
      </c>
      <c r="S355" s="20" t="inlineStr">
        <is>
          <t>🔴 Not Qualified</t>
        </is>
      </c>
      <c r="T355" s="20" t="inlineStr">
        <is>
          <t>🔴 Avoid</t>
        </is>
      </c>
      <c r="U355" s="83" t="inlineStr">
        <is>
          <t>FULL</t>
        </is>
      </c>
    </row>
    <row r="356" ht="16" customHeight="1">
      <c r="A356" s="28" t="n">
        <v>352</v>
      </c>
      <c r="B356" s="29" t="inlineStr">
        <is>
          <t>Nippon India ETF Nifty 50 BeES</t>
        </is>
      </c>
      <c r="C356" s="29" t="inlineStr">
        <is>
          <t>Nippon India Mutual Fund</t>
        </is>
      </c>
      <c r="D356" s="29" t="inlineStr">
        <is>
          <t>Other  Etfs</t>
        </is>
      </c>
      <c r="E356" s="29" t="inlineStr">
        <is>
          <t>Index Fund</t>
        </is>
      </c>
      <c r="F356" s="91" t="n">
        <v>-0.54</v>
      </c>
      <c r="G356" s="30" t="n">
        <v>2.98</v>
      </c>
      <c r="H356" s="91" t="n">
        <v>-5.7</v>
      </c>
      <c r="I356" s="91" t="n">
        <v>-0.89</v>
      </c>
      <c r="J356" s="30" t="n">
        <v>0.3394239568874413</v>
      </c>
      <c r="K356" s="30" t="n">
        <v>29.38</v>
      </c>
      <c r="L356" s="37" t="n">
        <v>28.3</v>
      </c>
      <c r="M356" s="18" t="n">
        <v>0</v>
      </c>
      <c r="N356" s="19" t="n">
        <v>15.5</v>
      </c>
      <c r="O356" s="108">
        <f>COUNTIFS($E:$E,$E356,$L:$L,"&gt;"&amp;$L356)+1</f>
        <v/>
      </c>
      <c r="P356" s="108">
        <f>COUNTIFS($E:$E,$E356,$M:$M,"&gt;"&amp;$M356)+1</f>
        <v/>
      </c>
      <c r="Q356" s="108">
        <f>COUNTIFS($E:$E,$E356,$N:$N,"&gt;"&amp;$N356)+1</f>
        <v/>
      </c>
      <c r="R356" s="31" t="inlineStr">
        <is>
          <t>📉 Weak</t>
        </is>
      </c>
      <c r="S356" s="31" t="inlineStr">
        <is>
          <t>🔴 Not Qualified</t>
        </is>
      </c>
      <c r="T356" s="31" t="inlineStr">
        <is>
          <t>🔴 Avoid</t>
        </is>
      </c>
      <c r="U356" s="83" t="inlineStr">
        <is>
          <t>FULL</t>
        </is>
      </c>
    </row>
    <row r="357" ht="16" customHeight="1">
      <c r="A357" s="13" t="n">
        <v>353</v>
      </c>
      <c r="B357" s="14" t="inlineStr">
        <is>
          <t>LIC MF Gold Exchange Traded Fund</t>
        </is>
      </c>
      <c r="C357" s="14" t="inlineStr">
        <is>
          <t>LIC Mutual Fund</t>
        </is>
      </c>
      <c r="D357" s="14" t="inlineStr">
        <is>
          <t>Gold Etf</t>
        </is>
      </c>
      <c r="E357" s="14" t="inlineStr">
        <is>
          <t>Gold</t>
        </is>
      </c>
      <c r="F357" s="15" t="n">
        <v>9</v>
      </c>
      <c r="G357" s="16" t="n">
        <v>-3.11</v>
      </c>
      <c r="H357" s="16" t="n">
        <v>-98.98999999999999</v>
      </c>
      <c r="I357" s="16" t="n">
        <v>-98.47</v>
      </c>
      <c r="J357" s="16" t="n">
        <v>-85.33712170138479</v>
      </c>
      <c r="K357" s="16" t="n">
        <v>-97.42</v>
      </c>
      <c r="L357" s="37" t="n">
        <v>28</v>
      </c>
      <c r="M357" s="18" t="n">
        <v>0</v>
      </c>
      <c r="N357" s="19" t="n">
        <v>15.4</v>
      </c>
      <c r="O357" s="108">
        <f>COUNTIFS($E:$E,$E357,$L:$L,"&gt;"&amp;$L357)+1</f>
        <v/>
      </c>
      <c r="P357" s="108">
        <f>COUNTIFS($E:$E,$E357,$M:$M,"&gt;"&amp;$M357)+1</f>
        <v/>
      </c>
      <c r="Q357" s="108">
        <f>COUNTIFS($E:$E,$E357,$N:$N,"&gt;"&amp;$N357)+1</f>
        <v/>
      </c>
      <c r="R357" s="20" t="inlineStr">
        <is>
          <t>📉 Weak</t>
        </is>
      </c>
      <c r="S357" s="20" t="inlineStr">
        <is>
          <t>🔴 Not Qualified</t>
        </is>
      </c>
      <c r="T357" s="20" t="inlineStr">
        <is>
          <t>🔴 Avoid</t>
        </is>
      </c>
      <c r="U357" s="83" t="inlineStr">
        <is>
          <t>FULL</t>
        </is>
      </c>
    </row>
    <row r="358" ht="16" customHeight="1">
      <c r="A358" s="28" t="n">
        <v>354</v>
      </c>
      <c r="B358" s="29" t="inlineStr">
        <is>
          <t>UTI Nifty 50 ETF</t>
        </is>
      </c>
      <c r="C358" s="29" t="inlineStr">
        <is>
          <t>UTI Mutual Fund</t>
        </is>
      </c>
      <c r="D358" s="29" t="inlineStr">
        <is>
          <t>Other  Etfs</t>
        </is>
      </c>
      <c r="E358" s="29" t="inlineStr">
        <is>
          <t>Index Fund</t>
        </is>
      </c>
      <c r="F358" s="91" t="n">
        <v>-0.54</v>
      </c>
      <c r="G358" s="30" t="n">
        <v>2.98</v>
      </c>
      <c r="H358" s="91" t="n">
        <v>-5.71</v>
      </c>
      <c r="I358" s="91" t="n">
        <v>-0.88</v>
      </c>
      <c r="J358" s="30" t="n">
        <v>0.3444069193694554</v>
      </c>
      <c r="K358" s="91" t="n">
        <v>-87.06</v>
      </c>
      <c r="L358" s="37" t="n">
        <v>27.8</v>
      </c>
      <c r="M358" s="18" t="n">
        <v>0</v>
      </c>
      <c r="N358" s="19" t="n">
        <v>15.3</v>
      </c>
      <c r="O358" s="108">
        <f>COUNTIFS($E:$E,$E358,$L:$L,"&gt;"&amp;$L358)+1</f>
        <v/>
      </c>
      <c r="P358" s="108">
        <f>COUNTIFS($E:$E,$E358,$M:$M,"&gt;"&amp;$M358)+1</f>
        <v/>
      </c>
      <c r="Q358" s="108">
        <f>COUNTIFS($E:$E,$E358,$N:$N,"&gt;"&amp;$N358)+1</f>
        <v/>
      </c>
      <c r="R358" s="31" t="inlineStr">
        <is>
          <t>📉 Weak</t>
        </is>
      </c>
      <c r="S358" s="31" t="inlineStr">
        <is>
          <t>🔴 Not Qualified</t>
        </is>
      </c>
      <c r="T358" s="31" t="inlineStr">
        <is>
          <t>🔴 Avoid</t>
        </is>
      </c>
      <c r="U358" s="83" t="inlineStr">
        <is>
          <t>FULL</t>
        </is>
      </c>
    </row>
    <row r="359" ht="16" customHeight="1">
      <c r="A359" s="13" t="n">
        <v>355</v>
      </c>
      <c r="B359" s="14" t="inlineStr">
        <is>
          <t>ICICI Prudential Nifty 50 ETF</t>
        </is>
      </c>
      <c r="C359" s="14" t="inlineStr">
        <is>
          <t>ICICI Prudential Mutual Fund</t>
        </is>
      </c>
      <c r="D359" s="14" t="inlineStr">
        <is>
          <t>Other  Etfs</t>
        </is>
      </c>
      <c r="E359" s="14" t="inlineStr">
        <is>
          <t>Index Fund</t>
        </is>
      </c>
      <c r="F359" s="16" t="n">
        <v>-0.54</v>
      </c>
      <c r="G359" s="15" t="n">
        <v>2.98</v>
      </c>
      <c r="H359" s="16" t="n">
        <v>-5.71</v>
      </c>
      <c r="I359" s="16" t="n">
        <v>-0.89</v>
      </c>
      <c r="J359" s="15" t="n">
        <v>0.3543721020663915</v>
      </c>
      <c r="K359" s="15" t="n">
        <v>29.43</v>
      </c>
      <c r="L359" s="37" t="n">
        <v>27.5</v>
      </c>
      <c r="M359" s="18" t="n">
        <v>0</v>
      </c>
      <c r="N359" s="19" t="n">
        <v>15.1</v>
      </c>
      <c r="O359" s="108">
        <f>COUNTIFS($E:$E,$E359,$L:$L,"&gt;"&amp;$L359)+1</f>
        <v/>
      </c>
      <c r="P359" s="108">
        <f>COUNTIFS($E:$E,$E359,$M:$M,"&gt;"&amp;$M359)+1</f>
        <v/>
      </c>
      <c r="Q359" s="108">
        <f>COUNTIFS($E:$E,$E359,$N:$N,"&gt;"&amp;$N359)+1</f>
        <v/>
      </c>
      <c r="R359" s="20" t="inlineStr">
        <is>
          <t>📉 Weak</t>
        </is>
      </c>
      <c r="S359" s="20" t="inlineStr">
        <is>
          <t>🔴 Not Qualified</t>
        </is>
      </c>
      <c r="T359" s="20" t="inlineStr">
        <is>
          <t>🔴 Avoid</t>
        </is>
      </c>
      <c r="U359" s="83" t="inlineStr">
        <is>
          <t>FULL</t>
        </is>
      </c>
    </row>
    <row r="360" ht="16" customHeight="1">
      <c r="A360" s="28" t="n">
        <v>356</v>
      </c>
      <c r="B360" s="29" t="inlineStr">
        <is>
          <t>Mirae Asset Nifty 50 ETF</t>
        </is>
      </c>
      <c r="C360" s="29" t="inlineStr">
        <is>
          <t>Mirae Asset Mutual Fund</t>
        </is>
      </c>
      <c r="D360" s="29" t="inlineStr">
        <is>
          <t>Other  Etfs</t>
        </is>
      </c>
      <c r="E360" s="29" t="inlineStr">
        <is>
          <t>Index Fund</t>
        </is>
      </c>
      <c r="F360" s="91" t="n">
        <v>-0.54</v>
      </c>
      <c r="G360" s="30" t="n">
        <v>2.98</v>
      </c>
      <c r="H360" s="91" t="n">
        <v>-5.71</v>
      </c>
      <c r="I360" s="91" t="n">
        <v>-0.91</v>
      </c>
      <c r="J360" s="30" t="n">
        <v>0.3294572894720682</v>
      </c>
      <c r="K360" s="30" t="n">
        <v>29.33</v>
      </c>
      <c r="L360" s="37" t="n">
        <v>27.1</v>
      </c>
      <c r="M360" s="18" t="n">
        <v>0</v>
      </c>
      <c r="N360" s="19" t="n">
        <v>14.9</v>
      </c>
      <c r="O360" s="108">
        <f>COUNTIFS($E:$E,$E360,$L:$L,"&gt;"&amp;$L360)+1</f>
        <v/>
      </c>
      <c r="P360" s="108">
        <f>COUNTIFS($E:$E,$E360,$M:$M,"&gt;"&amp;$M360)+1</f>
        <v/>
      </c>
      <c r="Q360" s="108">
        <f>COUNTIFS($E:$E,$E360,$N:$N,"&gt;"&amp;$N360)+1</f>
        <v/>
      </c>
      <c r="R360" s="31" t="inlineStr">
        <is>
          <t>📉 Weak</t>
        </is>
      </c>
      <c r="S360" s="31" t="inlineStr">
        <is>
          <t>🔴 Not Qualified</t>
        </is>
      </c>
      <c r="T360" s="31" t="inlineStr">
        <is>
          <t>🔴 Avoid</t>
        </is>
      </c>
      <c r="U360" s="83" t="inlineStr">
        <is>
          <t>FULL</t>
        </is>
      </c>
    </row>
    <row r="361" ht="16" customHeight="1">
      <c r="A361" s="13" t="n">
        <v>357</v>
      </c>
      <c r="B361" s="14" t="inlineStr">
        <is>
          <t>SBI Nifty 50 ETF</t>
        </is>
      </c>
      <c r="C361" s="14" t="inlineStr">
        <is>
          <t>SBI Mutual Fund</t>
        </is>
      </c>
      <c r="D361" s="14" t="inlineStr">
        <is>
          <t>Other  Etfs</t>
        </is>
      </c>
      <c r="E361" s="14" t="inlineStr">
        <is>
          <t>Index Fund</t>
        </is>
      </c>
      <c r="F361" s="16" t="n">
        <v>-0.54</v>
      </c>
      <c r="G361" s="15" t="n">
        <v>2.98</v>
      </c>
      <c r="H361" s="16" t="n">
        <v>-5.71</v>
      </c>
      <c r="I361" s="16" t="n">
        <v>-0.91</v>
      </c>
      <c r="J361" s="15" t="n">
        <v>0.3294572894720682</v>
      </c>
      <c r="K361" s="15" t="n">
        <v>29.33</v>
      </c>
      <c r="L361" s="37" t="n">
        <v>27.1</v>
      </c>
      <c r="M361" s="18" t="n">
        <v>0</v>
      </c>
      <c r="N361" s="19" t="n">
        <v>14.9</v>
      </c>
      <c r="O361" s="108">
        <f>COUNTIFS($E:$E,$E361,$L:$L,"&gt;"&amp;$L361)+1</f>
        <v/>
      </c>
      <c r="P361" s="108">
        <f>COUNTIFS($E:$E,$E361,$M:$M,"&gt;"&amp;$M361)+1</f>
        <v/>
      </c>
      <c r="Q361" s="108">
        <f>COUNTIFS($E:$E,$E361,$N:$N,"&gt;"&amp;$N361)+1</f>
        <v/>
      </c>
      <c r="R361" s="20" t="inlineStr">
        <is>
          <t>📉 Weak</t>
        </is>
      </c>
      <c r="S361" s="20" t="inlineStr">
        <is>
          <t>🔴 Not Qualified</t>
        </is>
      </c>
      <c r="T361" s="20" t="inlineStr">
        <is>
          <t>🔴 Avoid</t>
        </is>
      </c>
      <c r="U361" s="83" t="inlineStr">
        <is>
          <t>FULL</t>
        </is>
      </c>
    </row>
    <row r="362" ht="16" customHeight="1">
      <c r="A362" s="28" t="n">
        <v>358</v>
      </c>
      <c r="B362" s="29" t="inlineStr">
        <is>
          <t>DSP Nifty 50 ETF</t>
        </is>
      </c>
      <c r="C362" s="29" t="inlineStr">
        <is>
          <t>DSP Mutual Fund</t>
        </is>
      </c>
      <c r="D362" s="29" t="inlineStr">
        <is>
          <t>Other  Etfs</t>
        </is>
      </c>
      <c r="E362" s="29" t="inlineStr">
        <is>
          <t>Index Fund</t>
        </is>
      </c>
      <c r="F362" s="91" t="n">
        <v>-0.55</v>
      </c>
      <c r="G362" s="30" t="n">
        <v>2.98</v>
      </c>
      <c r="H362" s="91" t="n">
        <v>-5.71</v>
      </c>
      <c r="I362" s="91" t="n">
        <v>-0.88</v>
      </c>
      <c r="J362" s="30" t="n">
        <v>0.3344407469339394</v>
      </c>
      <c r="K362" s="30" t="n">
        <v>29.38</v>
      </c>
      <c r="L362" s="37" t="n">
        <v>26.9</v>
      </c>
      <c r="M362" s="18" t="n">
        <v>0</v>
      </c>
      <c r="N362" s="19" t="n">
        <v>14.8</v>
      </c>
      <c r="O362" s="108">
        <f>COUNTIFS($E:$E,$E362,$L:$L,"&gt;"&amp;$L362)+1</f>
        <v/>
      </c>
      <c r="P362" s="108">
        <f>COUNTIFS($E:$E,$E362,$M:$M,"&gt;"&amp;$M362)+1</f>
        <v/>
      </c>
      <c r="Q362" s="108">
        <f>COUNTIFS($E:$E,$E362,$N:$N,"&gt;"&amp;$N362)+1</f>
        <v/>
      </c>
      <c r="R362" s="31" t="inlineStr">
        <is>
          <t>📉 Weak</t>
        </is>
      </c>
      <c r="S362" s="31" t="inlineStr">
        <is>
          <t>🔴 Not Qualified</t>
        </is>
      </c>
      <c r="T362" s="31" t="inlineStr">
        <is>
          <t>🔴 Avoid</t>
        </is>
      </c>
      <c r="U362" s="83" t="inlineStr">
        <is>
          <t>FULL</t>
        </is>
      </c>
    </row>
    <row r="363" ht="16" customHeight="1">
      <c r="A363" s="13" t="n">
        <v>359</v>
      </c>
      <c r="B363" s="14" t="inlineStr">
        <is>
          <t>Axis Nifty 50 ETF</t>
        </is>
      </c>
      <c r="C363" s="14" t="inlineStr">
        <is>
          <t>Axis Mutual Fund</t>
        </is>
      </c>
      <c r="D363" s="14" t="inlineStr">
        <is>
          <t>Other  Etfs</t>
        </is>
      </c>
      <c r="E363" s="14" t="inlineStr">
        <is>
          <t>Index Fund</t>
        </is>
      </c>
      <c r="F363" s="16" t="n">
        <v>-0.54</v>
      </c>
      <c r="G363" s="15" t="n">
        <v>2.97</v>
      </c>
      <c r="H363" s="16" t="n">
        <v>-5.71</v>
      </c>
      <c r="I363" s="16" t="n">
        <v>-0.91</v>
      </c>
      <c r="J363" s="15" t="n">
        <v>0.3294572894720682</v>
      </c>
      <c r="K363" s="15" t="n">
        <v>29.35</v>
      </c>
      <c r="L363" s="37" t="n">
        <v>26.8</v>
      </c>
      <c r="M363" s="18" t="n">
        <v>0</v>
      </c>
      <c r="N363" s="19" t="n">
        <v>14.8</v>
      </c>
      <c r="O363" s="108">
        <f>COUNTIFS($E:$E,$E363,$L:$L,"&gt;"&amp;$L363)+1</f>
        <v/>
      </c>
      <c r="P363" s="108">
        <f>COUNTIFS($E:$E,$E363,$M:$M,"&gt;"&amp;$M363)+1</f>
        <v/>
      </c>
      <c r="Q363" s="108">
        <f>COUNTIFS($E:$E,$E363,$N:$N,"&gt;"&amp;$N363)+1</f>
        <v/>
      </c>
      <c r="R363" s="20" t="inlineStr">
        <is>
          <t>📉 Weak</t>
        </is>
      </c>
      <c r="S363" s="20" t="inlineStr">
        <is>
          <t>🔴 Not Qualified</t>
        </is>
      </c>
      <c r="T363" s="20" t="inlineStr">
        <is>
          <t>🔴 Avoid</t>
        </is>
      </c>
      <c r="U363" s="83" t="inlineStr">
        <is>
          <t>FULL</t>
        </is>
      </c>
    </row>
    <row r="364" ht="16" customHeight="1">
      <c r="A364" s="28" t="n">
        <v>360</v>
      </c>
      <c r="B364" s="29" t="inlineStr">
        <is>
          <t>HDFC NIFTY 50 ETF - Growth Plan</t>
        </is>
      </c>
      <c r="C364" s="29" t="inlineStr">
        <is>
          <t>HDFC Mutual Fund</t>
        </is>
      </c>
      <c r="D364" s="29" t="inlineStr">
        <is>
          <t>Other  Etfs</t>
        </is>
      </c>
      <c r="E364" s="29" t="inlineStr">
        <is>
          <t>Index Fund</t>
        </is>
      </c>
      <c r="F364" s="91" t="n">
        <v>-0.54</v>
      </c>
      <c r="G364" s="30" t="n">
        <v>2.97</v>
      </c>
      <c r="H364" s="91" t="n">
        <v>-5.72</v>
      </c>
      <c r="I364" s="91" t="n">
        <v>-0.91</v>
      </c>
      <c r="J364" s="30" t="n">
        <v>0.3244735844649238</v>
      </c>
      <c r="K364" s="30" t="n">
        <v>29.32</v>
      </c>
      <c r="L364" s="37" t="n">
        <v>26.5</v>
      </c>
      <c r="M364" s="18" t="n">
        <v>0</v>
      </c>
      <c r="N364" s="19" t="n">
        <v>14.6</v>
      </c>
      <c r="O364" s="108">
        <f>COUNTIFS($E:$E,$E364,$L:$L,"&gt;"&amp;$L364)+1</f>
        <v/>
      </c>
      <c r="P364" s="108">
        <f>COUNTIFS($E:$E,$E364,$M:$M,"&gt;"&amp;$M364)+1</f>
        <v/>
      </c>
      <c r="Q364" s="108">
        <f>COUNTIFS($E:$E,$E364,$N:$N,"&gt;"&amp;$N364)+1</f>
        <v/>
      </c>
      <c r="R364" s="31" t="inlineStr">
        <is>
          <t>📉 Weak</t>
        </is>
      </c>
      <c r="S364" s="31" t="inlineStr">
        <is>
          <t>🔴 Not Qualified</t>
        </is>
      </c>
      <c r="T364" s="31" t="inlineStr">
        <is>
          <t>🔴 Avoid</t>
        </is>
      </c>
      <c r="U364" s="83" t="inlineStr">
        <is>
          <t>FULL</t>
        </is>
      </c>
    </row>
    <row r="365" ht="16" customHeight="1">
      <c r="A365" s="13" t="n">
        <v>361</v>
      </c>
      <c r="B365" s="14" t="inlineStr">
        <is>
          <t>Bandhan US Treasury Bond 0-1 year specific Debt Passive FOF - REGULAR PLAN - GROWTH</t>
        </is>
      </c>
      <c r="C365" s="14" t="inlineStr">
        <is>
          <t>Bandhan Mutual Fund</t>
        </is>
      </c>
      <c r="D365" s="14" t="inlineStr">
        <is>
          <t>Fof Overseas</t>
        </is>
      </c>
      <c r="E365" s="14" t="inlineStr">
        <is>
          <t>Standard Equity/Debt</t>
        </is>
      </c>
      <c r="F365" s="16" t="n">
        <v>-0.44</v>
      </c>
      <c r="G365" s="15" t="n">
        <v>0.12</v>
      </c>
      <c r="H365" s="15" t="n">
        <v>7.22</v>
      </c>
      <c r="I365" s="15" t="n">
        <v>13.21</v>
      </c>
      <c r="J365" s="15" t="n">
        <v>10.86929241228158</v>
      </c>
      <c r="K365" s="15" t="n">
        <v>30.63</v>
      </c>
      <c r="L365" s="37" t="n">
        <v>24</v>
      </c>
      <c r="M365" s="18" t="n">
        <v>2.7</v>
      </c>
      <c r="N365" s="19" t="n">
        <v>14.4</v>
      </c>
      <c r="O365" s="108">
        <f>COUNTIFS($E:$E,$E365,$L:$L,"&gt;"&amp;$L365)+1</f>
        <v/>
      </c>
      <c r="P365" s="108">
        <f>COUNTIFS($E:$E,$E365,$M:$M,"&gt;"&amp;$M365)+1</f>
        <v/>
      </c>
      <c r="Q365" s="108">
        <f>COUNTIFS($E:$E,$E365,$N:$N,"&gt;"&amp;$N365)+1</f>
        <v/>
      </c>
      <c r="R365" s="20" t="inlineStr">
        <is>
          <t>📉 Weak</t>
        </is>
      </c>
      <c r="S365" s="20" t="inlineStr">
        <is>
          <t>⚠️ Below Avg</t>
        </is>
      </c>
      <c r="T365" s="20" t="inlineStr">
        <is>
          <t>🔴 Avoid</t>
        </is>
      </c>
      <c r="U365" s="83" t="inlineStr">
        <is>
          <t>FULL</t>
        </is>
      </c>
    </row>
    <row r="366" ht="16" customHeight="1">
      <c r="A366" s="28" t="n">
        <v>362</v>
      </c>
      <c r="B366" s="29" t="inlineStr">
        <is>
          <t>Motilal Oswal Nifty 50 ETF</t>
        </is>
      </c>
      <c r="C366" s="29" t="inlineStr">
        <is>
          <t>Motilal Oswal Mutual Fund</t>
        </is>
      </c>
      <c r="D366" s="29" t="inlineStr">
        <is>
          <t>Other  Etfs</t>
        </is>
      </c>
      <c r="E366" s="29" t="inlineStr">
        <is>
          <t>Index Fund</t>
        </is>
      </c>
      <c r="F366" s="91" t="n">
        <v>-0.55</v>
      </c>
      <c r="G366" s="30" t="n">
        <v>2.97</v>
      </c>
      <c r="H366" s="91" t="n">
        <v>-5.72</v>
      </c>
      <c r="I366" s="91" t="n">
        <v>-0.89</v>
      </c>
      <c r="J366" s="30" t="n">
        <v>0.3294572894720682</v>
      </c>
      <c r="K366" s="30" t="n">
        <v>29.33</v>
      </c>
      <c r="L366" s="37" t="n">
        <v>26</v>
      </c>
      <c r="M366" s="18" t="n">
        <v>0</v>
      </c>
      <c r="N366" s="19" t="n">
        <v>14.3</v>
      </c>
      <c r="O366" s="108">
        <f>COUNTIFS($E:$E,$E366,$L:$L,"&gt;"&amp;$L366)+1</f>
        <v/>
      </c>
      <c r="P366" s="108">
        <f>COUNTIFS($E:$E,$E366,$M:$M,"&gt;"&amp;$M366)+1</f>
        <v/>
      </c>
      <c r="Q366" s="108">
        <f>COUNTIFS($E:$E,$E366,$N:$N,"&gt;"&amp;$N366)+1</f>
        <v/>
      </c>
      <c r="R366" s="31" t="inlineStr">
        <is>
          <t>📉 Weak</t>
        </is>
      </c>
      <c r="S366" s="31" t="inlineStr">
        <is>
          <t>🔴 Not Qualified</t>
        </is>
      </c>
      <c r="T366" s="31" t="inlineStr">
        <is>
          <t>🔴 Avoid</t>
        </is>
      </c>
      <c r="U366" s="83" t="inlineStr">
        <is>
          <t>FULL</t>
        </is>
      </c>
    </row>
    <row r="367" ht="16" customHeight="1">
      <c r="A367" s="13" t="n">
        <v>363</v>
      </c>
      <c r="B367" s="14" t="inlineStr">
        <is>
          <t>Motilal Oswal BSE Low Volatility ETF</t>
        </is>
      </c>
      <c r="C367" s="14" t="inlineStr">
        <is>
          <t>Motilal Oswal Mutual Fund</t>
        </is>
      </c>
      <c r="D367" s="14" t="inlineStr">
        <is>
          <t>Other  Etfs</t>
        </is>
      </c>
      <c r="E367" s="14" t="inlineStr">
        <is>
          <t>Index Fund</t>
        </is>
      </c>
      <c r="F367" s="16" t="n">
        <v>-0.57</v>
      </c>
      <c r="G367" s="15" t="n">
        <v>1.17</v>
      </c>
      <c r="H367" s="16" t="n">
        <v>-5.5</v>
      </c>
      <c r="I367" s="16" t="n">
        <v>-0.82</v>
      </c>
      <c r="J367" s="16" t="n">
        <v>-2.117417279681466</v>
      </c>
      <c r="K367" s="15" t="n">
        <v>30.37</v>
      </c>
      <c r="L367" s="37" t="n">
        <v>25.9</v>
      </c>
      <c r="M367" s="18" t="n">
        <v>0</v>
      </c>
      <c r="N367" s="19" t="n">
        <v>14.2</v>
      </c>
      <c r="O367" s="108">
        <f>COUNTIFS($E:$E,$E367,$L:$L,"&gt;"&amp;$L367)+1</f>
        <v/>
      </c>
      <c r="P367" s="108">
        <f>COUNTIFS($E:$E,$E367,$M:$M,"&gt;"&amp;$M367)+1</f>
        <v/>
      </c>
      <c r="Q367" s="108">
        <f>COUNTIFS($E:$E,$E367,$N:$N,"&gt;"&amp;$N367)+1</f>
        <v/>
      </c>
      <c r="R367" s="20" t="inlineStr">
        <is>
          <t>📉 Weak</t>
        </is>
      </c>
      <c r="S367" s="20" t="inlineStr">
        <is>
          <t>🔴 Not Qualified</t>
        </is>
      </c>
      <c r="T367" s="20" t="inlineStr">
        <is>
          <t>🔴 Avoid</t>
        </is>
      </c>
      <c r="U367" s="83" t="inlineStr">
        <is>
          <t>FULL</t>
        </is>
      </c>
    </row>
    <row r="368" ht="16" customHeight="1">
      <c r="A368" s="28" t="n">
        <v>364</v>
      </c>
      <c r="B368" s="29" t="inlineStr">
        <is>
          <t>BHARAT 22 ETF</t>
        </is>
      </c>
      <c r="C368" s="29" t="inlineStr">
        <is>
          <t>ICICI Prudential Mutual Fund</t>
        </is>
      </c>
      <c r="D368" s="29" t="inlineStr">
        <is>
          <t>Other  Etfs</t>
        </is>
      </c>
      <c r="E368" s="29" t="inlineStr">
        <is>
          <t>Standard Equity/Debt</t>
        </is>
      </c>
      <c r="F368" s="91" t="n">
        <v>-0.42</v>
      </c>
      <c r="G368" s="91" t="n">
        <v>-3.88</v>
      </c>
      <c r="H368" s="91" t="n">
        <v>-8.67</v>
      </c>
      <c r="I368" s="30" t="n">
        <v>6.87</v>
      </c>
      <c r="J368" s="91" t="n">
        <v>-0.1951904966499107</v>
      </c>
      <c r="K368" s="30" t="n">
        <v>66.93000000000001</v>
      </c>
      <c r="L368" s="37" t="n">
        <v>25.3</v>
      </c>
      <c r="M368" s="18" t="n">
        <v>0</v>
      </c>
      <c r="N368" s="19" t="n">
        <v>13.9</v>
      </c>
      <c r="O368" s="108">
        <f>COUNTIFS($E:$E,$E368,$L:$L,"&gt;"&amp;$L368)+1</f>
        <v/>
      </c>
      <c r="P368" s="108">
        <f>COUNTIFS($E:$E,$E368,$M:$M,"&gt;"&amp;$M368)+1</f>
        <v/>
      </c>
      <c r="Q368" s="108">
        <f>COUNTIFS($E:$E,$E368,$N:$N,"&gt;"&amp;$N368)+1</f>
        <v/>
      </c>
      <c r="R368" s="31" t="inlineStr">
        <is>
          <t>📉 Weak</t>
        </is>
      </c>
      <c r="S368" s="31" t="inlineStr">
        <is>
          <t>🔴 Not Qualified</t>
        </is>
      </c>
      <c r="T368" s="31" t="inlineStr">
        <is>
          <t>🔴 Avoid</t>
        </is>
      </c>
      <c r="U368" s="83" t="inlineStr">
        <is>
          <t>FULL</t>
        </is>
      </c>
    </row>
    <row r="369" ht="16" customHeight="1">
      <c r="A369" s="13" t="n">
        <v>365</v>
      </c>
      <c r="B369" s="14" t="inlineStr">
        <is>
          <t>UTI Nifty 50 Index Fund - Regular Plan - Growth Option</t>
        </is>
      </c>
      <c r="C369" s="14" t="inlineStr">
        <is>
          <t>UTI Mutual Fund</t>
        </is>
      </c>
      <c r="D369" s="14" t="inlineStr">
        <is>
          <t>Index Funds</t>
        </is>
      </c>
      <c r="E369" s="14" t="inlineStr">
        <is>
          <t>Index Fund</t>
        </is>
      </c>
      <c r="F369" s="16" t="n">
        <v>-0.57</v>
      </c>
      <c r="G369" s="15" t="n">
        <v>2.92</v>
      </c>
      <c r="H369" s="16" t="n">
        <v>-5.83</v>
      </c>
      <c r="I369" s="16" t="n">
        <v>-1.16</v>
      </c>
      <c r="J369" s="15" t="n">
        <v>0.08496390567367396</v>
      </c>
      <c r="K369" s="15" t="n">
        <v>28.24</v>
      </c>
      <c r="L369" s="37" t="n">
        <v>25.1</v>
      </c>
      <c r="M369" s="18" t="n">
        <v>0</v>
      </c>
      <c r="N369" s="19" t="n">
        <v>13.8</v>
      </c>
      <c r="O369" s="108">
        <f>COUNTIFS($E:$E,$E369,$L:$L,"&gt;"&amp;$L369)+1</f>
        <v/>
      </c>
      <c r="P369" s="108">
        <f>COUNTIFS($E:$E,$E369,$M:$M,"&gt;"&amp;$M369)+1</f>
        <v/>
      </c>
      <c r="Q369" s="108">
        <f>COUNTIFS($E:$E,$E369,$N:$N,"&gt;"&amp;$N369)+1</f>
        <v/>
      </c>
      <c r="R369" s="20" t="inlineStr">
        <is>
          <t>📉 Weak</t>
        </is>
      </c>
      <c r="S369" s="20" t="inlineStr">
        <is>
          <t>🔴 Not Qualified</t>
        </is>
      </c>
      <c r="T369" s="20" t="inlineStr">
        <is>
          <t>🔴 Avoid</t>
        </is>
      </c>
      <c r="U369" s="83" t="inlineStr">
        <is>
          <t>FULL</t>
        </is>
      </c>
    </row>
    <row r="370" ht="16" customHeight="1">
      <c r="A370" s="28" t="n">
        <v>366</v>
      </c>
      <c r="B370" s="29" t="inlineStr">
        <is>
          <t>Motilal Oswal BSE Enhanced Value Index Fund-Regular plan</t>
        </is>
      </c>
      <c r="C370" s="29" t="inlineStr">
        <is>
          <t>Motilal Oswal Mutual Fund</t>
        </is>
      </c>
      <c r="D370" s="29" t="inlineStr">
        <is>
          <t>Index Funds</t>
        </is>
      </c>
      <c r="E370" s="29" t="inlineStr">
        <is>
          <t>Index Fund</t>
        </is>
      </c>
      <c r="F370" s="91" t="n">
        <v>-0.29</v>
      </c>
      <c r="G370" s="91" t="n">
        <v>-0.87</v>
      </c>
      <c r="H370" s="91" t="n">
        <v>-9.33</v>
      </c>
      <c r="I370" s="30" t="n">
        <v>11.38</v>
      </c>
      <c r="J370" s="30" t="n">
        <v>2.708324881676449</v>
      </c>
      <c r="K370" s="30" t="n">
        <v>89.70999999999999</v>
      </c>
      <c r="L370" s="37" t="n">
        <v>25</v>
      </c>
      <c r="M370" s="18" t="n">
        <v>0</v>
      </c>
      <c r="N370" s="19" t="n">
        <v>13.8</v>
      </c>
      <c r="O370" s="108">
        <f>COUNTIFS($E:$E,$E370,$L:$L,"&gt;"&amp;$L370)+1</f>
        <v/>
      </c>
      <c r="P370" s="108">
        <f>COUNTIFS($E:$E,$E370,$M:$M,"&gt;"&amp;$M370)+1</f>
        <v/>
      </c>
      <c r="Q370" s="108">
        <f>COUNTIFS($E:$E,$E370,$N:$N,"&gt;"&amp;$N370)+1</f>
        <v/>
      </c>
      <c r="R370" s="31" t="inlineStr">
        <is>
          <t>📉 Weak</t>
        </is>
      </c>
      <c r="S370" s="31" t="inlineStr">
        <is>
          <t>🔴 Not Qualified</t>
        </is>
      </c>
      <c r="T370" s="31" t="inlineStr">
        <is>
          <t>🔴 Avoid</t>
        </is>
      </c>
      <c r="U370" s="83" t="inlineStr">
        <is>
          <t>FULL</t>
        </is>
      </c>
    </row>
    <row r="371" ht="16" customHeight="1">
      <c r="A371" s="13" t="n">
        <v>367</v>
      </c>
      <c r="B371" s="14" t="inlineStr">
        <is>
          <t>DSP Nifty 50 Index Fund - Regular Plan - Growth</t>
        </is>
      </c>
      <c r="C371" s="14" t="inlineStr">
        <is>
          <t>DSP Mutual Fund</t>
        </is>
      </c>
      <c r="D371" s="14" t="inlineStr">
        <is>
          <t>Index Funds</t>
        </is>
      </c>
      <c r="E371" s="14" t="inlineStr">
        <is>
          <t>Index Fund</t>
        </is>
      </c>
      <c r="F371" s="16" t="n">
        <v>-0.57</v>
      </c>
      <c r="G371" s="15" t="n">
        <v>2.9</v>
      </c>
      <c r="H371" s="16" t="n">
        <v>-5.85</v>
      </c>
      <c r="I371" s="16" t="n">
        <v>-1.21</v>
      </c>
      <c r="J371" s="15" t="n">
        <v>0.009999500049984178</v>
      </c>
      <c r="K371" s="15" t="n">
        <v>27.98</v>
      </c>
      <c r="L371" s="37" t="n">
        <v>24.7</v>
      </c>
      <c r="M371" s="18" t="n">
        <v>0</v>
      </c>
      <c r="N371" s="19" t="n">
        <v>13.6</v>
      </c>
      <c r="O371" s="108">
        <f>COUNTIFS($E:$E,$E371,$L:$L,"&gt;"&amp;$L371)+1</f>
        <v/>
      </c>
      <c r="P371" s="108">
        <f>COUNTIFS($E:$E,$E371,$M:$M,"&gt;"&amp;$M371)+1</f>
        <v/>
      </c>
      <c r="Q371" s="108">
        <f>COUNTIFS($E:$E,$E371,$N:$N,"&gt;"&amp;$N371)+1</f>
        <v/>
      </c>
      <c r="R371" s="20" t="inlineStr">
        <is>
          <t>📉 Weak</t>
        </is>
      </c>
      <c r="S371" s="20" t="inlineStr">
        <is>
          <t>🔴 Not Qualified</t>
        </is>
      </c>
      <c r="T371" s="20" t="inlineStr">
        <is>
          <t>🔴 Avoid</t>
        </is>
      </c>
      <c r="U371" s="83" t="inlineStr">
        <is>
          <t>FULL</t>
        </is>
      </c>
    </row>
    <row r="372" ht="16" customHeight="1">
      <c r="A372" s="28" t="n">
        <v>368</v>
      </c>
      <c r="B372" s="29" t="inlineStr">
        <is>
          <t>Kotak Nifty 50 Index Fund - Regular Plan-Growth</t>
        </is>
      </c>
      <c r="C372" s="29" t="inlineStr">
        <is>
          <t>Kotak Mahindra Mutual Fund</t>
        </is>
      </c>
      <c r="D372" s="29" t="inlineStr">
        <is>
          <t>Index Funds</t>
        </is>
      </c>
      <c r="E372" s="29" t="inlineStr">
        <is>
          <t>Index Fund</t>
        </is>
      </c>
      <c r="F372" s="91" t="n">
        <v>-0.57</v>
      </c>
      <c r="G372" s="30" t="n">
        <v>2.93</v>
      </c>
      <c r="H372" s="91" t="n">
        <v>-5.86</v>
      </c>
      <c r="I372" s="91" t="n">
        <v>-1.22</v>
      </c>
      <c r="J372" s="91" t="n">
        <v>-0.120072086529821</v>
      </c>
      <c r="K372" s="30" t="n">
        <v>27.39</v>
      </c>
      <c r="L372" s="37" t="n">
        <v>24.6</v>
      </c>
      <c r="M372" s="18" t="n">
        <v>0</v>
      </c>
      <c r="N372" s="19" t="n">
        <v>13.5</v>
      </c>
      <c r="O372" s="108">
        <f>COUNTIFS($E:$E,$E372,$L:$L,"&gt;"&amp;$L372)+1</f>
        <v/>
      </c>
      <c r="P372" s="108">
        <f>COUNTIFS($E:$E,$E372,$M:$M,"&gt;"&amp;$M372)+1</f>
        <v/>
      </c>
      <c r="Q372" s="108">
        <f>COUNTIFS($E:$E,$E372,$N:$N,"&gt;"&amp;$N372)+1</f>
        <v/>
      </c>
      <c r="R372" s="31" t="inlineStr">
        <is>
          <t>📉 Weak</t>
        </is>
      </c>
      <c r="S372" s="31" t="inlineStr">
        <is>
          <t>🔴 Not Qualified</t>
        </is>
      </c>
      <c r="T372" s="31" t="inlineStr">
        <is>
          <t>🔴 Avoid</t>
        </is>
      </c>
      <c r="U372" s="83" t="inlineStr">
        <is>
          <t>FULL</t>
        </is>
      </c>
    </row>
    <row r="373" ht="16" customHeight="1">
      <c r="A373" s="13" t="n">
        <v>369</v>
      </c>
      <c r="B373" s="14" t="inlineStr">
        <is>
          <t>Navi Nifty 50 Index Fund-Regular Plan-Growth</t>
        </is>
      </c>
      <c r="C373" s="14" t="inlineStr">
        <is>
          <t>Navi Mutual Fund</t>
        </is>
      </c>
      <c r="D373" s="14" t="inlineStr">
        <is>
          <t>Index Funds</t>
        </is>
      </c>
      <c r="E373" s="14" t="inlineStr">
        <is>
          <t>Index Fund</t>
        </is>
      </c>
      <c r="F373" s="16" t="n">
        <v>-0.57</v>
      </c>
      <c r="G373" s="15" t="n">
        <v>2.9</v>
      </c>
      <c r="H373" s="16" t="n">
        <v>-5.86</v>
      </c>
      <c r="I373" s="16" t="n">
        <v>-1.2</v>
      </c>
      <c r="J373" s="15" t="n">
        <v>0.02499687578101373</v>
      </c>
      <c r="K373" s="15" t="n">
        <v>28.07</v>
      </c>
      <c r="L373" s="37" t="n">
        <v>24.6</v>
      </c>
      <c r="M373" s="18" t="n">
        <v>0</v>
      </c>
      <c r="N373" s="19" t="n">
        <v>13.5</v>
      </c>
      <c r="O373" s="108">
        <f>COUNTIFS($E:$E,$E373,$L:$L,"&gt;"&amp;$L373)+1</f>
        <v/>
      </c>
      <c r="P373" s="108">
        <f>COUNTIFS($E:$E,$E373,$M:$M,"&gt;"&amp;$M373)+1</f>
        <v/>
      </c>
      <c r="Q373" s="108">
        <f>COUNTIFS($E:$E,$E373,$N:$N,"&gt;"&amp;$N373)+1</f>
        <v/>
      </c>
      <c r="R373" s="20" t="inlineStr">
        <is>
          <t>📉 Weak</t>
        </is>
      </c>
      <c r="S373" s="20" t="inlineStr">
        <is>
          <t>🔴 Not Qualified</t>
        </is>
      </c>
      <c r="T373" s="20" t="inlineStr">
        <is>
          <t>🔴 Avoid</t>
        </is>
      </c>
      <c r="U373" s="83" t="inlineStr">
        <is>
          <t>FULL</t>
        </is>
      </c>
    </row>
    <row r="374" ht="16" customHeight="1">
      <c r="A374" s="28" t="n">
        <v>370</v>
      </c>
      <c r="B374" s="29" t="inlineStr">
        <is>
          <t>Tata Nifty 50 Exchange Traded Fund</t>
        </is>
      </c>
      <c r="C374" s="29" t="inlineStr">
        <is>
          <t>Tata Mutual Fund</t>
        </is>
      </c>
      <c r="D374" s="29" t="inlineStr">
        <is>
          <t>Other  Etfs</t>
        </is>
      </c>
      <c r="E374" s="29" t="inlineStr">
        <is>
          <t>Index Fund</t>
        </is>
      </c>
      <c r="F374" s="91" t="n">
        <v>-0.55</v>
      </c>
      <c r="G374" s="30" t="n">
        <v>2.96</v>
      </c>
      <c r="H374" s="91" t="n">
        <v>-5.75</v>
      </c>
      <c r="I374" s="91" t="n">
        <v>-0.96</v>
      </c>
      <c r="J374" s="30" t="n">
        <v>0.2895807150473662</v>
      </c>
      <c r="K374" s="30" t="n">
        <v>29.13</v>
      </c>
      <c r="L374" s="37" t="n">
        <v>24.5</v>
      </c>
      <c r="M374" s="18" t="n">
        <v>0</v>
      </c>
      <c r="N374" s="19" t="n">
        <v>13.5</v>
      </c>
      <c r="O374" s="108">
        <f>COUNTIFS($E:$E,$E374,$L:$L,"&gt;"&amp;$L374)+1</f>
        <v/>
      </c>
      <c r="P374" s="108">
        <f>COUNTIFS($E:$E,$E374,$M:$M,"&gt;"&amp;$M374)+1</f>
        <v/>
      </c>
      <c r="Q374" s="108">
        <f>COUNTIFS($E:$E,$E374,$N:$N,"&gt;"&amp;$N374)+1</f>
        <v/>
      </c>
      <c r="R374" s="31" t="inlineStr">
        <is>
          <t>📉 Weak</t>
        </is>
      </c>
      <c r="S374" s="31" t="inlineStr">
        <is>
          <t>🔴 Not Qualified</t>
        </is>
      </c>
      <c r="T374" s="31" t="inlineStr">
        <is>
          <t>🔴 Avoid</t>
        </is>
      </c>
      <c r="U374" s="83" t="inlineStr">
        <is>
          <t>FULL</t>
        </is>
      </c>
    </row>
    <row r="375" ht="16" customHeight="1">
      <c r="A375" s="13" t="n">
        <v>371</v>
      </c>
      <c r="B375" s="14" t="inlineStr">
        <is>
          <t>LIC MF Nifty 50 ETF</t>
        </is>
      </c>
      <c r="C375" s="14" t="inlineStr">
        <is>
          <t>LIC Mutual Fund</t>
        </is>
      </c>
      <c r="D375" s="14" t="inlineStr">
        <is>
          <t>Other  Etfs</t>
        </is>
      </c>
      <c r="E375" s="14" t="inlineStr">
        <is>
          <t>Index Fund</t>
        </is>
      </c>
      <c r="F375" s="16" t="n">
        <v>-0.55</v>
      </c>
      <c r="G375" s="15" t="n">
        <v>2.96</v>
      </c>
      <c r="H375" s="16" t="n">
        <v>-5.76</v>
      </c>
      <c r="I375" s="16" t="n">
        <v>-0.97</v>
      </c>
      <c r="J375" s="15" t="n">
        <v>0.2895807150473662</v>
      </c>
      <c r="K375" s="15" t="n">
        <v>29.03</v>
      </c>
      <c r="L375" s="37" t="n">
        <v>24.2</v>
      </c>
      <c r="M375" s="18" t="n">
        <v>0</v>
      </c>
      <c r="N375" s="19" t="n">
        <v>13.3</v>
      </c>
      <c r="O375" s="108">
        <f>COUNTIFS($E:$E,$E375,$L:$L,"&gt;"&amp;$L375)+1</f>
        <v/>
      </c>
      <c r="P375" s="108">
        <f>COUNTIFS($E:$E,$E375,$M:$M,"&gt;"&amp;$M375)+1</f>
        <v/>
      </c>
      <c r="Q375" s="108">
        <f>COUNTIFS($E:$E,$E375,$N:$N,"&gt;"&amp;$N375)+1</f>
        <v/>
      </c>
      <c r="R375" s="20" t="inlineStr">
        <is>
          <t>📉 Weak</t>
        </is>
      </c>
      <c r="S375" s="20" t="inlineStr">
        <is>
          <t>🔴 Not Qualified</t>
        </is>
      </c>
      <c r="T375" s="20" t="inlineStr">
        <is>
          <t>🔴 Avoid</t>
        </is>
      </c>
      <c r="U375" s="83" t="inlineStr">
        <is>
          <t>FULL</t>
        </is>
      </c>
    </row>
    <row r="376" ht="16" customHeight="1">
      <c r="A376" s="28" t="n">
        <v>372</v>
      </c>
      <c r="B376" s="29" t="inlineStr">
        <is>
          <t>BANDHAN Nifty 50 ETF</t>
        </is>
      </c>
      <c r="C376" s="29" t="inlineStr">
        <is>
          <t>Bandhan Mutual Fund</t>
        </is>
      </c>
      <c r="D376" s="29" t="inlineStr">
        <is>
          <t>Other  Etfs</t>
        </is>
      </c>
      <c r="E376" s="29" t="inlineStr">
        <is>
          <t>Index Fund</t>
        </is>
      </c>
      <c r="F376" s="91" t="n">
        <v>-0.55</v>
      </c>
      <c r="G376" s="30" t="n">
        <v>2.95</v>
      </c>
      <c r="H376" s="91" t="n">
        <v>-5.75</v>
      </c>
      <c r="I376" s="91" t="n">
        <v>-0.98</v>
      </c>
      <c r="J376" s="30" t="n">
        <v>0.279609093773403</v>
      </c>
      <c r="K376" s="30" t="n">
        <v>29.14</v>
      </c>
      <c r="L376" s="37" t="n">
        <v>24.2</v>
      </c>
      <c r="M376" s="18" t="n">
        <v>0</v>
      </c>
      <c r="N376" s="19" t="n">
        <v>13.3</v>
      </c>
      <c r="O376" s="108">
        <f>COUNTIFS($E:$E,$E376,$L:$L,"&gt;"&amp;$L376)+1</f>
        <v/>
      </c>
      <c r="P376" s="108">
        <f>COUNTIFS($E:$E,$E376,$M:$M,"&gt;"&amp;$M376)+1</f>
        <v/>
      </c>
      <c r="Q376" s="108">
        <f>COUNTIFS($E:$E,$E376,$N:$N,"&gt;"&amp;$N376)+1</f>
        <v/>
      </c>
      <c r="R376" s="31" t="inlineStr">
        <is>
          <t>📉 Weak</t>
        </is>
      </c>
      <c r="S376" s="31" t="inlineStr">
        <is>
          <t>🔴 Not Qualified</t>
        </is>
      </c>
      <c r="T376" s="31" t="inlineStr">
        <is>
          <t>🔴 Avoid</t>
        </is>
      </c>
      <c r="U376" s="83" t="inlineStr">
        <is>
          <t>FULL</t>
        </is>
      </c>
    </row>
    <row r="377" ht="16" customHeight="1">
      <c r="A377" s="13" t="n">
        <v>373</v>
      </c>
      <c r="B377" s="14" t="inlineStr">
        <is>
          <t>Kotak Silver ETF</t>
        </is>
      </c>
      <c r="C377" s="14" t="inlineStr">
        <is>
          <t>Kotak Mahindra Mutual Fund</t>
        </is>
      </c>
      <c r="D377" s="14" t="inlineStr">
        <is>
          <t>Other  Etfs</t>
        </is>
      </c>
      <c r="E377" s="14" t="inlineStr">
        <is>
          <t>Silver</t>
        </is>
      </c>
      <c r="F377" s="15" t="n">
        <v>8.17</v>
      </c>
      <c r="G377" s="16" t="n">
        <v>-12.87</v>
      </c>
      <c r="H377" s="16" t="n">
        <v>-90.16</v>
      </c>
      <c r="I377" s="16" t="n">
        <v>-79.97</v>
      </c>
      <c r="J377" s="16" t="n">
        <v>-47.20795514473794</v>
      </c>
      <c r="K377" s="16" t="n">
        <v>-68.01000000000001</v>
      </c>
      <c r="L377" s="37" t="n">
        <v>23.5</v>
      </c>
      <c r="M377" s="18" t="n">
        <v>0</v>
      </c>
      <c r="N377" s="19" t="n">
        <v>12.9</v>
      </c>
      <c r="O377" s="108">
        <f>COUNTIFS($E:$E,$E377,$L:$L,"&gt;"&amp;$L377)+1</f>
        <v/>
      </c>
      <c r="P377" s="108">
        <f>COUNTIFS($E:$E,$E377,$M:$M,"&gt;"&amp;$M377)+1</f>
        <v/>
      </c>
      <c r="Q377" s="108">
        <f>COUNTIFS($E:$E,$E377,$N:$N,"&gt;"&amp;$N377)+1</f>
        <v/>
      </c>
      <c r="R377" s="20" t="inlineStr">
        <is>
          <t>📉 Weak</t>
        </is>
      </c>
      <c r="S377" s="20" t="inlineStr">
        <is>
          <t>🔴 Not Qualified</t>
        </is>
      </c>
      <c r="T377" s="20" t="inlineStr">
        <is>
          <t>🔴 Avoid</t>
        </is>
      </c>
      <c r="U377" s="83" t="inlineStr">
        <is>
          <t>FULL</t>
        </is>
      </c>
    </row>
    <row r="378" ht="16" customHeight="1">
      <c r="A378" s="28" t="n">
        <v>374</v>
      </c>
      <c r="B378" s="29" t="inlineStr">
        <is>
          <t>CPSE ETF</t>
        </is>
      </c>
      <c r="C378" s="29" t="inlineStr">
        <is>
          <t>Nippon India Mutual Fund</t>
        </is>
      </c>
      <c r="D378" s="29" t="inlineStr">
        <is>
          <t>Other  Etfs</t>
        </is>
      </c>
      <c r="E378" s="29" t="inlineStr">
        <is>
          <t>Standard Equity/Debt</t>
        </is>
      </c>
      <c r="F378" s="91" t="n">
        <v>-1.95</v>
      </c>
      <c r="G378" s="91" t="n">
        <v>-10.2</v>
      </c>
      <c r="H378" s="91" t="n">
        <v>-6.83</v>
      </c>
      <c r="I378" s="30" t="n">
        <v>3.73</v>
      </c>
      <c r="J378" s="91" t="n">
        <v>-3.958342371656243</v>
      </c>
      <c r="K378" s="30" t="n">
        <v>100.1</v>
      </c>
      <c r="L378" s="37" t="n">
        <v>23.3</v>
      </c>
      <c r="M378" s="18" t="n">
        <v>0</v>
      </c>
      <c r="N378" s="19" t="n">
        <v>12.8</v>
      </c>
      <c r="O378" s="108">
        <f>COUNTIFS($E:$E,$E378,$L:$L,"&gt;"&amp;$L378)+1</f>
        <v/>
      </c>
      <c r="P378" s="108">
        <f>COUNTIFS($E:$E,$E378,$M:$M,"&gt;"&amp;$M378)+1</f>
        <v/>
      </c>
      <c r="Q378" s="108">
        <f>COUNTIFS($E:$E,$E378,$N:$N,"&gt;"&amp;$N378)+1</f>
        <v/>
      </c>
      <c r="R378" s="31" t="inlineStr">
        <is>
          <t>📉 Weak</t>
        </is>
      </c>
      <c r="S378" s="31" t="inlineStr">
        <is>
          <t>🔴 Not Qualified</t>
        </is>
      </c>
      <c r="T378" s="31" t="inlineStr">
        <is>
          <t>🔴 Avoid</t>
        </is>
      </c>
      <c r="U378" s="83" t="inlineStr">
        <is>
          <t>FULL</t>
        </is>
      </c>
    </row>
    <row r="379" ht="16" customHeight="1">
      <c r="A379" s="13" t="n">
        <v>375</v>
      </c>
      <c r="B379" s="14" t="inlineStr">
        <is>
          <t>Nippon India Index Fund - Nifty 50 Plan - Growth Plan - Bonus Option</t>
        </is>
      </c>
      <c r="C379" s="14" t="inlineStr">
        <is>
          <t>Nippon India Mutual Fund</t>
        </is>
      </c>
      <c r="D379" s="14" t="inlineStr">
        <is>
          <t>Index Funds</t>
        </is>
      </c>
      <c r="E379" s="14" t="inlineStr">
        <is>
          <t>Index Fund</t>
        </is>
      </c>
      <c r="F379" s="16" t="n">
        <v>-0.57</v>
      </c>
      <c r="G379" s="15" t="n">
        <v>2.88</v>
      </c>
      <c r="H379" s="16" t="n">
        <v>-5.89</v>
      </c>
      <c r="I379" s="16" t="n">
        <v>-1.3</v>
      </c>
      <c r="J379" s="16" t="n">
        <v>-0.08503615573891565</v>
      </c>
      <c r="K379" s="15" t="n">
        <v>27.5</v>
      </c>
      <c r="L379" s="37" t="n">
        <v>23.2</v>
      </c>
      <c r="M379" s="18" t="n">
        <v>0</v>
      </c>
      <c r="N379" s="19" t="n">
        <v>12.8</v>
      </c>
      <c r="O379" s="108">
        <f>COUNTIFS($E:$E,$E379,$L:$L,"&gt;"&amp;$L379)+1</f>
        <v/>
      </c>
      <c r="P379" s="108">
        <f>COUNTIFS($E:$E,$E379,$M:$M,"&gt;"&amp;$M379)+1</f>
        <v/>
      </c>
      <c r="Q379" s="108">
        <f>COUNTIFS($E:$E,$E379,$N:$N,"&gt;"&amp;$N379)+1</f>
        <v/>
      </c>
      <c r="R379" s="20" t="inlineStr">
        <is>
          <t>📉 Weak</t>
        </is>
      </c>
      <c r="S379" s="20" t="inlineStr">
        <is>
          <t>🔴 Not Qualified</t>
        </is>
      </c>
      <c r="T379" s="20" t="inlineStr">
        <is>
          <t>🔴 Avoid</t>
        </is>
      </c>
      <c r="U379" s="83" t="inlineStr">
        <is>
          <t>FULL</t>
        </is>
      </c>
    </row>
    <row r="380" ht="16" customHeight="1">
      <c r="A380" s="28" t="n">
        <v>376</v>
      </c>
      <c r="B380" s="29" t="inlineStr">
        <is>
          <t>Nippon India Index Fund - Nifty 50 Plan - Growth Plan - Growth Option</t>
        </is>
      </c>
      <c r="C380" s="29" t="inlineStr">
        <is>
          <t>Nippon India Mutual Fund</t>
        </is>
      </c>
      <c r="D380" s="29" t="inlineStr">
        <is>
          <t>Index Funds</t>
        </is>
      </c>
      <c r="E380" s="29" t="inlineStr">
        <is>
          <t>Index Fund</t>
        </is>
      </c>
      <c r="F380" s="91" t="n">
        <v>-0.57</v>
      </c>
      <c r="G380" s="30" t="n">
        <v>2.88</v>
      </c>
      <c r="H380" s="91" t="n">
        <v>-5.89</v>
      </c>
      <c r="I380" s="91" t="n">
        <v>-1.3</v>
      </c>
      <c r="J380" s="91" t="n">
        <v>-0.08503615573891565</v>
      </c>
      <c r="K380" s="30" t="n">
        <v>27.5</v>
      </c>
      <c r="L380" s="37" t="n">
        <v>23.2</v>
      </c>
      <c r="M380" s="18" t="n">
        <v>0</v>
      </c>
      <c r="N380" s="19" t="n">
        <v>12.8</v>
      </c>
      <c r="O380" s="108">
        <f>COUNTIFS($E:$E,$E380,$L:$L,"&gt;"&amp;$L380)+1</f>
        <v/>
      </c>
      <c r="P380" s="108">
        <f>COUNTIFS($E:$E,$E380,$M:$M,"&gt;"&amp;$M380)+1</f>
        <v/>
      </c>
      <c r="Q380" s="108">
        <f>COUNTIFS($E:$E,$E380,$N:$N,"&gt;"&amp;$N380)+1</f>
        <v/>
      </c>
      <c r="R380" s="31" t="inlineStr">
        <is>
          <t>📉 Weak</t>
        </is>
      </c>
      <c r="S380" s="31" t="inlineStr">
        <is>
          <t>🔴 Not Qualified</t>
        </is>
      </c>
      <c r="T380" s="31" t="inlineStr">
        <is>
          <t>🔴 Avoid</t>
        </is>
      </c>
      <c r="U380" s="83" t="inlineStr">
        <is>
          <t>FULL</t>
        </is>
      </c>
    </row>
    <row r="381" ht="16" customHeight="1">
      <c r="A381" s="13" t="n">
        <v>377</v>
      </c>
      <c r="B381" s="14" t="inlineStr">
        <is>
          <t>ICICI Prudential Nifty 50 Index Fund - Cumulative Option</t>
        </is>
      </c>
      <c r="C381" s="14" t="inlineStr">
        <is>
          <t>ICICI Prudential Mutual Fund</t>
        </is>
      </c>
      <c r="D381" s="14" t="inlineStr">
        <is>
          <t>Index Funds</t>
        </is>
      </c>
      <c r="E381" s="14" t="inlineStr">
        <is>
          <t>Index Fund</t>
        </is>
      </c>
      <c r="F381" s="16" t="n">
        <v>-0.58</v>
      </c>
      <c r="G381" s="15" t="n">
        <v>2.88</v>
      </c>
      <c r="H381" s="16" t="n">
        <v>-5.89</v>
      </c>
      <c r="I381" s="16" t="n">
        <v>-1.27</v>
      </c>
      <c r="J381" s="16" t="n">
        <v>-0.04000800320159703</v>
      </c>
      <c r="K381" s="15" t="n">
        <v>27.9</v>
      </c>
      <c r="L381" s="37" t="n">
        <v>23.1</v>
      </c>
      <c r="M381" s="18" t="n">
        <v>0</v>
      </c>
      <c r="N381" s="19" t="n">
        <v>12.7</v>
      </c>
      <c r="O381" s="108">
        <f>COUNTIFS($E:$E,$E381,$L:$L,"&gt;"&amp;$L381)+1</f>
        <v/>
      </c>
      <c r="P381" s="108">
        <f>COUNTIFS($E:$E,$E381,$M:$M,"&gt;"&amp;$M381)+1</f>
        <v/>
      </c>
      <c r="Q381" s="108">
        <f>COUNTIFS($E:$E,$E381,$N:$N,"&gt;"&amp;$N381)+1</f>
        <v/>
      </c>
      <c r="R381" s="20" t="inlineStr">
        <is>
          <t>📉 Weak</t>
        </is>
      </c>
      <c r="S381" s="20" t="inlineStr">
        <is>
          <t>🔴 Not Qualified</t>
        </is>
      </c>
      <c r="T381" s="20" t="inlineStr">
        <is>
          <t>🔴 Avoid</t>
        </is>
      </c>
      <c r="U381" s="83" t="inlineStr">
        <is>
          <t>FULL</t>
        </is>
      </c>
    </row>
    <row r="382" ht="16" customHeight="1">
      <c r="A382" s="28" t="n">
        <v>378</v>
      </c>
      <c r="B382" s="29" t="inlineStr">
        <is>
          <t>ICICI Prudential BSE Sensex ETF</t>
        </is>
      </c>
      <c r="C382" s="29" t="inlineStr">
        <is>
          <t>ICICI Prudential Mutual Fund</t>
        </is>
      </c>
      <c r="D382" s="29" t="inlineStr">
        <is>
          <t>Other  Etfs</t>
        </is>
      </c>
      <c r="E382" s="29" t="inlineStr">
        <is>
          <t>Index Fund</t>
        </is>
      </c>
      <c r="F382" s="91" t="n">
        <v>-0.97</v>
      </c>
      <c r="G382" s="30" t="n">
        <v>3.4</v>
      </c>
      <c r="H382" s="91" t="n">
        <v>-7.03</v>
      </c>
      <c r="I382" s="91" t="n">
        <v>-3.19</v>
      </c>
      <c r="J382" s="91" t="n">
        <v>-0.924271387993314</v>
      </c>
      <c r="K382" s="30" t="n">
        <v>23.04</v>
      </c>
      <c r="L382" s="37" t="n">
        <v>23</v>
      </c>
      <c r="M382" s="18" t="n">
        <v>0</v>
      </c>
      <c r="N382" s="19" t="n">
        <v>12.6</v>
      </c>
      <c r="O382" s="108">
        <f>COUNTIFS($E:$E,$E382,$L:$L,"&gt;"&amp;$L382)+1</f>
        <v/>
      </c>
      <c r="P382" s="108">
        <f>COUNTIFS($E:$E,$E382,$M:$M,"&gt;"&amp;$M382)+1</f>
        <v/>
      </c>
      <c r="Q382" s="108">
        <f>COUNTIFS($E:$E,$E382,$N:$N,"&gt;"&amp;$N382)+1</f>
        <v/>
      </c>
      <c r="R382" s="31" t="inlineStr">
        <is>
          <t>📉 Weak</t>
        </is>
      </c>
      <c r="S382" s="31" t="inlineStr">
        <is>
          <t>🔴 Not Qualified</t>
        </is>
      </c>
      <c r="T382" s="31" t="inlineStr">
        <is>
          <t>🔴 Avoid</t>
        </is>
      </c>
      <c r="U382" s="83" t="inlineStr">
        <is>
          <t>FULL</t>
        </is>
      </c>
    </row>
    <row r="383" ht="16" customHeight="1">
      <c r="A383" s="13" t="n">
        <v>379</v>
      </c>
      <c r="B383" s="14" t="inlineStr">
        <is>
          <t>Edelweiss Nifty 50 Index Fund Regular Plan Growth</t>
        </is>
      </c>
      <c r="C383" s="14" t="inlineStr">
        <is>
          <t>Edelweiss Mutual Fund</t>
        </is>
      </c>
      <c r="D383" s="14" t="inlineStr">
        <is>
          <t>Index Funds</t>
        </is>
      </c>
      <c r="E383" s="14" t="inlineStr">
        <is>
          <t>Index Fund</t>
        </is>
      </c>
      <c r="F383" s="16" t="n">
        <v>-0.58</v>
      </c>
      <c r="G383" s="15" t="n">
        <v>2.89</v>
      </c>
      <c r="H383" s="16" t="n">
        <v>-5.9</v>
      </c>
      <c r="I383" s="16" t="n">
        <v>-1.34</v>
      </c>
      <c r="J383" s="16" t="n">
        <v>-0.1551203115552902</v>
      </c>
      <c r="K383" s="15" t="n">
        <v>27.07</v>
      </c>
      <c r="L383" s="37" t="n">
        <v>22.7</v>
      </c>
      <c r="M383" s="18" t="n">
        <v>0</v>
      </c>
      <c r="N383" s="19" t="n">
        <v>12.5</v>
      </c>
      <c r="O383" s="108">
        <f>COUNTIFS($E:$E,$E383,$L:$L,"&gt;"&amp;$L383)+1</f>
        <v/>
      </c>
      <c r="P383" s="108">
        <f>COUNTIFS($E:$E,$E383,$M:$M,"&gt;"&amp;$M383)+1</f>
        <v/>
      </c>
      <c r="Q383" s="108">
        <f>COUNTIFS($E:$E,$E383,$N:$N,"&gt;"&amp;$N383)+1</f>
        <v/>
      </c>
      <c r="R383" s="20" t="inlineStr">
        <is>
          <t>📉 Weak</t>
        </is>
      </c>
      <c r="S383" s="20" t="inlineStr">
        <is>
          <t>🔴 Not Qualified</t>
        </is>
      </c>
      <c r="T383" s="20" t="inlineStr">
        <is>
          <t>🔴 Avoid</t>
        </is>
      </c>
      <c r="U383" s="83" t="inlineStr">
        <is>
          <t>FULL</t>
        </is>
      </c>
    </row>
    <row r="384" ht="16" customHeight="1">
      <c r="A384" s="28" t="n">
        <v>380</v>
      </c>
      <c r="B384" s="29" t="inlineStr">
        <is>
          <t>HDFC Nifty 50 Index Fund - Growth Plan</t>
        </is>
      </c>
      <c r="C384" s="29" t="inlineStr">
        <is>
          <t>HDFC Mutual Fund</t>
        </is>
      </c>
      <c r="D384" s="29" t="inlineStr">
        <is>
          <t>Index Funds</t>
        </is>
      </c>
      <c r="E384" s="29" t="inlineStr">
        <is>
          <t>Index Fund</t>
        </is>
      </c>
      <c r="F384" s="91" t="n">
        <v>-0.58</v>
      </c>
      <c r="G384" s="30" t="n">
        <v>2.87</v>
      </c>
      <c r="H384" s="91" t="n">
        <v>-5.91</v>
      </c>
      <c r="I384" s="91" t="n">
        <v>-1.28</v>
      </c>
      <c r="J384" s="91" t="n">
        <v>-0.03000450135051125</v>
      </c>
      <c r="K384" s="30" t="n">
        <v>27.94</v>
      </c>
      <c r="L384" s="37" t="n">
        <v>22.6</v>
      </c>
      <c r="M384" s="18" t="n">
        <v>0</v>
      </c>
      <c r="N384" s="19" t="n">
        <v>12.5</v>
      </c>
      <c r="O384" s="108">
        <f>COUNTIFS($E:$E,$E384,$L:$L,"&gt;"&amp;$L384)+1</f>
        <v/>
      </c>
      <c r="P384" s="108">
        <f>COUNTIFS($E:$E,$E384,$M:$M,"&gt;"&amp;$M384)+1</f>
        <v/>
      </c>
      <c r="Q384" s="108">
        <f>COUNTIFS($E:$E,$E384,$N:$N,"&gt;"&amp;$N384)+1</f>
        <v/>
      </c>
      <c r="R384" s="31" t="inlineStr">
        <is>
          <t>📉 Weak</t>
        </is>
      </c>
      <c r="S384" s="31" t="inlineStr">
        <is>
          <t>🔴 Not Qualified</t>
        </is>
      </c>
      <c r="T384" s="31" t="inlineStr">
        <is>
          <t>🔴 Avoid</t>
        </is>
      </c>
      <c r="U384" s="83" t="inlineStr">
        <is>
          <t>FULL</t>
        </is>
      </c>
    </row>
    <row r="385" ht="16" customHeight="1">
      <c r="A385" s="13" t="n">
        <v>381</v>
      </c>
      <c r="B385" s="14" t="inlineStr">
        <is>
          <t>Axis Nifty 50 Index Fund - Regular Plan - Growth Option</t>
        </is>
      </c>
      <c r="C385" s="14" t="inlineStr">
        <is>
          <t>Axis Mutual Fund</t>
        </is>
      </c>
      <c r="D385" s="14" t="inlineStr">
        <is>
          <t>Index Funds</t>
        </is>
      </c>
      <c r="E385" s="14" t="inlineStr">
        <is>
          <t>Index Fund</t>
        </is>
      </c>
      <c r="F385" s="16" t="n">
        <v>-0.58</v>
      </c>
      <c r="G385" s="15" t="n">
        <v>2.87</v>
      </c>
      <c r="H385" s="16" t="n">
        <v>-5.89</v>
      </c>
      <c r="I385" s="16" t="n">
        <v>-1.31</v>
      </c>
      <c r="J385" s="16" t="n">
        <v>-0.05501513332447638</v>
      </c>
      <c r="K385" s="15" t="n">
        <v>27.71</v>
      </c>
      <c r="L385" s="37" t="n">
        <v>22.6</v>
      </c>
      <c r="M385" s="18" t="n">
        <v>0</v>
      </c>
      <c r="N385" s="19" t="n">
        <v>12.4</v>
      </c>
      <c r="O385" s="108">
        <f>COUNTIFS($E:$E,$E385,$L:$L,"&gt;"&amp;$L385)+1</f>
        <v/>
      </c>
      <c r="P385" s="108">
        <f>COUNTIFS($E:$E,$E385,$M:$M,"&gt;"&amp;$M385)+1</f>
        <v/>
      </c>
      <c r="Q385" s="108">
        <f>COUNTIFS($E:$E,$E385,$N:$N,"&gt;"&amp;$N385)+1</f>
        <v/>
      </c>
      <c r="R385" s="20" t="inlineStr">
        <is>
          <t>📉 Weak</t>
        </is>
      </c>
      <c r="S385" s="20" t="inlineStr">
        <is>
          <t>🔴 Not Qualified</t>
        </is>
      </c>
      <c r="T385" s="20" t="inlineStr">
        <is>
          <t>🔴 Avoid</t>
        </is>
      </c>
      <c r="U385" s="83" t="inlineStr">
        <is>
          <t>FULL</t>
        </is>
      </c>
    </row>
    <row r="386" ht="16" customHeight="1">
      <c r="A386" s="28" t="n">
        <v>382</v>
      </c>
      <c r="B386" s="29" t="inlineStr">
        <is>
          <t>Mirae Asset Nifty Financial Services ETF</t>
        </is>
      </c>
      <c r="C386" s="29" t="inlineStr">
        <is>
          <t>Mirae Asset Mutual Fund</t>
        </is>
      </c>
      <c r="D386" s="29" t="inlineStr">
        <is>
          <t>Other  Etfs</t>
        </is>
      </c>
      <c r="E386" s="29" t="inlineStr">
        <is>
          <t>Banking/Financial</t>
        </is>
      </c>
      <c r="F386" s="91" t="n">
        <v>-2.8</v>
      </c>
      <c r="G386" s="30" t="n">
        <v>3.84</v>
      </c>
      <c r="H386" s="91" t="n">
        <v>-7.59</v>
      </c>
      <c r="I386" s="91" t="n">
        <v>-0.16</v>
      </c>
      <c r="J386" s="30" t="n">
        <v>7.438354417777648</v>
      </c>
      <c r="K386" s="30" t="n">
        <v>37.23</v>
      </c>
      <c r="L386" s="37" t="n">
        <v>22.5</v>
      </c>
      <c r="M386" s="18" t="n">
        <v>0</v>
      </c>
      <c r="N386" s="19" t="n">
        <v>12.4</v>
      </c>
      <c r="O386" s="108">
        <f>COUNTIFS($E:$E,$E386,$L:$L,"&gt;"&amp;$L386)+1</f>
        <v/>
      </c>
      <c r="P386" s="108">
        <f>COUNTIFS($E:$E,$E386,$M:$M,"&gt;"&amp;$M386)+1</f>
        <v/>
      </c>
      <c r="Q386" s="108">
        <f>COUNTIFS($E:$E,$E386,$N:$N,"&gt;"&amp;$N386)+1</f>
        <v/>
      </c>
      <c r="R386" s="31" t="inlineStr">
        <is>
          <t>📉 Weak</t>
        </is>
      </c>
      <c r="S386" s="31" t="inlineStr">
        <is>
          <t>🔴 Not Qualified</t>
        </is>
      </c>
      <c r="T386" s="31" t="inlineStr">
        <is>
          <t>🔴 Avoid</t>
        </is>
      </c>
      <c r="U386" s="83" t="inlineStr">
        <is>
          <t>FULL</t>
        </is>
      </c>
    </row>
    <row r="387" ht="16" customHeight="1">
      <c r="A387" s="13" t="n">
        <v>383</v>
      </c>
      <c r="B387" s="14" t="inlineStr">
        <is>
          <t>SBI NIFTY INDEX FUND - REGULAR PLAN - GROWTH</t>
        </is>
      </c>
      <c r="C387" s="14" t="inlineStr">
        <is>
          <t>SBI Mutual Fund</t>
        </is>
      </c>
      <c r="D387" s="14" t="inlineStr">
        <is>
          <t>Index Funds</t>
        </is>
      </c>
      <c r="E387" s="14" t="inlineStr">
        <is>
          <t>Index Fund</t>
        </is>
      </c>
      <c r="F387" s="16" t="n">
        <v>-0.58</v>
      </c>
      <c r="G387" s="15" t="n">
        <v>2.88</v>
      </c>
      <c r="H387" s="16" t="n">
        <v>-5.92</v>
      </c>
      <c r="I387" s="16" t="n">
        <v>-1.33</v>
      </c>
      <c r="J387" s="16" t="n">
        <v>-0.1100605666416454</v>
      </c>
      <c r="K387" s="15" t="n">
        <v>27.59</v>
      </c>
      <c r="L387" s="37" t="n">
        <v>22.3</v>
      </c>
      <c r="M387" s="18" t="n">
        <v>0</v>
      </c>
      <c r="N387" s="19" t="n">
        <v>12.3</v>
      </c>
      <c r="O387" s="108">
        <f>COUNTIFS($E:$E,$E387,$L:$L,"&gt;"&amp;$L387)+1</f>
        <v/>
      </c>
      <c r="P387" s="108">
        <f>COUNTIFS($E:$E,$E387,$M:$M,"&gt;"&amp;$M387)+1</f>
        <v/>
      </c>
      <c r="Q387" s="108">
        <f>COUNTIFS($E:$E,$E387,$N:$N,"&gt;"&amp;$N387)+1</f>
        <v/>
      </c>
      <c r="R387" s="20" t="inlineStr">
        <is>
          <t>📉 Weak</t>
        </is>
      </c>
      <c r="S387" s="20" t="inlineStr">
        <is>
          <t>🔴 Not Qualified</t>
        </is>
      </c>
      <c r="T387" s="20" t="inlineStr">
        <is>
          <t>🔴 Avoid</t>
        </is>
      </c>
      <c r="U387" s="83" t="inlineStr">
        <is>
          <t>FULL</t>
        </is>
      </c>
    </row>
    <row r="388" ht="16" customHeight="1">
      <c r="A388" s="28" t="n">
        <v>384</v>
      </c>
      <c r="B388" s="29" t="inlineStr">
        <is>
          <t>DSP BSE Sensex ETF</t>
        </is>
      </c>
      <c r="C388" s="29" t="inlineStr">
        <is>
          <t>DSP Mutual Fund</t>
        </is>
      </c>
      <c r="D388" s="29" t="inlineStr">
        <is>
          <t>Other  Etfs</t>
        </is>
      </c>
      <c r="E388" s="29" t="inlineStr">
        <is>
          <t>Index Fund</t>
        </is>
      </c>
      <c r="F388" s="91" t="n">
        <v>-0.98</v>
      </c>
      <c r="G388" s="30" t="n">
        <v>3.38</v>
      </c>
      <c r="H388" s="91" t="n">
        <v>-7.02</v>
      </c>
      <c r="I388" s="91" t="n">
        <v>-3.18</v>
      </c>
      <c r="J388" s="91" t="n">
        <v>-0.9949496237691924</v>
      </c>
      <c r="K388" s="30" t="n">
        <v>22.64</v>
      </c>
      <c r="L388" s="37" t="n">
        <v>21.8</v>
      </c>
      <c r="M388" s="18" t="n">
        <v>0</v>
      </c>
      <c r="N388" s="19" t="n">
        <v>12</v>
      </c>
      <c r="O388" s="108">
        <f>COUNTIFS($E:$E,$E388,$L:$L,"&gt;"&amp;$L388)+1</f>
        <v/>
      </c>
      <c r="P388" s="108">
        <f>COUNTIFS($E:$E,$E388,$M:$M,"&gt;"&amp;$M388)+1</f>
        <v/>
      </c>
      <c r="Q388" s="108">
        <f>COUNTIFS($E:$E,$E388,$N:$N,"&gt;"&amp;$N388)+1</f>
        <v/>
      </c>
      <c r="R388" s="31" t="inlineStr">
        <is>
          <t>📉 Weak</t>
        </is>
      </c>
      <c r="S388" s="31" t="inlineStr">
        <is>
          <t>🔴 Not Qualified</t>
        </is>
      </c>
      <c r="T388" s="31" t="inlineStr">
        <is>
          <t>🔴 Avoid</t>
        </is>
      </c>
      <c r="U388" s="83" t="inlineStr">
        <is>
          <t>FULL</t>
        </is>
      </c>
    </row>
    <row r="389" ht="16" customHeight="1">
      <c r="A389" s="13" t="n">
        <v>385</v>
      </c>
      <c r="B389" s="14" t="inlineStr">
        <is>
          <t>Aditya Birla Sun Life Nifty 50 Index Fund - Growth - Regular Plan</t>
        </is>
      </c>
      <c r="C389" s="14" t="inlineStr">
        <is>
          <t>Aditya Birla Sun Life Mutual Fund</t>
        </is>
      </c>
      <c r="D389" s="14" t="inlineStr">
        <is>
          <t>Index Funds</t>
        </is>
      </c>
      <c r="E389" s="14" t="inlineStr">
        <is>
          <t>Index Fund</t>
        </is>
      </c>
      <c r="F389" s="16" t="n">
        <v>-0.59</v>
      </c>
      <c r="G389" s="15" t="n">
        <v>2.85</v>
      </c>
      <c r="H389" s="16" t="n">
        <v>-5.95</v>
      </c>
      <c r="I389" s="16" t="n">
        <v>-1.36</v>
      </c>
      <c r="J389" s="16" t="n">
        <v>-0.120072086529821</v>
      </c>
      <c r="K389" s="15" t="n">
        <v>27.58</v>
      </c>
      <c r="L389" s="37" t="n">
        <v>21.3</v>
      </c>
      <c r="M389" s="18" t="n">
        <v>0</v>
      </c>
      <c r="N389" s="19" t="n">
        <v>11.7</v>
      </c>
      <c r="O389" s="108">
        <f>COUNTIFS($E:$E,$E389,$L:$L,"&gt;"&amp;$L389)+1</f>
        <v/>
      </c>
      <c r="P389" s="108">
        <f>COUNTIFS($E:$E,$E389,$M:$M,"&gt;"&amp;$M389)+1</f>
        <v/>
      </c>
      <c r="Q389" s="108">
        <f>COUNTIFS($E:$E,$E389,$N:$N,"&gt;"&amp;$N389)+1</f>
        <v/>
      </c>
      <c r="R389" s="20" t="inlineStr">
        <is>
          <t>📉 Weak</t>
        </is>
      </c>
      <c r="S389" s="20" t="inlineStr">
        <is>
          <t>🔴 Not Qualified</t>
        </is>
      </c>
      <c r="T389" s="20" t="inlineStr">
        <is>
          <t>🔴 Avoid</t>
        </is>
      </c>
      <c r="U389" s="83" t="inlineStr">
        <is>
          <t>FULL</t>
        </is>
      </c>
    </row>
    <row r="390" ht="16" customHeight="1">
      <c r="A390" s="28" t="n">
        <v>386</v>
      </c>
      <c r="B390" s="29" t="inlineStr">
        <is>
          <t>Motilal Oswal Nifty 50 Index Fund - Regular plan - Growth</t>
        </is>
      </c>
      <c r="C390" s="29" t="inlineStr">
        <is>
          <t>Motilal Oswal Mutual Fund</t>
        </is>
      </c>
      <c r="D390" s="29" t="inlineStr">
        <is>
          <t>Index Funds</t>
        </is>
      </c>
      <c r="E390" s="29" t="inlineStr">
        <is>
          <t>Index Fund</t>
        </is>
      </c>
      <c r="F390" s="91" t="n">
        <v>-0.59</v>
      </c>
      <c r="G390" s="30" t="n">
        <v>2.85</v>
      </c>
      <c r="H390" s="91" t="n">
        <v>-5.96</v>
      </c>
      <c r="I390" s="91" t="n">
        <v>-1.4</v>
      </c>
      <c r="J390" s="91" t="n">
        <v>-0.1801622922577573</v>
      </c>
      <c r="K390" s="30" t="n">
        <v>27.36</v>
      </c>
      <c r="L390" s="37" t="n">
        <v>21.1</v>
      </c>
      <c r="M390" s="18" t="n">
        <v>0</v>
      </c>
      <c r="N390" s="19" t="n">
        <v>11.6</v>
      </c>
      <c r="O390" s="108">
        <f>COUNTIFS($E:$E,$E390,$L:$L,"&gt;"&amp;$L390)+1</f>
        <v/>
      </c>
      <c r="P390" s="108">
        <f>COUNTIFS($E:$E,$E390,$M:$M,"&gt;"&amp;$M390)+1</f>
        <v/>
      </c>
      <c r="Q390" s="108">
        <f>COUNTIFS($E:$E,$E390,$N:$N,"&gt;"&amp;$N390)+1</f>
        <v/>
      </c>
      <c r="R390" s="31" t="inlineStr">
        <is>
          <t>📉 Weak</t>
        </is>
      </c>
      <c r="S390" s="31" t="inlineStr">
        <is>
          <t>🔴 Not Qualified</t>
        </is>
      </c>
      <c r="T390" s="31" t="inlineStr">
        <is>
          <t>🔴 Avoid</t>
        </is>
      </c>
      <c r="U390" s="83" t="inlineStr">
        <is>
          <t>FULL</t>
        </is>
      </c>
    </row>
    <row r="391" ht="16" customHeight="1">
      <c r="A391" s="13" t="n">
        <v>387</v>
      </c>
      <c r="B391" s="14" t="inlineStr">
        <is>
          <t>Quantum Nifty 50 ETF</t>
        </is>
      </c>
      <c r="C391" s="14" t="inlineStr">
        <is>
          <t>Quantum Mutual Fund</t>
        </is>
      </c>
      <c r="D391" s="14" t="inlineStr">
        <is>
          <t>Other  Etfs</t>
        </is>
      </c>
      <c r="E391" s="14" t="inlineStr">
        <is>
          <t>Index Fund</t>
        </is>
      </c>
      <c r="F391" s="16" t="n">
        <v>-0.55</v>
      </c>
      <c r="G391" s="15" t="n">
        <v>2.97</v>
      </c>
      <c r="H391" s="16" t="n">
        <v>-5.74</v>
      </c>
      <c r="I391" s="16" t="n">
        <v>-90.09999999999999</v>
      </c>
      <c r="J391" s="16" t="n">
        <v>-68.28249694569259</v>
      </c>
      <c r="K391" s="16" t="n">
        <v>-87.09</v>
      </c>
      <c r="L391" s="37" t="n">
        <v>21.1</v>
      </c>
      <c r="M391" s="18" t="n">
        <v>0</v>
      </c>
      <c r="N391" s="19" t="n">
        <v>11.6</v>
      </c>
      <c r="O391" s="108">
        <f>COUNTIFS($E:$E,$E391,$L:$L,"&gt;"&amp;$L391)+1</f>
        <v/>
      </c>
      <c r="P391" s="108">
        <f>COUNTIFS($E:$E,$E391,$M:$M,"&gt;"&amp;$M391)+1</f>
        <v/>
      </c>
      <c r="Q391" s="108">
        <f>COUNTIFS($E:$E,$E391,$N:$N,"&gt;"&amp;$N391)+1</f>
        <v/>
      </c>
      <c r="R391" s="20" t="inlineStr">
        <is>
          <t>📉 Weak</t>
        </is>
      </c>
      <c r="S391" s="20" t="inlineStr">
        <is>
          <t>🔴 Not Qualified</t>
        </is>
      </c>
      <c r="T391" s="20" t="inlineStr">
        <is>
          <t>🔴 Avoid</t>
        </is>
      </c>
      <c r="U391" s="83" t="inlineStr">
        <is>
          <t>FULL</t>
        </is>
      </c>
    </row>
    <row r="392" ht="16" customHeight="1">
      <c r="A392" s="28" t="n">
        <v>388</v>
      </c>
      <c r="B392" s="29" t="inlineStr">
        <is>
          <t>UTI BSE Sensex ETF</t>
        </is>
      </c>
      <c r="C392" s="29" t="inlineStr">
        <is>
          <t>UTI Mutual Fund</t>
        </is>
      </c>
      <c r="D392" s="29" t="inlineStr">
        <is>
          <t>Other  Etfs</t>
        </is>
      </c>
      <c r="E392" s="29" t="inlineStr">
        <is>
          <t>Index Fund</t>
        </is>
      </c>
      <c r="F392" s="91" t="n">
        <v>-0.98</v>
      </c>
      <c r="G392" s="30" t="n">
        <v>3.39</v>
      </c>
      <c r="H392" s="91" t="n">
        <v>-7.04</v>
      </c>
      <c r="I392" s="91" t="n">
        <v>-3.19</v>
      </c>
      <c r="J392" s="91" t="n">
        <v>-0.9343651915559525</v>
      </c>
      <c r="K392" s="30" t="n">
        <v>22.94</v>
      </c>
      <c r="L392" s="37" t="n">
        <v>21.1</v>
      </c>
      <c r="M392" s="18" t="n">
        <v>0</v>
      </c>
      <c r="N392" s="19" t="n">
        <v>11.6</v>
      </c>
      <c r="O392" s="108">
        <f>COUNTIFS($E:$E,$E392,$L:$L,"&gt;"&amp;$L392)+1</f>
        <v/>
      </c>
      <c r="P392" s="108">
        <f>COUNTIFS($E:$E,$E392,$M:$M,"&gt;"&amp;$M392)+1</f>
        <v/>
      </c>
      <c r="Q392" s="108">
        <f>COUNTIFS($E:$E,$E392,$N:$N,"&gt;"&amp;$N392)+1</f>
        <v/>
      </c>
      <c r="R392" s="31" t="inlineStr">
        <is>
          <t>📉 Weak</t>
        </is>
      </c>
      <c r="S392" s="31" t="inlineStr">
        <is>
          <t>🔴 Not Qualified</t>
        </is>
      </c>
      <c r="T392" s="31" t="inlineStr">
        <is>
          <t>🔴 Avoid</t>
        </is>
      </c>
      <c r="U392" s="83" t="inlineStr">
        <is>
          <t>FULL</t>
        </is>
      </c>
    </row>
    <row r="393" ht="16" customHeight="1">
      <c r="A393" s="13" t="n">
        <v>389</v>
      </c>
      <c r="B393" s="14" t="inlineStr">
        <is>
          <t>Axis BSE Sensex ETF</t>
        </is>
      </c>
      <c r="C393" s="14" t="inlineStr">
        <is>
          <t>Axis Mutual Fund</t>
        </is>
      </c>
      <c r="D393" s="14" t="inlineStr">
        <is>
          <t>Other  Etfs</t>
        </is>
      </c>
      <c r="E393" s="14" t="inlineStr">
        <is>
          <t>Index Fund</t>
        </is>
      </c>
      <c r="F393" s="16" t="n">
        <v>-0.98</v>
      </c>
      <c r="G393" s="15" t="n">
        <v>3.39</v>
      </c>
      <c r="H393" s="16" t="n">
        <v>-7.04</v>
      </c>
      <c r="I393" s="16" t="n">
        <v>-3.2</v>
      </c>
      <c r="J393" s="16" t="n">
        <v>-0.9293181612239021</v>
      </c>
      <c r="K393" s="15" t="n">
        <v>22.82</v>
      </c>
      <c r="L393" s="37" t="n">
        <v>21</v>
      </c>
      <c r="M393" s="18" t="n">
        <v>0</v>
      </c>
      <c r="N393" s="19" t="n">
        <v>11.5</v>
      </c>
      <c r="O393" s="108">
        <f>COUNTIFS($E:$E,$E393,$L:$L,"&gt;"&amp;$L393)+1</f>
        <v/>
      </c>
      <c r="P393" s="108">
        <f>COUNTIFS($E:$E,$E393,$M:$M,"&gt;"&amp;$M393)+1</f>
        <v/>
      </c>
      <c r="Q393" s="108">
        <f>COUNTIFS($E:$E,$E393,$N:$N,"&gt;"&amp;$N393)+1</f>
        <v/>
      </c>
      <c r="R393" s="20" t="inlineStr">
        <is>
          <t>📉 Weak</t>
        </is>
      </c>
      <c r="S393" s="20" t="inlineStr">
        <is>
          <t>🔴 Not Qualified</t>
        </is>
      </c>
      <c r="T393" s="20" t="inlineStr">
        <is>
          <t>🔴 Avoid</t>
        </is>
      </c>
      <c r="U393" s="83" t="inlineStr">
        <is>
          <t>FULL</t>
        </is>
      </c>
    </row>
    <row r="394" ht="16" customHeight="1">
      <c r="A394" s="28" t="n">
        <v>390</v>
      </c>
      <c r="B394" s="29" t="inlineStr">
        <is>
          <t>Kotak Nifty Bank ETF</t>
        </is>
      </c>
      <c r="C394" s="29" t="inlineStr">
        <is>
          <t>Kotak Mahindra Mutual Fund</t>
        </is>
      </c>
      <c r="D394" s="29" t="inlineStr">
        <is>
          <t>Other  Etfs</t>
        </is>
      </c>
      <c r="E394" s="29" t="inlineStr">
        <is>
          <t>Banking/Financial</t>
        </is>
      </c>
      <c r="F394" s="91" t="n">
        <v>-2</v>
      </c>
      <c r="G394" s="30" t="n">
        <v>7.67</v>
      </c>
      <c r="H394" s="91" t="n">
        <v>-90.65000000000001</v>
      </c>
      <c r="I394" s="91" t="n">
        <v>-89.59999999999999</v>
      </c>
      <c r="J394" s="91" t="n">
        <v>-66.1473782403785</v>
      </c>
      <c r="K394" s="91" t="n">
        <v>-86.70999999999999</v>
      </c>
      <c r="L394" s="37" t="n">
        <v>20.8</v>
      </c>
      <c r="M394" s="18" t="n">
        <v>0</v>
      </c>
      <c r="N394" s="19" t="n">
        <v>11.4</v>
      </c>
      <c r="O394" s="108">
        <f>COUNTIFS($E:$E,$E394,$L:$L,"&gt;"&amp;$L394)+1</f>
        <v/>
      </c>
      <c r="P394" s="108">
        <f>COUNTIFS($E:$E,$E394,$M:$M,"&gt;"&amp;$M394)+1</f>
        <v/>
      </c>
      <c r="Q394" s="108">
        <f>COUNTIFS($E:$E,$E394,$N:$N,"&gt;"&amp;$N394)+1</f>
        <v/>
      </c>
      <c r="R394" s="31" t="inlineStr">
        <is>
          <t>📉 Weak</t>
        </is>
      </c>
      <c r="S394" s="31" t="inlineStr">
        <is>
          <t>🔴 Not Qualified</t>
        </is>
      </c>
      <c r="T394" s="31" t="inlineStr">
        <is>
          <t>🔴 Avoid</t>
        </is>
      </c>
      <c r="U394" s="83" t="inlineStr">
        <is>
          <t>FULL</t>
        </is>
      </c>
    </row>
    <row r="395" ht="16" customHeight="1">
      <c r="A395" s="13" t="n">
        <v>391</v>
      </c>
      <c r="B395" s="14" t="inlineStr">
        <is>
          <t>Nippon India ETF BSE Sensex</t>
        </is>
      </c>
      <c r="C395" s="14" t="inlineStr">
        <is>
          <t>Nippon India Mutual Fund</t>
        </is>
      </c>
      <c r="D395" s="14" t="inlineStr">
        <is>
          <t>Other  Etfs</t>
        </is>
      </c>
      <c r="E395" s="14" t="inlineStr">
        <is>
          <t>Index Fund</t>
        </is>
      </c>
      <c r="F395" s="16" t="n">
        <v>-0.98</v>
      </c>
      <c r="G395" s="15" t="n">
        <v>3.39</v>
      </c>
      <c r="H395" s="16" t="n">
        <v>-7.04</v>
      </c>
      <c r="I395" s="16" t="n">
        <v>-3.21</v>
      </c>
      <c r="J395" s="16" t="n">
        <v>-0.9394124790287783</v>
      </c>
      <c r="K395" s="15" t="n">
        <v>23.02</v>
      </c>
      <c r="L395" s="37" t="n">
        <v>20.8</v>
      </c>
      <c r="M395" s="18" t="n">
        <v>0</v>
      </c>
      <c r="N395" s="19" t="n">
        <v>11.4</v>
      </c>
      <c r="O395" s="108">
        <f>COUNTIFS($E:$E,$E395,$L:$L,"&gt;"&amp;$L395)+1</f>
        <v/>
      </c>
      <c r="P395" s="108">
        <f>COUNTIFS($E:$E,$E395,$M:$M,"&gt;"&amp;$M395)+1</f>
        <v/>
      </c>
      <c r="Q395" s="108">
        <f>COUNTIFS($E:$E,$E395,$N:$N,"&gt;"&amp;$N395)+1</f>
        <v/>
      </c>
      <c r="R395" s="20" t="inlineStr">
        <is>
          <t>📉 Weak</t>
        </is>
      </c>
      <c r="S395" s="20" t="inlineStr">
        <is>
          <t>🔴 Not Qualified</t>
        </is>
      </c>
      <c r="T395" s="20" t="inlineStr">
        <is>
          <t>🔴 Avoid</t>
        </is>
      </c>
      <c r="U395" s="83" t="inlineStr">
        <is>
          <t>FULL</t>
        </is>
      </c>
    </row>
    <row r="396" ht="16" customHeight="1">
      <c r="A396" s="28" t="n">
        <v>392</v>
      </c>
      <c r="B396" s="29" t="inlineStr">
        <is>
          <t>HDFC BSE Sensex ETF - Growth Plan</t>
        </is>
      </c>
      <c r="C396" s="29" t="inlineStr">
        <is>
          <t>HDFC Mutual Fund</t>
        </is>
      </c>
      <c r="D396" s="29" t="inlineStr">
        <is>
          <t>Other  Etfs</t>
        </is>
      </c>
      <c r="E396" s="29" t="inlineStr">
        <is>
          <t>Index Fund</t>
        </is>
      </c>
      <c r="F396" s="91" t="n">
        <v>-0.98</v>
      </c>
      <c r="G396" s="30" t="n">
        <v>3.39</v>
      </c>
      <c r="H396" s="91" t="n">
        <v>-7.04</v>
      </c>
      <c r="I396" s="91" t="n">
        <v>-3.21</v>
      </c>
      <c r="J396" s="91" t="n">
        <v>-0.9444600236816703</v>
      </c>
      <c r="K396" s="91" t="n">
        <v>-87.70999999999999</v>
      </c>
      <c r="L396" s="37" t="n">
        <v>20.8</v>
      </c>
      <c r="M396" s="18" t="n">
        <v>0</v>
      </c>
      <c r="N396" s="19" t="n">
        <v>11.4</v>
      </c>
      <c r="O396" s="108">
        <f>COUNTIFS($E:$E,$E396,$L:$L,"&gt;"&amp;$L396)+1</f>
        <v/>
      </c>
      <c r="P396" s="108">
        <f>COUNTIFS($E:$E,$E396,$M:$M,"&gt;"&amp;$M396)+1</f>
        <v/>
      </c>
      <c r="Q396" s="108">
        <f>COUNTIFS($E:$E,$E396,$N:$N,"&gt;"&amp;$N396)+1</f>
        <v/>
      </c>
      <c r="R396" s="31" t="inlineStr">
        <is>
          <t>📉 Weak</t>
        </is>
      </c>
      <c r="S396" s="31" t="inlineStr">
        <is>
          <t>🔴 Not Qualified</t>
        </is>
      </c>
      <c r="T396" s="31" t="inlineStr">
        <is>
          <t>🔴 Avoid</t>
        </is>
      </c>
      <c r="U396" s="83" t="inlineStr">
        <is>
          <t>FULL</t>
        </is>
      </c>
    </row>
    <row r="397" ht="16" customHeight="1">
      <c r="A397" s="13" t="n">
        <v>393</v>
      </c>
      <c r="B397" s="14" t="inlineStr">
        <is>
          <t>Franklin India Index Fund- NSE Nifty 50 Index Fund - Growth</t>
        </is>
      </c>
      <c r="C397" s="14" t="inlineStr">
        <is>
          <t>Franklin Templeton Mutual Fund</t>
        </is>
      </c>
      <c r="D397" s="14" t="inlineStr">
        <is>
          <t>Index Funds</t>
        </is>
      </c>
      <c r="E397" s="14" t="inlineStr">
        <is>
          <t>Index Fund</t>
        </is>
      </c>
      <c r="F397" s="16" t="n">
        <v>-0.61</v>
      </c>
      <c r="G397" s="15" t="n">
        <v>2.82</v>
      </c>
      <c r="H397" s="16" t="n">
        <v>-5.94</v>
      </c>
      <c r="I397" s="16" t="n">
        <v>-1.42</v>
      </c>
      <c r="J397" s="16" t="n">
        <v>-0.1501126690670707</v>
      </c>
      <c r="K397" s="15" t="n">
        <v>27.34</v>
      </c>
      <c r="L397" s="37" t="n">
        <v>20.8</v>
      </c>
      <c r="M397" s="18" t="n">
        <v>0</v>
      </c>
      <c r="N397" s="19" t="n">
        <v>11.4</v>
      </c>
      <c r="O397" s="108">
        <f>COUNTIFS($E:$E,$E397,$L:$L,"&gt;"&amp;$L397)+1</f>
        <v/>
      </c>
      <c r="P397" s="108">
        <f>COUNTIFS($E:$E,$E397,$M:$M,"&gt;"&amp;$M397)+1</f>
        <v/>
      </c>
      <c r="Q397" s="108">
        <f>COUNTIFS($E:$E,$E397,$N:$N,"&gt;"&amp;$N397)+1</f>
        <v/>
      </c>
      <c r="R397" s="20" t="inlineStr">
        <is>
          <t>📉 Weak</t>
        </is>
      </c>
      <c r="S397" s="20" t="inlineStr">
        <is>
          <t>🔴 Not Qualified</t>
        </is>
      </c>
      <c r="T397" s="20" t="inlineStr">
        <is>
          <t>🔴 Avoid</t>
        </is>
      </c>
      <c r="U397" s="83" t="inlineStr">
        <is>
          <t>FULL</t>
        </is>
      </c>
    </row>
    <row r="398" ht="16" customHeight="1">
      <c r="A398" s="28" t="n">
        <v>394</v>
      </c>
      <c r="B398" s="29" t="inlineStr">
        <is>
          <t>Tata Nifty 50 Index Fund -Regular Plan</t>
        </is>
      </c>
      <c r="C398" s="29" t="inlineStr">
        <is>
          <t>Tata Mutual Fund</t>
        </is>
      </c>
      <c r="D398" s="29" t="inlineStr">
        <is>
          <t>Index Funds</t>
        </is>
      </c>
      <c r="E398" s="29" t="inlineStr">
        <is>
          <t>Index Fund</t>
        </is>
      </c>
      <c r="F398" s="91" t="n">
        <v>-0.59</v>
      </c>
      <c r="G398" s="30" t="n">
        <v>2.84</v>
      </c>
      <c r="H398" s="91" t="n">
        <v>-5.99</v>
      </c>
      <c r="I398" s="91" t="n">
        <v>-1.48</v>
      </c>
      <c r="J398" s="91" t="n">
        <v>-0.2553259567208754</v>
      </c>
      <c r="K398" s="30" t="n">
        <v>27.08</v>
      </c>
      <c r="L398" s="37" t="n">
        <v>20.8</v>
      </c>
      <c r="M398" s="18" t="n">
        <v>0</v>
      </c>
      <c r="N398" s="19" t="n">
        <v>11.4</v>
      </c>
      <c r="O398" s="108">
        <f>COUNTIFS($E:$E,$E398,$L:$L,"&gt;"&amp;$L398)+1</f>
        <v/>
      </c>
      <c r="P398" s="108">
        <f>COUNTIFS($E:$E,$E398,$M:$M,"&gt;"&amp;$M398)+1</f>
        <v/>
      </c>
      <c r="Q398" s="108">
        <f>COUNTIFS($E:$E,$E398,$N:$N,"&gt;"&amp;$N398)+1</f>
        <v/>
      </c>
      <c r="R398" s="31" t="inlineStr">
        <is>
          <t>📉 Weak</t>
        </is>
      </c>
      <c r="S398" s="31" t="inlineStr">
        <is>
          <t>🔴 Not Qualified</t>
        </is>
      </c>
      <c r="T398" s="31" t="inlineStr">
        <is>
          <t>🔴 Avoid</t>
        </is>
      </c>
      <c r="U398" s="83" t="inlineStr">
        <is>
          <t>FULL</t>
        </is>
      </c>
    </row>
    <row r="399" ht="16" customHeight="1">
      <c r="A399" s="13" t="n">
        <v>395</v>
      </c>
      <c r="B399" s="14" t="inlineStr">
        <is>
          <t>SBI BSE SENSEX ETF</t>
        </is>
      </c>
      <c r="C399" s="14" t="inlineStr">
        <is>
          <t>SBI Mutual Fund</t>
        </is>
      </c>
      <c r="D399" s="14" t="inlineStr">
        <is>
          <t>Other  Etfs</t>
        </is>
      </c>
      <c r="E399" s="14" t="inlineStr">
        <is>
          <t>Index Fund</t>
        </is>
      </c>
      <c r="F399" s="16" t="n">
        <v>-0.98</v>
      </c>
      <c r="G399" s="15" t="n">
        <v>3.39</v>
      </c>
      <c r="H399" s="16" t="n">
        <v>-7.04</v>
      </c>
      <c r="I399" s="16" t="n">
        <v>-3.22</v>
      </c>
      <c r="J399" s="16" t="n">
        <v>-0.9495078255539413</v>
      </c>
      <c r="K399" s="15" t="n">
        <v>22.91</v>
      </c>
      <c r="L399" s="37" t="n">
        <v>20.7</v>
      </c>
      <c r="M399" s="18" t="n">
        <v>0</v>
      </c>
      <c r="N399" s="19" t="n">
        <v>11.4</v>
      </c>
      <c r="O399" s="108">
        <f>COUNTIFS($E:$E,$E399,$L:$L,"&gt;"&amp;$L399)+1</f>
        <v/>
      </c>
      <c r="P399" s="108">
        <f>COUNTIFS($E:$E,$E399,$M:$M,"&gt;"&amp;$M399)+1</f>
        <v/>
      </c>
      <c r="Q399" s="108">
        <f>COUNTIFS($E:$E,$E399,$N:$N,"&gt;"&amp;$N399)+1</f>
        <v/>
      </c>
      <c r="R399" s="20" t="inlineStr">
        <is>
          <t>📉 Weak</t>
        </is>
      </c>
      <c r="S399" s="20" t="inlineStr">
        <is>
          <t>🔴 Not Qualified</t>
        </is>
      </c>
      <c r="T399" s="20" t="inlineStr">
        <is>
          <t>🔴 Avoid</t>
        </is>
      </c>
      <c r="U399" s="83" t="inlineStr">
        <is>
          <t>FULL</t>
        </is>
      </c>
    </row>
    <row r="400" ht="16" customHeight="1">
      <c r="A400" s="28" t="n">
        <v>396</v>
      </c>
      <c r="B400" s="29" t="inlineStr">
        <is>
          <t>BANDHAN Nifty 50 Index Fund - Regular Plan - Growth</t>
        </is>
      </c>
      <c r="C400" s="29" t="inlineStr">
        <is>
          <t>Bandhan Mutual Fund</t>
        </is>
      </c>
      <c r="D400" s="29" t="inlineStr">
        <is>
          <t>Index Funds</t>
        </is>
      </c>
      <c r="E400" s="29" t="inlineStr">
        <is>
          <t>Index Fund</t>
        </is>
      </c>
      <c r="F400" s="91" t="n">
        <v>-0.59</v>
      </c>
      <c r="G400" s="30" t="n">
        <v>2.83</v>
      </c>
      <c r="H400" s="91" t="n">
        <v>-6.01</v>
      </c>
      <c r="I400" s="91" t="n">
        <v>-1.52</v>
      </c>
      <c r="J400" s="91" t="n">
        <v>-0.3004513550838639</v>
      </c>
      <c r="K400" s="30" t="n">
        <v>26.91</v>
      </c>
      <c r="L400" s="37" t="n">
        <v>20.2</v>
      </c>
      <c r="M400" s="18" t="n">
        <v>0</v>
      </c>
      <c r="N400" s="19" t="n">
        <v>11.1</v>
      </c>
      <c r="O400" s="108">
        <f>COUNTIFS($E:$E,$E400,$L:$L,"&gt;"&amp;$L400)+1</f>
        <v/>
      </c>
      <c r="P400" s="108">
        <f>COUNTIFS($E:$E,$E400,$M:$M,"&gt;"&amp;$M400)+1</f>
        <v/>
      </c>
      <c r="Q400" s="108">
        <f>COUNTIFS($E:$E,$E400,$N:$N,"&gt;"&amp;$N400)+1</f>
        <v/>
      </c>
      <c r="R400" s="31" t="inlineStr">
        <is>
          <t>📉 Weak</t>
        </is>
      </c>
      <c r="S400" s="31" t="inlineStr">
        <is>
          <t>🔴 Not Qualified</t>
        </is>
      </c>
      <c r="T400" s="31" t="inlineStr">
        <is>
          <t>🔴 Avoid</t>
        </is>
      </c>
      <c r="U400" s="83" t="inlineStr">
        <is>
          <t>FULL</t>
        </is>
      </c>
    </row>
    <row r="401" ht="16" customHeight="1">
      <c r="A401" s="13" t="n">
        <v>397</v>
      </c>
      <c r="B401" s="14" t="inlineStr">
        <is>
          <t>LIC MF BSE Sensex ETF</t>
        </is>
      </c>
      <c r="C401" s="14" t="inlineStr">
        <is>
          <t>LIC Mutual Fund</t>
        </is>
      </c>
      <c r="D401" s="14" t="inlineStr">
        <is>
          <t>Other  Etfs</t>
        </is>
      </c>
      <c r="E401" s="14" t="inlineStr">
        <is>
          <t>Index Fund</t>
        </is>
      </c>
      <c r="F401" s="16" t="n">
        <v>-0.98</v>
      </c>
      <c r="G401" s="15" t="n">
        <v>3.38</v>
      </c>
      <c r="H401" s="16" t="n">
        <v>-7.06</v>
      </c>
      <c r="I401" s="16" t="n">
        <v>-3.27</v>
      </c>
      <c r="J401" s="16" t="n">
        <v>-1.015152674765418</v>
      </c>
      <c r="K401" s="15" t="n">
        <v>22.66</v>
      </c>
      <c r="L401" s="37" t="n">
        <v>19.9</v>
      </c>
      <c r="M401" s="18" t="n">
        <v>0</v>
      </c>
      <c r="N401" s="19" t="n">
        <v>10.9</v>
      </c>
      <c r="O401" s="108">
        <f>COUNTIFS($E:$E,$E401,$L:$L,"&gt;"&amp;$L401)+1</f>
        <v/>
      </c>
      <c r="P401" s="108">
        <f>COUNTIFS($E:$E,$E401,$M:$M,"&gt;"&amp;$M401)+1</f>
        <v/>
      </c>
      <c r="Q401" s="108">
        <f>COUNTIFS($E:$E,$E401,$N:$N,"&gt;"&amp;$N401)+1</f>
        <v/>
      </c>
      <c r="R401" s="20" t="inlineStr">
        <is>
          <t>📉 Weak</t>
        </is>
      </c>
      <c r="S401" s="20" t="inlineStr">
        <is>
          <t>🔴 Not Qualified</t>
        </is>
      </c>
      <c r="T401" s="20" t="inlineStr">
        <is>
          <t>🔴 Avoid</t>
        </is>
      </c>
      <c r="U401" s="83" t="inlineStr">
        <is>
          <t>FULL</t>
        </is>
      </c>
    </row>
    <row r="402" ht="16" customHeight="1">
      <c r="A402" s="28" t="n">
        <v>398</v>
      </c>
      <c r="B402" s="29" t="inlineStr">
        <is>
          <t>Kotak BSE Sensex ETF</t>
        </is>
      </c>
      <c r="C402" s="29" t="inlineStr">
        <is>
          <t>Kotak Mahindra Mutual Fund</t>
        </is>
      </c>
      <c r="D402" s="29" t="inlineStr">
        <is>
          <t>Other  Etfs</t>
        </is>
      </c>
      <c r="E402" s="29" t="inlineStr">
        <is>
          <t>Index Fund</t>
        </is>
      </c>
      <c r="F402" s="91" t="n">
        <v>-0.99</v>
      </c>
      <c r="G402" s="30" t="n">
        <v>3.35</v>
      </c>
      <c r="H402" s="91" t="n">
        <v>-7.11</v>
      </c>
      <c r="I402" s="91" t="n">
        <v>-3.32</v>
      </c>
      <c r="J402" s="91" t="n">
        <v>-1.070732338705749</v>
      </c>
      <c r="K402" s="30" t="n">
        <v>22.44</v>
      </c>
      <c r="L402" s="37" t="n">
        <v>19.1</v>
      </c>
      <c r="M402" s="18" t="n">
        <v>0</v>
      </c>
      <c r="N402" s="19" t="n">
        <v>10.5</v>
      </c>
      <c r="O402" s="108">
        <f>COUNTIFS($E:$E,$E402,$L:$L,"&gt;"&amp;$L402)+1</f>
        <v/>
      </c>
      <c r="P402" s="108">
        <f>COUNTIFS($E:$E,$E402,$M:$M,"&gt;"&amp;$M402)+1</f>
        <v/>
      </c>
      <c r="Q402" s="108">
        <f>COUNTIFS($E:$E,$E402,$N:$N,"&gt;"&amp;$N402)+1</f>
        <v/>
      </c>
      <c r="R402" s="31" t="inlineStr">
        <is>
          <t>📉 Weak</t>
        </is>
      </c>
      <c r="S402" s="31" t="inlineStr">
        <is>
          <t>🔴 Not Qualified</t>
        </is>
      </c>
      <c r="T402" s="31" t="inlineStr">
        <is>
          <t>🔴 Avoid</t>
        </is>
      </c>
      <c r="U402" s="83" t="inlineStr">
        <is>
          <t>FULL</t>
        </is>
      </c>
    </row>
    <row r="403" ht="16" customHeight="1">
      <c r="A403" s="13" t="n">
        <v>399</v>
      </c>
      <c r="B403" s="14" t="inlineStr">
        <is>
          <t>Kotak International REIT Overseas Equity Omni FOF - Regular Plan - Growth</t>
        </is>
      </c>
      <c r="C403" s="14" t="inlineStr">
        <is>
          <t>Kotak Mahindra Mutual Fund</t>
        </is>
      </c>
      <c r="D403" s="14" t="inlineStr">
        <is>
          <t>Fof Overseas</t>
        </is>
      </c>
      <c r="E403" s="14" t="inlineStr">
        <is>
          <t>International</t>
        </is>
      </c>
      <c r="F403" s="16" t="n">
        <v>-0.67</v>
      </c>
      <c r="G403" s="15" t="n">
        <v>1.13</v>
      </c>
      <c r="H403" s="15" t="n">
        <v>1.52</v>
      </c>
      <c r="I403" s="15" t="n">
        <v>8.58</v>
      </c>
      <c r="J403" s="15" t="n">
        <v>11.28791488746654</v>
      </c>
      <c r="K403" s="15" t="n">
        <v>34.24</v>
      </c>
      <c r="L403" s="37" t="n">
        <v>15.3</v>
      </c>
      <c r="M403" s="18" t="n">
        <v>4.5</v>
      </c>
      <c r="N403" s="19" t="n">
        <v>10.5</v>
      </c>
      <c r="O403" s="108">
        <f>COUNTIFS($E:$E,$E403,$L:$L,"&gt;"&amp;$L403)+1</f>
        <v/>
      </c>
      <c r="P403" s="108">
        <f>COUNTIFS($E:$E,$E403,$M:$M,"&gt;"&amp;$M403)+1</f>
        <v/>
      </c>
      <c r="Q403" s="108">
        <f>COUNTIFS($E:$E,$E403,$N:$N,"&gt;"&amp;$N403)+1</f>
        <v/>
      </c>
      <c r="R403" s="20" t="inlineStr">
        <is>
          <t>📉 Weak</t>
        </is>
      </c>
      <c r="S403" s="20" t="inlineStr">
        <is>
          <t>⚠️ Below Avg</t>
        </is>
      </c>
      <c r="T403" s="20" t="inlineStr">
        <is>
          <t>🔴 Avoid</t>
        </is>
      </c>
      <c r="U403" s="83" t="inlineStr">
        <is>
          <t>FULL</t>
        </is>
      </c>
    </row>
    <row r="404" ht="16" customHeight="1">
      <c r="A404" s="28" t="n">
        <v>400</v>
      </c>
      <c r="B404" s="29" t="inlineStr">
        <is>
          <t>BANDHAN BSE Sensex ETF</t>
        </is>
      </c>
      <c r="C404" s="29" t="inlineStr">
        <is>
          <t>Bandhan Mutual Fund</t>
        </is>
      </c>
      <c r="D404" s="29" t="inlineStr">
        <is>
          <t>Other  Etfs</t>
        </is>
      </c>
      <c r="E404" s="29" t="inlineStr">
        <is>
          <t>Index Fund</t>
        </is>
      </c>
      <c r="F404" s="91" t="n">
        <v>-1.01</v>
      </c>
      <c r="G404" s="30" t="n">
        <v>3.31</v>
      </c>
      <c r="H404" s="91" t="n">
        <v>-7.18</v>
      </c>
      <c r="I404" s="91" t="n">
        <v>-3.52</v>
      </c>
      <c r="J404" s="91" t="n">
        <v>-1.262975536022959</v>
      </c>
      <c r="K404" s="30" t="n">
        <v>21.69</v>
      </c>
      <c r="L404" s="37" t="n">
        <v>18.7</v>
      </c>
      <c r="M404" s="18" t="n">
        <v>0</v>
      </c>
      <c r="N404" s="19" t="n">
        <v>10.3</v>
      </c>
      <c r="O404" s="108">
        <f>COUNTIFS($E:$E,$E404,$L:$L,"&gt;"&amp;$L404)+1</f>
        <v/>
      </c>
      <c r="P404" s="108">
        <f>COUNTIFS($E:$E,$E404,$M:$M,"&gt;"&amp;$M404)+1</f>
        <v/>
      </c>
      <c r="Q404" s="108">
        <f>COUNTIFS($E:$E,$E404,$N:$N,"&gt;"&amp;$N404)+1</f>
        <v/>
      </c>
      <c r="R404" s="31" t="inlineStr">
        <is>
          <t>📉 Weak</t>
        </is>
      </c>
      <c r="S404" s="31" t="inlineStr">
        <is>
          <t>🔴 Not Qualified</t>
        </is>
      </c>
      <c r="T404" s="31" t="inlineStr">
        <is>
          <t>🔴 Avoid</t>
        </is>
      </c>
      <c r="U404" s="83" t="inlineStr">
        <is>
          <t>FULL</t>
        </is>
      </c>
    </row>
    <row r="405" ht="16" customHeight="1">
      <c r="A405" s="13" t="n">
        <v>401</v>
      </c>
      <c r="B405" s="14" t="inlineStr">
        <is>
          <t>LIC MF Nifty 50 Index Fund-Regular Plan-Growth</t>
        </is>
      </c>
      <c r="C405" s="14" t="inlineStr">
        <is>
          <t>LIC Mutual Fund</t>
        </is>
      </c>
      <c r="D405" s="14" t="inlineStr">
        <is>
          <t>Index Funds</t>
        </is>
      </c>
      <c r="E405" s="14" t="inlineStr">
        <is>
          <t>Index Fund</t>
        </is>
      </c>
      <c r="F405" s="16" t="n">
        <v>-0.64</v>
      </c>
      <c r="G405" s="15" t="n">
        <v>2.7</v>
      </c>
      <c r="H405" s="16" t="n">
        <v>-6.18</v>
      </c>
      <c r="I405" s="16" t="n">
        <v>-1.96</v>
      </c>
      <c r="J405" s="16" t="n">
        <v>-0.7024673015487259</v>
      </c>
      <c r="K405" s="15" t="n">
        <v>25.27</v>
      </c>
      <c r="L405" s="37" t="n">
        <v>18.5</v>
      </c>
      <c r="M405" s="18" t="n">
        <v>0</v>
      </c>
      <c r="N405" s="19" t="n">
        <v>10.2</v>
      </c>
      <c r="O405" s="108">
        <f>COUNTIFS($E:$E,$E405,$L:$L,"&gt;"&amp;$L405)+1</f>
        <v/>
      </c>
      <c r="P405" s="108">
        <f>COUNTIFS($E:$E,$E405,$M:$M,"&gt;"&amp;$M405)+1</f>
        <v/>
      </c>
      <c r="Q405" s="108">
        <f>COUNTIFS($E:$E,$E405,$N:$N,"&gt;"&amp;$N405)+1</f>
        <v/>
      </c>
      <c r="R405" s="20" t="inlineStr">
        <is>
          <t>📉 Weak</t>
        </is>
      </c>
      <c r="S405" s="20" t="inlineStr">
        <is>
          <t>🔴 Not Qualified</t>
        </is>
      </c>
      <c r="T405" s="20" t="inlineStr">
        <is>
          <t>🔴 Avoid</t>
        </is>
      </c>
      <c r="U405" s="83" t="inlineStr">
        <is>
          <t>FULL</t>
        </is>
      </c>
    </row>
    <row r="406" ht="16" customHeight="1">
      <c r="A406" s="28" t="n">
        <v>402</v>
      </c>
      <c r="B406" s="29" t="inlineStr">
        <is>
          <t>Taurus Nifty 50 Index Fund - Regular Plan - Payout of Income Distribution cum Capital Withdrawal option</t>
        </is>
      </c>
      <c r="C406" s="29" t="inlineStr">
        <is>
          <t>Taurus Mutual Fund</t>
        </is>
      </c>
      <c r="D406" s="29" t="inlineStr">
        <is>
          <t>Index Funds</t>
        </is>
      </c>
      <c r="E406" s="29" t="inlineStr">
        <is>
          <t>Index Fund</t>
        </is>
      </c>
      <c r="F406" s="91" t="n">
        <v>-0.63</v>
      </c>
      <c r="G406" s="30" t="n">
        <v>2.69</v>
      </c>
      <c r="H406" s="91" t="n">
        <v>-6.29</v>
      </c>
      <c r="I406" s="91" t="n">
        <v>-2.05</v>
      </c>
      <c r="J406" s="91" t="n">
        <v>-0.6873623348971791</v>
      </c>
      <c r="K406" s="30" t="n">
        <v>24.74</v>
      </c>
      <c r="L406" s="37" t="n">
        <v>18.2</v>
      </c>
      <c r="M406" s="18" t="n">
        <v>0</v>
      </c>
      <c r="N406" s="19" t="n">
        <v>10</v>
      </c>
      <c r="O406" s="108">
        <f>COUNTIFS($E:$E,$E406,$L:$L,"&gt;"&amp;$L406)+1</f>
        <v/>
      </c>
      <c r="P406" s="108">
        <f>COUNTIFS($E:$E,$E406,$M:$M,"&gt;"&amp;$M406)+1</f>
        <v/>
      </c>
      <c r="Q406" s="108">
        <f>COUNTIFS($E:$E,$E406,$N:$N,"&gt;"&amp;$N406)+1</f>
        <v/>
      </c>
      <c r="R406" s="31" t="inlineStr">
        <is>
          <t>📉 Weak</t>
        </is>
      </c>
      <c r="S406" s="31" t="inlineStr">
        <is>
          <t>🔴 Not Qualified</t>
        </is>
      </c>
      <c r="T406" s="31" t="inlineStr">
        <is>
          <t>🔴 Avoid</t>
        </is>
      </c>
      <c r="U406" s="83" t="inlineStr">
        <is>
          <t>FULL</t>
        </is>
      </c>
    </row>
    <row r="407" ht="16" customHeight="1">
      <c r="A407" s="13" t="n">
        <v>403</v>
      </c>
      <c r="B407" s="14" t="inlineStr">
        <is>
          <t>Taurus Nifty 50 Index Fund - Regular Plan - Growth</t>
        </is>
      </c>
      <c r="C407" s="14" t="inlineStr">
        <is>
          <t>Taurus Mutual Fund</t>
        </is>
      </c>
      <c r="D407" s="14" t="inlineStr">
        <is>
          <t>Index Funds</t>
        </is>
      </c>
      <c r="E407" s="14" t="inlineStr">
        <is>
          <t>Index Fund</t>
        </is>
      </c>
      <c r="F407" s="16" t="n">
        <v>-0.63</v>
      </c>
      <c r="G407" s="15" t="n">
        <v>2.69</v>
      </c>
      <c r="H407" s="16" t="n">
        <v>-6.29</v>
      </c>
      <c r="I407" s="16" t="n">
        <v>-2.05</v>
      </c>
      <c r="J407" s="16" t="n">
        <v>-0.7024673015487259</v>
      </c>
      <c r="K407" s="15" t="n">
        <v>24.7</v>
      </c>
      <c r="L407" s="37" t="n">
        <v>18.2</v>
      </c>
      <c r="M407" s="18" t="n">
        <v>0</v>
      </c>
      <c r="N407" s="19" t="n">
        <v>10</v>
      </c>
      <c r="O407" s="108">
        <f>COUNTIFS($E:$E,$E407,$L:$L,"&gt;"&amp;$L407)+1</f>
        <v/>
      </c>
      <c r="P407" s="108">
        <f>COUNTIFS($E:$E,$E407,$M:$M,"&gt;"&amp;$M407)+1</f>
        <v/>
      </c>
      <c r="Q407" s="108">
        <f>COUNTIFS($E:$E,$E407,$N:$N,"&gt;"&amp;$N407)+1</f>
        <v/>
      </c>
      <c r="R407" s="20" t="inlineStr">
        <is>
          <t>📉 Weak</t>
        </is>
      </c>
      <c r="S407" s="20" t="inlineStr">
        <is>
          <t>🔴 Not Qualified</t>
        </is>
      </c>
      <c r="T407" s="20" t="inlineStr">
        <is>
          <t>🔴 Avoid</t>
        </is>
      </c>
      <c r="U407" s="83" t="inlineStr">
        <is>
          <t>FULL</t>
        </is>
      </c>
    </row>
    <row r="408" ht="16" customHeight="1">
      <c r="A408" s="28" t="n">
        <v>404</v>
      </c>
      <c r="B408" s="29" t="inlineStr">
        <is>
          <t>UTI BSE Sensex Index Fund - Regular Plan  -Growth Option</t>
        </is>
      </c>
      <c r="C408" s="29" t="inlineStr">
        <is>
          <t>UTI Mutual Fund</t>
        </is>
      </c>
      <c r="D408" s="29" t="inlineStr">
        <is>
          <t>Index Funds</t>
        </is>
      </c>
      <c r="E408" s="29" t="inlineStr">
        <is>
          <t>Index Fund</t>
        </is>
      </c>
      <c r="F408" s="91" t="n">
        <v>-1</v>
      </c>
      <c r="G408" s="30" t="n">
        <v>3.33</v>
      </c>
      <c r="H408" s="91" t="n">
        <v>-7.17</v>
      </c>
      <c r="I408" s="91" t="n">
        <v>-3.45</v>
      </c>
      <c r="J408" s="91" t="n">
        <v>-1.207287718172245</v>
      </c>
      <c r="K408" s="30" t="n">
        <v>21.92</v>
      </c>
      <c r="L408" s="37" t="n">
        <v>18.1</v>
      </c>
      <c r="M408" s="18" t="n">
        <v>0</v>
      </c>
      <c r="N408" s="19" t="n">
        <v>10</v>
      </c>
      <c r="O408" s="108">
        <f>COUNTIFS($E:$E,$E408,$L:$L,"&gt;"&amp;$L408)+1</f>
        <v/>
      </c>
      <c r="P408" s="108">
        <f>COUNTIFS($E:$E,$E408,$M:$M,"&gt;"&amp;$M408)+1</f>
        <v/>
      </c>
      <c r="Q408" s="108">
        <f>COUNTIFS($E:$E,$E408,$N:$N,"&gt;"&amp;$N408)+1</f>
        <v/>
      </c>
      <c r="R408" s="31" t="inlineStr">
        <is>
          <t>📉 Weak</t>
        </is>
      </c>
      <c r="S408" s="31" t="inlineStr">
        <is>
          <t>🔴 Not Qualified</t>
        </is>
      </c>
      <c r="T408" s="31" t="inlineStr">
        <is>
          <t>🔴 Avoid</t>
        </is>
      </c>
      <c r="U408" s="83" t="inlineStr">
        <is>
          <t>FULL</t>
        </is>
      </c>
    </row>
    <row r="409" ht="16" customHeight="1">
      <c r="A409" s="13" t="n">
        <v>405</v>
      </c>
      <c r="B409" s="14" t="inlineStr">
        <is>
          <t>ICICI Prudential BSE Sensex Index Fund - Cumulative Option</t>
        </is>
      </c>
      <c r="C409" s="14" t="inlineStr">
        <is>
          <t>ICICI Prudential Mutual Fund</t>
        </is>
      </c>
      <c r="D409" s="14" t="inlineStr">
        <is>
          <t>Index Funds</t>
        </is>
      </c>
      <c r="E409" s="14" t="inlineStr">
        <is>
          <t>Index Fund</t>
        </is>
      </c>
      <c r="F409" s="16" t="n">
        <v>-1</v>
      </c>
      <c r="G409" s="15" t="n">
        <v>3.32</v>
      </c>
      <c r="H409" s="16" t="n">
        <v>-7.17</v>
      </c>
      <c r="I409" s="16" t="n">
        <v>-3.48</v>
      </c>
      <c r="J409" s="16" t="n">
        <v>-1.207287718172245</v>
      </c>
      <c r="K409" s="15" t="n">
        <v>21.99</v>
      </c>
      <c r="L409" s="37" t="n">
        <v>17.9</v>
      </c>
      <c r="M409" s="18" t="n">
        <v>0</v>
      </c>
      <c r="N409" s="19" t="n">
        <v>9.9</v>
      </c>
      <c r="O409" s="108">
        <f>COUNTIFS($E:$E,$E409,$L:$L,"&gt;"&amp;$L409)+1</f>
        <v/>
      </c>
      <c r="P409" s="108">
        <f>COUNTIFS($E:$E,$E409,$M:$M,"&gt;"&amp;$M409)+1</f>
        <v/>
      </c>
      <c r="Q409" s="108">
        <f>COUNTIFS($E:$E,$E409,$N:$N,"&gt;"&amp;$N409)+1</f>
        <v/>
      </c>
      <c r="R409" s="20" t="inlineStr">
        <is>
          <t>📉 Weak</t>
        </is>
      </c>
      <c r="S409" s="20" t="inlineStr">
        <is>
          <t>🔴 Not Qualified</t>
        </is>
      </c>
      <c r="T409" s="20" t="inlineStr">
        <is>
          <t>🔴 Avoid</t>
        </is>
      </c>
      <c r="U409" s="83" t="inlineStr">
        <is>
          <t>FULL</t>
        </is>
      </c>
    </row>
    <row r="410" ht="16" customHeight="1">
      <c r="A410" s="28" t="n">
        <v>406</v>
      </c>
      <c r="B410" s="29" t="inlineStr">
        <is>
          <t>Kotak International REIT Overseas Equity Omni FOF - Regular Plan - Payout of Income Distribution cum capital withdrawal option</t>
        </is>
      </c>
      <c r="C410" s="29" t="inlineStr">
        <is>
          <t>Kotak Mahindra Mutual Fund</t>
        </is>
      </c>
      <c r="D410" s="29" t="inlineStr">
        <is>
          <t>Fof Overseas</t>
        </is>
      </c>
      <c r="E410" s="29" t="inlineStr">
        <is>
          <t>International</t>
        </is>
      </c>
      <c r="F410" s="91" t="n">
        <v>-0.67</v>
      </c>
      <c r="G410" s="30" t="n">
        <v>1.13</v>
      </c>
      <c r="H410" s="30" t="n">
        <v>1.52</v>
      </c>
      <c r="I410" s="30" t="n">
        <v>8.57</v>
      </c>
      <c r="J410" s="30" t="n">
        <v>11.28791488746654</v>
      </c>
      <c r="K410" s="30" t="n">
        <v>34.24</v>
      </c>
      <c r="L410" s="37" t="n">
        <v>14.8</v>
      </c>
      <c r="M410" s="18" t="n">
        <v>3.8</v>
      </c>
      <c r="N410" s="19" t="n">
        <v>9.9</v>
      </c>
      <c r="O410" s="108">
        <f>COUNTIFS($E:$E,$E410,$L:$L,"&gt;"&amp;$L410)+1</f>
        <v/>
      </c>
      <c r="P410" s="108">
        <f>COUNTIFS($E:$E,$E410,$M:$M,"&gt;"&amp;$M410)+1</f>
        <v/>
      </c>
      <c r="Q410" s="108">
        <f>COUNTIFS($E:$E,$E410,$N:$N,"&gt;"&amp;$N410)+1</f>
        <v/>
      </c>
      <c r="R410" s="31" t="inlineStr">
        <is>
          <t>📉 Weak</t>
        </is>
      </c>
      <c r="S410" s="31" t="inlineStr">
        <is>
          <t>⚠️ Below Avg</t>
        </is>
      </c>
      <c r="T410" s="31" t="inlineStr">
        <is>
          <t>🔴 Avoid</t>
        </is>
      </c>
      <c r="U410" s="83" t="inlineStr">
        <is>
          <t>FULL</t>
        </is>
      </c>
    </row>
    <row r="411" ht="16" customHeight="1">
      <c r="A411" s="13" t="n">
        <v>407</v>
      </c>
      <c r="B411" s="14" t="inlineStr">
        <is>
          <t>Quantum Nifty 50 ETF FOF - Regular Plan - Growth</t>
        </is>
      </c>
      <c r="C411" s="14" t="inlineStr">
        <is>
          <t>Quantum Mutual Fund</t>
        </is>
      </c>
      <c r="D411" s="14" t="inlineStr">
        <is>
          <t>Fof Domestic</t>
        </is>
      </c>
      <c r="E411" s="14" t="inlineStr">
        <is>
          <t>Index Fund</t>
        </is>
      </c>
      <c r="F411" s="15" t="n">
        <v>0.26</v>
      </c>
      <c r="G411" s="15" t="n">
        <v>3.7</v>
      </c>
      <c r="H411" s="16" t="n">
        <v>-5.24</v>
      </c>
      <c r="I411" s="16" t="n">
        <v>-0.31</v>
      </c>
      <c r="J411" s="15" t="n">
        <v>0.4340579684003476</v>
      </c>
      <c r="K411" s="15" t="n">
        <v>29.15</v>
      </c>
      <c r="L411" s="37" t="n">
        <v>17.5</v>
      </c>
      <c r="M411" s="18" t="n">
        <v>0</v>
      </c>
      <c r="N411" s="19" t="n">
        <v>9.6</v>
      </c>
      <c r="O411" s="108">
        <f>COUNTIFS($E:$E,$E411,$L:$L,"&gt;"&amp;$L411)+1</f>
        <v/>
      </c>
      <c r="P411" s="108">
        <f>COUNTIFS($E:$E,$E411,$M:$M,"&gt;"&amp;$M411)+1</f>
        <v/>
      </c>
      <c r="Q411" s="108">
        <f>COUNTIFS($E:$E,$E411,$N:$N,"&gt;"&amp;$N411)+1</f>
        <v/>
      </c>
      <c r="R411" s="20" t="inlineStr">
        <is>
          <t>📉 Weak</t>
        </is>
      </c>
      <c r="S411" s="20" t="inlineStr">
        <is>
          <t>🔴 Not Qualified</t>
        </is>
      </c>
      <c r="T411" s="20" t="inlineStr">
        <is>
          <t>🔴 Avoid</t>
        </is>
      </c>
      <c r="U411" s="83" t="inlineStr">
        <is>
          <t>FULL</t>
        </is>
      </c>
    </row>
    <row r="412" ht="16" customHeight="1">
      <c r="A412" s="28" t="n">
        <v>408</v>
      </c>
      <c r="B412" s="29" t="inlineStr">
        <is>
          <t>HDFC BSE Sensex Index Fund - Growth Plan</t>
        </is>
      </c>
      <c r="C412" s="29" t="inlineStr">
        <is>
          <t>HDFC Mutual Fund</t>
        </is>
      </c>
      <c r="D412" s="29" t="inlineStr">
        <is>
          <t>Index Funds</t>
        </is>
      </c>
      <c r="E412" s="29" t="inlineStr">
        <is>
          <t>Index Fund</t>
        </is>
      </c>
      <c r="F412" s="91" t="n">
        <v>-1.01</v>
      </c>
      <c r="G412" s="30" t="n">
        <v>3.3</v>
      </c>
      <c r="H412" s="91" t="n">
        <v>-7.22</v>
      </c>
      <c r="I412" s="91" t="n">
        <v>-3.56</v>
      </c>
      <c r="J412" s="91" t="n">
        <v>-1.298429597093043</v>
      </c>
      <c r="K412" s="30" t="n">
        <v>21.64</v>
      </c>
      <c r="L412" s="37" t="n">
        <v>17.3</v>
      </c>
      <c r="M412" s="18" t="n">
        <v>0</v>
      </c>
      <c r="N412" s="19" t="n">
        <v>9.5</v>
      </c>
      <c r="O412" s="108">
        <f>COUNTIFS($E:$E,$E412,$L:$L,"&gt;"&amp;$L412)+1</f>
        <v/>
      </c>
      <c r="P412" s="108">
        <f>COUNTIFS($E:$E,$E412,$M:$M,"&gt;"&amp;$M412)+1</f>
        <v/>
      </c>
      <c r="Q412" s="108">
        <f>COUNTIFS($E:$E,$E412,$N:$N,"&gt;"&amp;$N412)+1</f>
        <v/>
      </c>
      <c r="R412" s="31" t="inlineStr">
        <is>
          <t>📉 Weak</t>
        </is>
      </c>
      <c r="S412" s="31" t="inlineStr">
        <is>
          <t>🔴 Not Qualified</t>
        </is>
      </c>
      <c r="T412" s="31" t="inlineStr">
        <is>
          <t>🔴 Avoid</t>
        </is>
      </c>
      <c r="U412" s="83" t="inlineStr">
        <is>
          <t>FULL</t>
        </is>
      </c>
    </row>
    <row r="413" ht="16" customHeight="1">
      <c r="A413" s="13" t="n">
        <v>409</v>
      </c>
      <c r="B413" s="14" t="inlineStr">
        <is>
          <t>Mahindra Manulife Asia Pacific REITs FOF - Regular Plan - Growth</t>
        </is>
      </c>
      <c r="C413" s="14" t="inlineStr">
        <is>
          <t>Mahindra Manulife Mutual Fund</t>
        </is>
      </c>
      <c r="D413" s="14" t="inlineStr">
        <is>
          <t>Fof Overseas</t>
        </is>
      </c>
      <c r="E413" s="14" t="inlineStr">
        <is>
          <t>Standard Equity/Debt</t>
        </is>
      </c>
      <c r="F413" s="16" t="n">
        <v>-0.85</v>
      </c>
      <c r="G413" s="16" t="n">
        <v>-0.57</v>
      </c>
      <c r="H413" s="16" t="n">
        <v>-0.1</v>
      </c>
      <c r="I413" s="15" t="n">
        <v>11.79</v>
      </c>
      <c r="J413" s="15" t="n">
        <v>13.47686988985906</v>
      </c>
      <c r="K413" s="15" t="n">
        <v>31.8</v>
      </c>
      <c r="L413" s="37" t="n">
        <v>11.8</v>
      </c>
      <c r="M413" s="18" t="n">
        <v>6.3</v>
      </c>
      <c r="N413" s="19" t="n">
        <v>9.300000000000001</v>
      </c>
      <c r="O413" s="108">
        <f>COUNTIFS($E:$E,$E413,$L:$L,"&gt;"&amp;$L413)+1</f>
        <v/>
      </c>
      <c r="P413" s="108">
        <f>COUNTIFS($E:$E,$E413,$M:$M,"&gt;"&amp;$M413)+1</f>
        <v/>
      </c>
      <c r="Q413" s="108">
        <f>COUNTIFS($E:$E,$E413,$N:$N,"&gt;"&amp;$N413)+1</f>
        <v/>
      </c>
      <c r="R413" s="20" t="inlineStr">
        <is>
          <t>📉 Weak</t>
        </is>
      </c>
      <c r="S413" s="20" t="inlineStr">
        <is>
          <t>⚠️ Below Avg</t>
        </is>
      </c>
      <c r="T413" s="20" t="inlineStr">
        <is>
          <t>🔴 Avoid</t>
        </is>
      </c>
      <c r="U413" s="83" t="inlineStr">
        <is>
          <t>FULL</t>
        </is>
      </c>
    </row>
    <row r="414" ht="16" customHeight="1">
      <c r="A414" s="28" t="n">
        <v>410</v>
      </c>
      <c r="B414" s="29" t="inlineStr">
        <is>
          <t>Nippon India ETF Nifty 50 Shariah BeES</t>
        </is>
      </c>
      <c r="C414" s="29" t="inlineStr">
        <is>
          <t>Nippon India Mutual Fund</t>
        </is>
      </c>
      <c r="D414" s="29" t="inlineStr">
        <is>
          <t>Other  Etfs</t>
        </is>
      </c>
      <c r="E414" s="29" t="inlineStr">
        <is>
          <t>Index Fund</t>
        </is>
      </c>
      <c r="F414" s="30" t="n">
        <v>0.17</v>
      </c>
      <c r="G414" s="91" t="n">
        <v>-2.11</v>
      </c>
      <c r="H414" s="91" t="n">
        <v>-5.86</v>
      </c>
      <c r="I414" s="91" t="n">
        <v>-6.49</v>
      </c>
      <c r="J414" s="91" t="n">
        <v>-10.91015770583046</v>
      </c>
      <c r="K414" s="30" t="n">
        <v>7.38</v>
      </c>
      <c r="L414" s="37" t="n">
        <v>16.8</v>
      </c>
      <c r="M414" s="18" t="n">
        <v>0</v>
      </c>
      <c r="N414" s="19" t="n">
        <v>9.300000000000001</v>
      </c>
      <c r="O414" s="108">
        <f>COUNTIFS($E:$E,$E414,$L:$L,"&gt;"&amp;$L414)+1</f>
        <v/>
      </c>
      <c r="P414" s="108">
        <f>COUNTIFS($E:$E,$E414,$M:$M,"&gt;"&amp;$M414)+1</f>
        <v/>
      </c>
      <c r="Q414" s="108">
        <f>COUNTIFS($E:$E,$E414,$N:$N,"&gt;"&amp;$N414)+1</f>
        <v/>
      </c>
      <c r="R414" s="31" t="inlineStr">
        <is>
          <t>📉 Weak</t>
        </is>
      </c>
      <c r="S414" s="31" t="inlineStr">
        <is>
          <t>🔴 Not Qualified</t>
        </is>
      </c>
      <c r="T414" s="31" t="inlineStr">
        <is>
          <t>🔴 Avoid</t>
        </is>
      </c>
      <c r="U414" s="83" t="inlineStr">
        <is>
          <t>FULL</t>
        </is>
      </c>
    </row>
    <row r="415" ht="16" customHeight="1">
      <c r="A415" s="13" t="n">
        <v>411</v>
      </c>
      <c r="B415" s="14" t="inlineStr">
        <is>
          <t>SBI BSE Sensex Index Fund - Regular Plan - Growth</t>
        </is>
      </c>
      <c r="C415" s="14" t="inlineStr">
        <is>
          <t>SBI Mutual Fund</t>
        </is>
      </c>
      <c r="D415" s="14" t="inlineStr">
        <is>
          <t>Index Funds</t>
        </is>
      </c>
      <c r="E415" s="14" t="inlineStr">
        <is>
          <t>Index Fund</t>
        </is>
      </c>
      <c r="F415" s="16" t="n">
        <v>-1.01</v>
      </c>
      <c r="G415" s="15" t="n">
        <v>3.28</v>
      </c>
      <c r="H415" s="16" t="n">
        <v>-7.24</v>
      </c>
      <c r="I415" s="16" t="n">
        <v>-3.69</v>
      </c>
      <c r="J415" s="16" t="n">
        <v>-1.425155338697082</v>
      </c>
      <c r="K415" s="15" t="n">
        <v>21.24</v>
      </c>
      <c r="L415" s="37" t="n">
        <v>16.6</v>
      </c>
      <c r="M415" s="18" t="n">
        <v>0</v>
      </c>
      <c r="N415" s="19" t="n">
        <v>9.1</v>
      </c>
      <c r="O415" s="108">
        <f>COUNTIFS($E:$E,$E415,$L:$L,"&gt;"&amp;$L415)+1</f>
        <v/>
      </c>
      <c r="P415" s="108">
        <f>COUNTIFS($E:$E,$E415,$M:$M,"&gt;"&amp;$M415)+1</f>
        <v/>
      </c>
      <c r="Q415" s="108">
        <f>COUNTIFS($E:$E,$E415,$N:$N,"&gt;"&amp;$N415)+1</f>
        <v/>
      </c>
      <c r="R415" s="20" t="inlineStr">
        <is>
          <t>📉 Weak</t>
        </is>
      </c>
      <c r="S415" s="20" t="inlineStr">
        <is>
          <t>🔴 Not Qualified</t>
        </is>
      </c>
      <c r="T415" s="20" t="inlineStr">
        <is>
          <t>🔴 Avoid</t>
        </is>
      </c>
      <c r="U415" s="83" t="inlineStr">
        <is>
          <t>FULL</t>
        </is>
      </c>
    </row>
    <row r="416" ht="16" customHeight="1">
      <c r="A416" s="28" t="n">
        <v>412</v>
      </c>
      <c r="B416" s="29" t="inlineStr">
        <is>
          <t>UTI BSE Low Volatility Index Fund - Regular Plan - Growth Option</t>
        </is>
      </c>
      <c r="C416" s="29" t="inlineStr">
        <is>
          <t>UTI Mutual Fund</t>
        </is>
      </c>
      <c r="D416" s="29" t="inlineStr">
        <is>
          <t>Index Funds</t>
        </is>
      </c>
      <c r="E416" s="29" t="inlineStr">
        <is>
          <t>Index Fund</t>
        </is>
      </c>
      <c r="F416" s="91" t="n">
        <v>-0.62</v>
      </c>
      <c r="G416" s="30" t="n">
        <v>1.01</v>
      </c>
      <c r="H416" s="91" t="n">
        <v>-5.68</v>
      </c>
      <c r="I416" s="91" t="n">
        <v>-1.3</v>
      </c>
      <c r="J416" s="91" t="n">
        <v>-2.650115562472288</v>
      </c>
      <c r="K416" s="30" t="n">
        <v>27.75</v>
      </c>
      <c r="L416" s="37" t="n">
        <v>16.4</v>
      </c>
      <c r="M416" s="18" t="n">
        <v>0</v>
      </c>
      <c r="N416" s="19" t="n">
        <v>9</v>
      </c>
      <c r="O416" s="108">
        <f>COUNTIFS($E:$E,$E416,$L:$L,"&gt;"&amp;$L416)+1</f>
        <v/>
      </c>
      <c r="P416" s="108">
        <f>COUNTIFS($E:$E,$E416,$M:$M,"&gt;"&amp;$M416)+1</f>
        <v/>
      </c>
      <c r="Q416" s="108">
        <f>COUNTIFS($E:$E,$E416,$N:$N,"&gt;"&amp;$N416)+1</f>
        <v/>
      </c>
      <c r="R416" s="31" t="inlineStr">
        <is>
          <t>📉 Weak</t>
        </is>
      </c>
      <c r="S416" s="31" t="inlineStr">
        <is>
          <t>🔴 Not Qualified</t>
        </is>
      </c>
      <c r="T416" s="31" t="inlineStr">
        <is>
          <t>🔴 Avoid</t>
        </is>
      </c>
      <c r="U416" s="83" t="inlineStr">
        <is>
          <t>FULL</t>
        </is>
      </c>
    </row>
    <row r="417" ht="16" customHeight="1">
      <c r="A417" s="13" t="n">
        <v>413</v>
      </c>
      <c r="B417" s="14" t="inlineStr">
        <is>
          <t>DSP Nifty Midcap 150 Quality 50 ETF</t>
        </is>
      </c>
      <c r="C417" s="14" t="inlineStr">
        <is>
          <t>DSP Mutual Fund</t>
        </is>
      </c>
      <c r="D417" s="14" t="inlineStr">
        <is>
          <t>Other  Etfs</t>
        </is>
      </c>
      <c r="E417" s="14" t="inlineStr">
        <is>
          <t>Index Fund</t>
        </is>
      </c>
      <c r="F417" s="15" t="n">
        <v>3</v>
      </c>
      <c r="G417" s="16" t="n">
        <v>-89.48</v>
      </c>
      <c r="H417" s="16" t="n">
        <v>-89.51000000000001</v>
      </c>
      <c r="I417" s="16" t="n">
        <v>-89.58</v>
      </c>
      <c r="J417" s="16" t="n">
        <v>-68.26673669475515</v>
      </c>
      <c r="K417" s="16" t="n">
        <v>-86.17</v>
      </c>
      <c r="L417" s="37" t="n">
        <v>16.4</v>
      </c>
      <c r="M417" s="18" t="n">
        <v>0</v>
      </c>
      <c r="N417" s="19" t="n">
        <v>9</v>
      </c>
      <c r="O417" s="108">
        <f>COUNTIFS($E:$E,$E417,$L:$L,"&gt;"&amp;$L417)+1</f>
        <v/>
      </c>
      <c r="P417" s="108">
        <f>COUNTIFS($E:$E,$E417,$M:$M,"&gt;"&amp;$M417)+1</f>
        <v/>
      </c>
      <c r="Q417" s="108">
        <f>COUNTIFS($E:$E,$E417,$N:$N,"&gt;"&amp;$N417)+1</f>
        <v/>
      </c>
      <c r="R417" s="20" t="inlineStr">
        <is>
          <t>📉 Weak</t>
        </is>
      </c>
      <c r="S417" s="20" t="inlineStr">
        <is>
          <t>🔴 Not Qualified</t>
        </is>
      </c>
      <c r="T417" s="20" t="inlineStr">
        <is>
          <t>🔴 Avoid</t>
        </is>
      </c>
      <c r="U417" s="83" t="inlineStr">
        <is>
          <t>FULL</t>
        </is>
      </c>
    </row>
    <row r="418" ht="16" customHeight="1">
      <c r="A418" s="28" t="n">
        <v>414</v>
      </c>
      <c r="B418" s="29" t="inlineStr">
        <is>
          <t>Nippon India Index Fund - BSE Sensex Plan - Growth Plan - Growth Option</t>
        </is>
      </c>
      <c r="C418" s="29" t="inlineStr">
        <is>
          <t>Nippon India Mutual Fund</t>
        </is>
      </c>
      <c r="D418" s="29" t="inlineStr">
        <is>
          <t>Index Funds</t>
        </is>
      </c>
      <c r="E418" s="29" t="inlineStr">
        <is>
          <t>Index Fund</t>
        </is>
      </c>
      <c r="F418" s="91" t="n">
        <v>-1.02</v>
      </c>
      <c r="G418" s="30" t="n">
        <v>3.26</v>
      </c>
      <c r="H418" s="91" t="n">
        <v>-7.25</v>
      </c>
      <c r="I418" s="91" t="n">
        <v>-3.67</v>
      </c>
      <c r="J418" s="91" t="n">
        <v>-1.399797160452054</v>
      </c>
      <c r="K418" s="30" t="n">
        <v>21.2</v>
      </c>
      <c r="L418" s="37" t="n">
        <v>16.3</v>
      </c>
      <c r="M418" s="18" t="n">
        <v>0</v>
      </c>
      <c r="N418" s="19" t="n">
        <v>8.9</v>
      </c>
      <c r="O418" s="108">
        <f>COUNTIFS($E:$E,$E418,$L:$L,"&gt;"&amp;$L418)+1</f>
        <v/>
      </c>
      <c r="P418" s="108">
        <f>COUNTIFS($E:$E,$E418,$M:$M,"&gt;"&amp;$M418)+1</f>
        <v/>
      </c>
      <c r="Q418" s="108">
        <f>COUNTIFS($E:$E,$E418,$N:$N,"&gt;"&amp;$N418)+1</f>
        <v/>
      </c>
      <c r="R418" s="31" t="inlineStr">
        <is>
          <t>📉 Weak</t>
        </is>
      </c>
      <c r="S418" s="31" t="inlineStr">
        <is>
          <t>🔴 Not Qualified</t>
        </is>
      </c>
      <c r="T418" s="31" t="inlineStr">
        <is>
          <t>🔴 Avoid</t>
        </is>
      </c>
      <c r="U418" s="83" t="inlineStr">
        <is>
          <t>FULL</t>
        </is>
      </c>
    </row>
    <row r="419" ht="16" customHeight="1">
      <c r="A419" s="13" t="n">
        <v>415</v>
      </c>
      <c r="B419" s="14" t="inlineStr">
        <is>
          <t>Nippon India Index Fund - BSE Sensex Plan - Growth Plan - Bonus Option</t>
        </is>
      </c>
      <c r="C419" s="14" t="inlineStr">
        <is>
          <t>Nippon India Mutual Fund</t>
        </is>
      </c>
      <c r="D419" s="14" t="inlineStr">
        <is>
          <t>Index Funds</t>
        </is>
      </c>
      <c r="E419" s="14" t="inlineStr">
        <is>
          <t>Index Fund</t>
        </is>
      </c>
      <c r="F419" s="16" t="n">
        <v>-1.02</v>
      </c>
      <c r="G419" s="15" t="n">
        <v>3.26</v>
      </c>
      <c r="H419" s="16" t="n">
        <v>-7.25</v>
      </c>
      <c r="I419" s="16" t="n">
        <v>-3.67</v>
      </c>
      <c r="J419" s="16" t="n">
        <v>-1.399797160452054</v>
      </c>
      <c r="K419" s="15" t="n">
        <v>21.2</v>
      </c>
      <c r="L419" s="37" t="n">
        <v>16.3</v>
      </c>
      <c r="M419" s="18" t="n">
        <v>0</v>
      </c>
      <c r="N419" s="19" t="n">
        <v>8.9</v>
      </c>
      <c r="O419" s="108">
        <f>COUNTIFS($E:$E,$E419,$L:$L,"&gt;"&amp;$L419)+1</f>
        <v/>
      </c>
      <c r="P419" s="108">
        <f>COUNTIFS($E:$E,$E419,$M:$M,"&gt;"&amp;$M419)+1</f>
        <v/>
      </c>
      <c r="Q419" s="108">
        <f>COUNTIFS($E:$E,$E419,$N:$N,"&gt;"&amp;$N419)+1</f>
        <v/>
      </c>
      <c r="R419" s="20" t="inlineStr">
        <is>
          <t>📉 Weak</t>
        </is>
      </c>
      <c r="S419" s="20" t="inlineStr">
        <is>
          <t>🔴 Not Qualified</t>
        </is>
      </c>
      <c r="T419" s="20" t="inlineStr">
        <is>
          <t>🔴 Avoid</t>
        </is>
      </c>
      <c r="U419" s="83" t="inlineStr">
        <is>
          <t>FULL</t>
        </is>
      </c>
    </row>
    <row r="420" ht="16" customHeight="1">
      <c r="A420" s="28" t="n">
        <v>416</v>
      </c>
      <c r="B420" s="29" t="inlineStr">
        <is>
          <t>Tata S&amp;P BSE Sensex Index Fund -Regular Plan</t>
        </is>
      </c>
      <c r="C420" s="29" t="inlineStr">
        <is>
          <t>Tata Mutual Fund</t>
        </is>
      </c>
      <c r="D420" s="29" t="inlineStr">
        <is>
          <t>Index Funds</t>
        </is>
      </c>
      <c r="E420" s="29" t="inlineStr">
        <is>
          <t>Index Fund</t>
        </is>
      </c>
      <c r="F420" s="91" t="n">
        <v>-1.03</v>
      </c>
      <c r="G420" s="30" t="n">
        <v>3.24</v>
      </c>
      <c r="H420" s="91" t="n">
        <v>-7.32</v>
      </c>
      <c r="I420" s="91" t="n">
        <v>-3.77</v>
      </c>
      <c r="J420" s="91" t="n">
        <v>-1.531730999270631</v>
      </c>
      <c r="K420" s="30" t="n">
        <v>20.71</v>
      </c>
      <c r="L420" s="37" t="n">
        <v>15.7</v>
      </c>
      <c r="M420" s="18" t="n">
        <v>0</v>
      </c>
      <c r="N420" s="19" t="n">
        <v>8.6</v>
      </c>
      <c r="O420" s="108">
        <f>COUNTIFS($E:$E,$E420,$L:$L,"&gt;"&amp;$L420)+1</f>
        <v/>
      </c>
      <c r="P420" s="108">
        <f>COUNTIFS($E:$E,$E420,$M:$M,"&gt;"&amp;$M420)+1</f>
        <v/>
      </c>
      <c r="Q420" s="108">
        <f>COUNTIFS($E:$E,$E420,$N:$N,"&gt;"&amp;$N420)+1</f>
        <v/>
      </c>
      <c r="R420" s="31" t="inlineStr">
        <is>
          <t>📉 Weak</t>
        </is>
      </c>
      <c r="S420" s="31" t="inlineStr">
        <is>
          <t>🔴 Not Qualified</t>
        </is>
      </c>
      <c r="T420" s="31" t="inlineStr">
        <is>
          <t>🔴 Avoid</t>
        </is>
      </c>
      <c r="U420" s="83" t="inlineStr">
        <is>
          <t>FULL</t>
        </is>
      </c>
    </row>
    <row r="421" ht="16" customHeight="1">
      <c r="A421" s="13" t="n">
        <v>417</v>
      </c>
      <c r="B421" s="14" t="inlineStr">
        <is>
          <t>LIC MF BSE Sensex Index Fund-Regular Plan-Growth</t>
        </is>
      </c>
      <c r="C421" s="14" t="inlineStr">
        <is>
          <t>LIC Mutual Fund</t>
        </is>
      </c>
      <c r="D421" s="14" t="inlineStr">
        <is>
          <t>Index Funds</t>
        </is>
      </c>
      <c r="E421" s="14" t="inlineStr">
        <is>
          <t>Index Fund</t>
        </is>
      </c>
      <c r="F421" s="16" t="n">
        <v>-1.06</v>
      </c>
      <c r="G421" s="15" t="n">
        <v>3.12</v>
      </c>
      <c r="H421" s="16" t="n">
        <v>-7.4</v>
      </c>
      <c r="I421" s="16" t="n">
        <v>-4.15</v>
      </c>
      <c r="J421" s="16" t="n">
        <v>-1.948992865957766</v>
      </c>
      <c r="K421" s="15" t="n">
        <v>19.17</v>
      </c>
      <c r="L421" s="37" t="n">
        <v>14.8</v>
      </c>
      <c r="M421" s="18" t="n">
        <v>0</v>
      </c>
      <c r="N421" s="19" t="n">
        <v>8.199999999999999</v>
      </c>
      <c r="O421" s="108">
        <f>COUNTIFS($E:$E,$E421,$L:$L,"&gt;"&amp;$L421)+1</f>
        <v/>
      </c>
      <c r="P421" s="108">
        <f>COUNTIFS($E:$E,$E421,$M:$M,"&gt;"&amp;$M421)+1</f>
        <v/>
      </c>
      <c r="Q421" s="108">
        <f>COUNTIFS($E:$E,$E421,$N:$N,"&gt;"&amp;$N421)+1</f>
        <v/>
      </c>
      <c r="R421" s="20" t="inlineStr">
        <is>
          <t>📉 Weak</t>
        </is>
      </c>
      <c r="S421" s="20" t="inlineStr">
        <is>
          <t>🔴 Not Qualified</t>
        </is>
      </c>
      <c r="T421" s="20" t="inlineStr">
        <is>
          <t>🔴 Avoid</t>
        </is>
      </c>
      <c r="U421" s="83" t="inlineStr">
        <is>
          <t>FULL</t>
        </is>
      </c>
    </row>
    <row r="422" ht="16" customHeight="1">
      <c r="A422" s="28" t="n">
        <v>418</v>
      </c>
      <c r="B422" s="29" t="inlineStr">
        <is>
          <t>ICICI Prudential BHARAT 22 FOF - Cumulative Option</t>
        </is>
      </c>
      <c r="C422" s="29" t="inlineStr">
        <is>
          <t>ICICI Prudential Mutual Fund</t>
        </is>
      </c>
      <c r="D422" s="29" t="inlineStr">
        <is>
          <t>Fof Domestic</t>
        </is>
      </c>
      <c r="E422" s="29" t="inlineStr">
        <is>
          <t>Standard Equity/Debt</t>
        </is>
      </c>
      <c r="F422" s="91" t="n">
        <v>-0.43</v>
      </c>
      <c r="G422" s="91" t="n">
        <v>-4</v>
      </c>
      <c r="H422" s="91" t="n">
        <v>-8.9</v>
      </c>
      <c r="I422" s="30" t="n">
        <v>6.92</v>
      </c>
      <c r="J422" s="91" t="n">
        <v>-0.3305463042964196</v>
      </c>
      <c r="K422" s="30" t="n">
        <v>66.03</v>
      </c>
      <c r="L422" s="37" t="n">
        <v>14.7</v>
      </c>
      <c r="M422" s="18" t="n">
        <v>0</v>
      </c>
      <c r="N422" s="19" t="n">
        <v>8.1</v>
      </c>
      <c r="O422" s="108">
        <f>COUNTIFS($E:$E,$E422,$L:$L,"&gt;"&amp;$L422)+1</f>
        <v/>
      </c>
      <c r="P422" s="108">
        <f>COUNTIFS($E:$E,$E422,$M:$M,"&gt;"&amp;$M422)+1</f>
        <v/>
      </c>
      <c r="Q422" s="108">
        <f>COUNTIFS($E:$E,$E422,$N:$N,"&gt;"&amp;$N422)+1</f>
        <v/>
      </c>
      <c r="R422" s="31" t="inlineStr">
        <is>
          <t>📉 Weak</t>
        </is>
      </c>
      <c r="S422" s="31" t="inlineStr">
        <is>
          <t>🔴 Not Qualified</t>
        </is>
      </c>
      <c r="T422" s="31" t="inlineStr">
        <is>
          <t>🔴 Avoid</t>
        </is>
      </c>
      <c r="U422" s="83" t="inlineStr">
        <is>
          <t>FULL</t>
        </is>
      </c>
    </row>
    <row r="423" ht="16" customHeight="1">
      <c r="A423" s="13" t="n">
        <v>419</v>
      </c>
      <c r="B423" s="14" t="inlineStr">
        <is>
          <t>Motilal Oswal BSE Low Volatility Index Fund-Regular plan</t>
        </is>
      </c>
      <c r="C423" s="14" t="inlineStr">
        <is>
          <t>Motilal Oswal Mutual Fund</t>
        </is>
      </c>
      <c r="D423" s="14" t="inlineStr">
        <is>
          <t>Index Funds</t>
        </is>
      </c>
      <c r="E423" s="14" t="inlineStr">
        <is>
          <t>Index Fund</t>
        </is>
      </c>
      <c r="F423" s="16" t="n">
        <v>-0.64</v>
      </c>
      <c r="G423" s="15" t="n">
        <v>0.9399999999999999</v>
      </c>
      <c r="H423" s="16" t="n">
        <v>-5.91</v>
      </c>
      <c r="I423" s="16" t="n">
        <v>-1.59</v>
      </c>
      <c r="J423" s="16" t="n">
        <v>-2.886664149561824</v>
      </c>
      <c r="K423" s="15" t="n">
        <v>26.6</v>
      </c>
      <c r="L423" s="37" t="n">
        <v>13.8</v>
      </c>
      <c r="M423" s="18" t="n">
        <v>0</v>
      </c>
      <c r="N423" s="19" t="n">
        <v>7.6</v>
      </c>
      <c r="O423" s="108">
        <f>COUNTIFS($E:$E,$E423,$L:$L,"&gt;"&amp;$L423)+1</f>
        <v/>
      </c>
      <c r="P423" s="108">
        <f>COUNTIFS($E:$E,$E423,$M:$M,"&gt;"&amp;$M423)+1</f>
        <v/>
      </c>
      <c r="Q423" s="108">
        <f>COUNTIFS($E:$E,$E423,$N:$N,"&gt;"&amp;$N423)+1</f>
        <v/>
      </c>
      <c r="R423" s="20" t="inlineStr">
        <is>
          <t>📉 Weak</t>
        </is>
      </c>
      <c r="S423" s="20" t="inlineStr">
        <is>
          <t>🔴 Not Qualified</t>
        </is>
      </c>
      <c r="T423" s="20" t="inlineStr">
        <is>
          <t>🔴 Avoid</t>
        </is>
      </c>
      <c r="U423" s="83" t="inlineStr">
        <is>
          <t>FULL</t>
        </is>
      </c>
    </row>
    <row r="424" ht="16" customHeight="1">
      <c r="A424" s="28" t="n">
        <v>420</v>
      </c>
      <c r="B424" s="29" t="inlineStr">
        <is>
          <t>Edelweiss NIFTY Large Midcap 250 Index Fund - Regular Plan Payout</t>
        </is>
      </c>
      <c r="C424" s="29" t="inlineStr">
        <is>
          <t>Edelweiss Mutual Fund</t>
        </is>
      </c>
      <c r="D424" s="29" t="inlineStr">
        <is>
          <t>Index Funds</t>
        </is>
      </c>
      <c r="E424" s="29" t="inlineStr">
        <is>
          <t>Index Fund</t>
        </is>
      </c>
      <c r="F424" s="91" t="n">
        <v>-5.06</v>
      </c>
      <c r="G424" s="91" t="n">
        <v>-2.13</v>
      </c>
      <c r="H424" s="91" t="n">
        <v>-5.46</v>
      </c>
      <c r="I424" s="91" t="n">
        <v>-0.74</v>
      </c>
      <c r="J424" s="91" t="n">
        <v>-0.9898995051515036</v>
      </c>
      <c r="K424" s="30" t="n">
        <v>38.48</v>
      </c>
      <c r="L424" s="37" t="n">
        <v>13.5</v>
      </c>
      <c r="M424" s="18" t="n">
        <v>0</v>
      </c>
      <c r="N424" s="19" t="n">
        <v>7.4</v>
      </c>
      <c r="O424" s="108">
        <f>COUNTIFS($E:$E,$E424,$L:$L,"&gt;"&amp;$L424)+1</f>
        <v/>
      </c>
      <c r="P424" s="108">
        <f>COUNTIFS($E:$E,$E424,$M:$M,"&gt;"&amp;$M424)+1</f>
        <v/>
      </c>
      <c r="Q424" s="108">
        <f>COUNTIFS($E:$E,$E424,$N:$N,"&gt;"&amp;$N424)+1</f>
        <v/>
      </c>
      <c r="R424" s="31" t="inlineStr">
        <is>
          <t>📉 Weak</t>
        </is>
      </c>
      <c r="S424" s="31" t="inlineStr">
        <is>
          <t>🔴 Not Qualified</t>
        </is>
      </c>
      <c r="T424" s="31" t="inlineStr">
        <is>
          <t>🔴 Avoid</t>
        </is>
      </c>
      <c r="U424" s="83" t="inlineStr">
        <is>
          <t>FULL</t>
        </is>
      </c>
    </row>
    <row r="425" ht="16" customHeight="1">
      <c r="A425" s="13" t="n">
        <v>421</v>
      </c>
      <c r="B425" s="14" t="inlineStr">
        <is>
          <t>HDFC NIFTY 50 VALUE 20 ETF - Growth Option</t>
        </is>
      </c>
      <c r="C425" s="14" t="inlineStr">
        <is>
          <t>HDFC Mutual Fund</t>
        </is>
      </c>
      <c r="D425" s="14" t="inlineStr">
        <is>
          <t>Other  Etfs</t>
        </is>
      </c>
      <c r="E425" s="14" t="inlineStr">
        <is>
          <t>Index Fund</t>
        </is>
      </c>
      <c r="F425" s="16" t="n">
        <v>-2.24</v>
      </c>
      <c r="G425" s="16" t="n">
        <v>-0.74</v>
      </c>
      <c r="H425" s="16" t="n">
        <v>-9.390000000000001</v>
      </c>
      <c r="I425" s="16" t="n">
        <v>-3.95</v>
      </c>
      <c r="J425" s="16" t="n">
        <v>-6.351721852454761</v>
      </c>
      <c r="K425" s="15" t="n">
        <v>24.75</v>
      </c>
      <c r="L425" s="37" t="n">
        <v>10.4</v>
      </c>
      <c r="M425" s="18" t="n">
        <v>0</v>
      </c>
      <c r="N425" s="19" t="n">
        <v>5.7</v>
      </c>
      <c r="O425" s="108">
        <f>COUNTIFS($E:$E,$E425,$L:$L,"&gt;"&amp;$L425)+1</f>
        <v/>
      </c>
      <c r="P425" s="108">
        <f>COUNTIFS($E:$E,$E425,$M:$M,"&gt;"&amp;$M425)+1</f>
        <v/>
      </c>
      <c r="Q425" s="108">
        <f>COUNTIFS($E:$E,$E425,$N:$N,"&gt;"&amp;$N425)+1</f>
        <v/>
      </c>
      <c r="R425" s="20" t="inlineStr">
        <is>
          <t>📉 Weak</t>
        </is>
      </c>
      <c r="S425" s="20" t="inlineStr">
        <is>
          <t>🔴 Not Qualified</t>
        </is>
      </c>
      <c r="T425" s="20" t="inlineStr">
        <is>
          <t>🔴 Avoid</t>
        </is>
      </c>
      <c r="U425" s="83" t="inlineStr">
        <is>
          <t>FULL</t>
        </is>
      </c>
    </row>
    <row r="426" ht="16" customHeight="1">
      <c r="A426" s="28" t="n">
        <v>422</v>
      </c>
      <c r="B426" s="29" t="inlineStr">
        <is>
          <t>ICICI Prudential Nifty50 Value 20 ETF</t>
        </is>
      </c>
      <c r="C426" s="29" t="inlineStr">
        <is>
          <t>ICICI Prudential Mutual Fund</t>
        </is>
      </c>
      <c r="D426" s="29" t="inlineStr">
        <is>
          <t>Other  Etfs</t>
        </is>
      </c>
      <c r="E426" s="29" t="inlineStr">
        <is>
          <t>Index Fund</t>
        </is>
      </c>
      <c r="F426" s="91" t="n">
        <v>-2.24</v>
      </c>
      <c r="G426" s="91" t="n">
        <v>-0.76</v>
      </c>
      <c r="H426" s="91" t="n">
        <v>-9.4</v>
      </c>
      <c r="I426" s="91" t="n">
        <v>-4</v>
      </c>
      <c r="J426" s="91" t="n">
        <v>-6.415813301605278</v>
      </c>
      <c r="K426" s="91" t="n">
        <v>-87.55</v>
      </c>
      <c r="L426" s="37" t="n">
        <v>10</v>
      </c>
      <c r="M426" s="18" t="n">
        <v>0</v>
      </c>
      <c r="N426" s="19" t="n">
        <v>5.5</v>
      </c>
      <c r="O426" s="108">
        <f>COUNTIFS($E:$E,$E426,$L:$L,"&gt;"&amp;$L426)+1</f>
        <v/>
      </c>
      <c r="P426" s="108">
        <f>COUNTIFS($E:$E,$E426,$M:$M,"&gt;"&amp;$M426)+1</f>
        <v/>
      </c>
      <c r="Q426" s="108">
        <f>COUNTIFS($E:$E,$E426,$N:$N,"&gt;"&amp;$N426)+1</f>
        <v/>
      </c>
      <c r="R426" s="31" t="inlineStr">
        <is>
          <t>📉 Weak</t>
        </is>
      </c>
      <c r="S426" s="31" t="inlineStr">
        <is>
          <t>🔴 Not Qualified</t>
        </is>
      </c>
      <c r="T426" s="31" t="inlineStr">
        <is>
          <t>🔴 Avoid</t>
        </is>
      </c>
      <c r="U426" s="83" t="inlineStr">
        <is>
          <t>FULL</t>
        </is>
      </c>
    </row>
    <row r="427" ht="16" customHeight="1">
      <c r="A427" s="13" t="n">
        <v>423</v>
      </c>
      <c r="B427" s="14" t="inlineStr">
        <is>
          <t>Nippon India ETF Nifty 50 Value 20</t>
        </is>
      </c>
      <c r="C427" s="14" t="inlineStr">
        <is>
          <t>Nippon India Mutual Fund</t>
        </is>
      </c>
      <c r="D427" s="14" t="inlineStr">
        <is>
          <t>Other  Etfs</t>
        </is>
      </c>
      <c r="E427" s="14" t="inlineStr">
        <is>
          <t>Index Fund</t>
        </is>
      </c>
      <c r="F427" s="16" t="n">
        <v>-2.24</v>
      </c>
      <c r="G427" s="16" t="n">
        <v>-0.77</v>
      </c>
      <c r="H427" s="16" t="n">
        <v>-9.42</v>
      </c>
      <c r="I427" s="16" t="n">
        <v>-4</v>
      </c>
      <c r="J427" s="16" t="n">
        <v>-6.410470671126889</v>
      </c>
      <c r="K427" s="15" t="n">
        <v>24.33</v>
      </c>
      <c r="L427" s="37" t="n">
        <v>9.800000000000001</v>
      </c>
      <c r="M427" s="18" t="n">
        <v>0</v>
      </c>
      <c r="N427" s="19" t="n">
        <v>5.4</v>
      </c>
      <c r="O427" s="108">
        <f>COUNTIFS($E:$E,$E427,$L:$L,"&gt;"&amp;$L427)+1</f>
        <v/>
      </c>
      <c r="P427" s="108">
        <f>COUNTIFS($E:$E,$E427,$M:$M,"&gt;"&amp;$M427)+1</f>
        <v/>
      </c>
      <c r="Q427" s="108">
        <f>COUNTIFS($E:$E,$E427,$N:$N,"&gt;"&amp;$N427)+1</f>
        <v/>
      </c>
      <c r="R427" s="20" t="inlineStr">
        <is>
          <t>📉 Weak</t>
        </is>
      </c>
      <c r="S427" s="20" t="inlineStr">
        <is>
          <t>🔴 Not Qualified</t>
        </is>
      </c>
      <c r="T427" s="20" t="inlineStr">
        <is>
          <t>🔴 Avoid</t>
        </is>
      </c>
      <c r="U427" s="83" t="inlineStr">
        <is>
          <t>FULL</t>
        </is>
      </c>
    </row>
    <row r="428" ht="16" customHeight="1">
      <c r="A428" s="28" t="n">
        <v>424</v>
      </c>
      <c r="B428" s="29" t="inlineStr">
        <is>
          <t>Kotak Nifty 50 Value 20 ETF - Payout of Income Distribution cum capital withdrawal option</t>
        </is>
      </c>
      <c r="C428" s="29" t="inlineStr">
        <is>
          <t>Kotak Mahindra Mutual Fund</t>
        </is>
      </c>
      <c r="D428" s="29" t="inlineStr">
        <is>
          <t>Other  Etfs</t>
        </is>
      </c>
      <c r="E428" s="29" t="inlineStr">
        <is>
          <t>Index Fund</t>
        </is>
      </c>
      <c r="F428" s="91" t="n">
        <v>-2.23</v>
      </c>
      <c r="G428" s="91" t="n">
        <v>-0.71</v>
      </c>
      <c r="H428" s="91" t="n">
        <v>-90.93000000000001</v>
      </c>
      <c r="I428" s="91" t="n">
        <v>-90.38</v>
      </c>
      <c r="J428" s="91" t="n">
        <v>-70.3520658392528</v>
      </c>
      <c r="K428" s="91" t="n">
        <v>-87.48999999999999</v>
      </c>
      <c r="L428" s="37" t="n">
        <v>6.5</v>
      </c>
      <c r="M428" s="18" t="n">
        <v>0</v>
      </c>
      <c r="N428" s="19" t="n">
        <v>3.6</v>
      </c>
      <c r="O428" s="108">
        <f>COUNTIFS($E:$E,$E428,$L:$L,"&gt;"&amp;$L428)+1</f>
        <v/>
      </c>
      <c r="P428" s="108">
        <f>COUNTIFS($E:$E,$E428,$M:$M,"&gt;"&amp;$M428)+1</f>
        <v/>
      </c>
      <c r="Q428" s="108">
        <f>COUNTIFS($E:$E,$E428,$N:$N,"&gt;"&amp;$N428)+1</f>
        <v/>
      </c>
      <c r="R428" s="31" t="inlineStr">
        <is>
          <t>📉 Weak</t>
        </is>
      </c>
      <c r="S428" s="31" t="inlineStr">
        <is>
          <t>🔴 Not Qualified</t>
        </is>
      </c>
      <c r="T428" s="31" t="inlineStr">
        <is>
          <t>🔴 Avoid</t>
        </is>
      </c>
      <c r="U428" s="83" t="inlineStr">
        <is>
          <t>FULL</t>
        </is>
      </c>
    </row>
    <row r="429" ht="16" customHeight="1">
      <c r="A429" s="13" t="n">
        <v>425</v>
      </c>
      <c r="B429" s="14" t="inlineStr">
        <is>
          <t>ICICI Prudential Nifty FMCG ETF</t>
        </is>
      </c>
      <c r="C429" s="14" t="inlineStr">
        <is>
          <t>ICICI Prudential Mutual Fund</t>
        </is>
      </c>
      <c r="D429" s="14" t="inlineStr">
        <is>
          <t>Other  Etfs</t>
        </is>
      </c>
      <c r="E429" s="14" t="inlineStr">
        <is>
          <t>Index Fund</t>
        </is>
      </c>
      <c r="F429" s="16" t="n">
        <v>-1.93</v>
      </c>
      <c r="G429" s="16" t="n">
        <v>-5.68</v>
      </c>
      <c r="H429" s="16" t="n">
        <v>-8.42</v>
      </c>
      <c r="I429" s="16" t="n">
        <v>-12.01</v>
      </c>
      <c r="J429" s="16" t="n">
        <v>-11.27007269246752</v>
      </c>
      <c r="K429" s="16" t="n">
        <v>-90.31999999999999</v>
      </c>
      <c r="L429" s="37" t="n">
        <v>4.8</v>
      </c>
      <c r="M429" s="18" t="n">
        <v>0</v>
      </c>
      <c r="N429" s="19" t="n">
        <v>2.7</v>
      </c>
      <c r="O429" s="108">
        <f>COUNTIFS($E:$E,$E429,$L:$L,"&gt;"&amp;$L429)+1</f>
        <v/>
      </c>
      <c r="P429" s="108">
        <f>COUNTIFS($E:$E,$E429,$M:$M,"&gt;"&amp;$M429)+1</f>
        <v/>
      </c>
      <c r="Q429" s="108">
        <f>COUNTIFS($E:$E,$E429,$N:$N,"&gt;"&amp;$N429)+1</f>
        <v/>
      </c>
      <c r="R429" s="20" t="inlineStr">
        <is>
          <t>📉 Weak</t>
        </is>
      </c>
      <c r="S429" s="20" t="inlineStr">
        <is>
          <t>🔴 Not Qualified</t>
        </is>
      </c>
      <c r="T429" s="20" t="inlineStr">
        <is>
          <t>🔴 Avoid</t>
        </is>
      </c>
      <c r="U429" s="83" t="inlineStr">
        <is>
          <t>FULL</t>
        </is>
      </c>
    </row>
    <row r="430" ht="16" customHeight="1">
      <c r="A430" s="28" t="n">
        <v>426</v>
      </c>
      <c r="B430" s="29" t="inlineStr">
        <is>
          <t>Nippon India Nifty 50 Value 20 Index Fund - Regular Plan - Growth Option</t>
        </is>
      </c>
      <c r="C430" s="29" t="inlineStr">
        <is>
          <t>Nippon India Mutual Fund</t>
        </is>
      </c>
      <c r="D430" s="29" t="inlineStr">
        <is>
          <t>Index Funds</t>
        </is>
      </c>
      <c r="E430" s="29" t="inlineStr">
        <is>
          <t>Index Fund</t>
        </is>
      </c>
      <c r="F430" s="91" t="n">
        <v>-2.29</v>
      </c>
      <c r="G430" s="91" t="n">
        <v>-0.96</v>
      </c>
      <c r="H430" s="91" t="n">
        <v>-9.73</v>
      </c>
      <c r="I430" s="91" t="n">
        <v>-4.67</v>
      </c>
      <c r="J430" s="91" t="n">
        <v>-7.005376499498639</v>
      </c>
      <c r="K430" s="30" t="n">
        <v>22.19</v>
      </c>
      <c r="L430" s="37" t="n">
        <v>4.6</v>
      </c>
      <c r="M430" s="18" t="n">
        <v>0</v>
      </c>
      <c r="N430" s="19" t="n">
        <v>2.6</v>
      </c>
      <c r="O430" s="108">
        <f>COUNTIFS($E:$E,$E430,$L:$L,"&gt;"&amp;$L430)+1</f>
        <v/>
      </c>
      <c r="P430" s="108">
        <f>COUNTIFS($E:$E,$E430,$M:$M,"&gt;"&amp;$M430)+1</f>
        <v/>
      </c>
      <c r="Q430" s="108">
        <f>COUNTIFS($E:$E,$E430,$N:$N,"&gt;"&amp;$N430)+1</f>
        <v/>
      </c>
      <c r="R430" s="31" t="inlineStr">
        <is>
          <t>📉 Weak</t>
        </is>
      </c>
      <c r="S430" s="31" t="inlineStr">
        <is>
          <t>🔴 Not Qualified</t>
        </is>
      </c>
      <c r="T430" s="31" t="inlineStr">
        <is>
          <t>🔴 Avoid</t>
        </is>
      </c>
      <c r="U430" s="83" t="inlineStr">
        <is>
          <t>FULL</t>
        </is>
      </c>
    </row>
    <row r="431" ht="16" customHeight="1">
      <c r="A431" s="92" t="n">
        <v>427</v>
      </c>
      <c r="B431" s="93" t="inlineStr">
        <is>
          <t>Motilal Oswal Nifty India Defence Index Fund Regular Plan Growth</t>
        </is>
      </c>
      <c r="C431" s="93" t="inlineStr">
        <is>
          <t>Motilal Oswal Mutual Fund</t>
        </is>
      </c>
      <c r="D431" s="93" t="inlineStr">
        <is>
          <t>Index Funds</t>
        </is>
      </c>
      <c r="E431" s="93" t="inlineStr">
        <is>
          <t>Index Fund</t>
        </is>
      </c>
      <c r="F431" s="94" t="n">
        <v>6.68</v>
      </c>
      <c r="G431" s="94" t="n">
        <v>11.61</v>
      </c>
      <c r="H431" s="94" t="n">
        <v>21.49</v>
      </c>
      <c r="I431" s="94" t="n">
        <v>27.07</v>
      </c>
      <c r="J431" s="94" t="n">
        <v>17.39250401963492</v>
      </c>
      <c r="K431" s="94" t="n">
        <v>0</v>
      </c>
      <c r="L431" s="24" t="n">
        <v>100</v>
      </c>
      <c r="M431" s="18" t="n">
        <v>0</v>
      </c>
      <c r="N431" s="35" t="n">
        <v>55</v>
      </c>
      <c r="O431" s="108">
        <f>COUNTIFS($E:$E,$E431,$L:$L,"&gt;"&amp;$L431)+1</f>
        <v/>
      </c>
      <c r="P431" s="108">
        <f>COUNTIFS($E:$E,$E431,$M:$M,"&gt;"&amp;$M431)+1</f>
        <v/>
      </c>
      <c r="Q431" s="108">
        <f>COUNTIFS($E:$E,$E431,$N:$N,"&gt;"&amp;$N431)+1</f>
        <v/>
      </c>
      <c r="R431" s="95" t="inlineStr">
        <is>
          <t>🔥 Hot</t>
        </is>
      </c>
      <c r="S431" s="95" t="inlineStr">
        <is>
          <t>⏳ New Fund</t>
        </is>
      </c>
      <c r="T431" s="95" t="inlineStr">
        <is>
          <t>🔥 Hot Momentum</t>
        </is>
      </c>
      <c r="U431" s="96" t="inlineStr">
        <is>
          <t>MOMENTUM_ONLY</t>
        </is>
      </c>
    </row>
    <row r="432" ht="16" customHeight="1">
      <c r="A432" s="92" t="n">
        <v>428</v>
      </c>
      <c r="B432" s="93" t="inlineStr">
        <is>
          <t>Motilal Oswal Nifty India Defence ETF</t>
        </is>
      </c>
      <c r="C432" s="93" t="inlineStr">
        <is>
          <t>Motilal Oswal Mutual Fund</t>
        </is>
      </c>
      <c r="D432" s="93" t="inlineStr">
        <is>
          <t>Other  Etfs</t>
        </is>
      </c>
      <c r="E432" s="93" t="inlineStr">
        <is>
          <t>Index Fund</t>
        </is>
      </c>
      <c r="F432" s="94" t="n">
        <v>6.74</v>
      </c>
      <c r="G432" s="94" t="n">
        <v>11.79</v>
      </c>
      <c r="H432" s="94" t="n">
        <v>21.92</v>
      </c>
      <c r="I432" s="94" t="n">
        <v>27.89</v>
      </c>
      <c r="J432" s="94" t="n">
        <v>0</v>
      </c>
      <c r="K432" s="94" t="n">
        <v>0</v>
      </c>
      <c r="L432" s="24" t="n">
        <v>100</v>
      </c>
      <c r="M432" s="18" t="n">
        <v>0</v>
      </c>
      <c r="N432" s="35" t="n">
        <v>55</v>
      </c>
      <c r="O432" s="108">
        <f>COUNTIFS($E:$E,$E432,$L:$L,"&gt;"&amp;$L432)+1</f>
        <v/>
      </c>
      <c r="P432" s="108">
        <f>COUNTIFS($E:$E,$E432,$M:$M,"&gt;"&amp;$M432)+1</f>
        <v/>
      </c>
      <c r="Q432" s="108">
        <f>COUNTIFS($E:$E,$E432,$N:$N,"&gt;"&amp;$N432)+1</f>
        <v/>
      </c>
      <c r="R432" s="95" t="inlineStr">
        <is>
          <t>🔥 Hot</t>
        </is>
      </c>
      <c r="S432" s="95" t="inlineStr">
        <is>
          <t>⏳ New Fund</t>
        </is>
      </c>
      <c r="T432" s="95" t="inlineStr">
        <is>
          <t>🔥 Hot Momentum</t>
        </is>
      </c>
      <c r="U432" s="96" t="inlineStr">
        <is>
          <t>MOMENTUM_ONLY</t>
        </is>
      </c>
    </row>
    <row r="433" ht="16" customHeight="1">
      <c r="A433" s="92" t="n">
        <v>429</v>
      </c>
      <c r="B433" s="93" t="inlineStr">
        <is>
          <t>Bandhan Nifty Alpha 50 Index Fund - Regular Plan - Growth</t>
        </is>
      </c>
      <c r="C433" s="93" t="inlineStr">
        <is>
          <t>Bandhan Mutual Fund</t>
        </is>
      </c>
      <c r="D433" s="93" t="inlineStr">
        <is>
          <t>Index Funds</t>
        </is>
      </c>
      <c r="E433" s="93" t="inlineStr">
        <is>
          <t>Index Fund</t>
        </is>
      </c>
      <c r="F433" s="94" t="n">
        <v>5.18</v>
      </c>
      <c r="G433" s="94" t="n">
        <v>9.25</v>
      </c>
      <c r="H433" s="94" t="n">
        <v>9.359999999999999</v>
      </c>
      <c r="I433" s="94" t="n">
        <v>11.2</v>
      </c>
      <c r="J433" s="97" t="n">
        <v>-3.092827922800268</v>
      </c>
      <c r="K433" s="94" t="n">
        <v>0</v>
      </c>
      <c r="L433" s="24" t="n">
        <v>97.2</v>
      </c>
      <c r="M433" s="18" t="n">
        <v>0</v>
      </c>
      <c r="N433" s="35" t="n">
        <v>53.5</v>
      </c>
      <c r="O433" s="108">
        <f>COUNTIFS($E:$E,$E433,$L:$L,"&gt;"&amp;$L433)+1</f>
        <v/>
      </c>
      <c r="P433" s="108">
        <f>COUNTIFS($E:$E,$E433,$M:$M,"&gt;"&amp;$M433)+1</f>
        <v/>
      </c>
      <c r="Q433" s="108">
        <f>COUNTIFS($E:$E,$E433,$N:$N,"&gt;"&amp;$N433)+1</f>
        <v/>
      </c>
      <c r="R433" s="95" t="inlineStr">
        <is>
          <t>🔥 Hot</t>
        </is>
      </c>
      <c r="S433" s="95" t="inlineStr">
        <is>
          <t>⏳ New Fund</t>
        </is>
      </c>
      <c r="T433" s="95" t="inlineStr">
        <is>
          <t>🔥 Hot Momentum</t>
        </is>
      </c>
      <c r="U433" s="96" t="inlineStr">
        <is>
          <t>MOMENTUM_ONLY</t>
        </is>
      </c>
    </row>
    <row r="434" ht="16" customHeight="1">
      <c r="A434" s="92" t="n">
        <v>430</v>
      </c>
      <c r="B434" s="93" t="inlineStr">
        <is>
          <t>Mirae Asset Nifty EV and New Age Automotive ETF</t>
        </is>
      </c>
      <c r="C434" s="93" t="inlineStr">
        <is>
          <t>Mirae Asset Mutual Fund</t>
        </is>
      </c>
      <c r="D434" s="93" t="inlineStr">
        <is>
          <t>Other  Etfs</t>
        </is>
      </c>
      <c r="E434" s="93" t="inlineStr">
        <is>
          <t>Index Fund</t>
        </is>
      </c>
      <c r="F434" s="94" t="n">
        <v>7.77</v>
      </c>
      <c r="G434" s="94" t="n">
        <v>15.2</v>
      </c>
      <c r="H434" s="94" t="n">
        <v>10.43</v>
      </c>
      <c r="I434" s="94" t="n">
        <v>17.36</v>
      </c>
      <c r="J434" s="94" t="n">
        <v>1.725119808236153</v>
      </c>
      <c r="K434" s="94" t="n">
        <v>0</v>
      </c>
      <c r="L434" s="24" t="n">
        <v>95.2</v>
      </c>
      <c r="M434" s="18" t="n">
        <v>0</v>
      </c>
      <c r="N434" s="35" t="n">
        <v>52.4</v>
      </c>
      <c r="O434" s="108">
        <f>COUNTIFS($E:$E,$E434,$L:$L,"&gt;"&amp;$L434)+1</f>
        <v/>
      </c>
      <c r="P434" s="108">
        <f>COUNTIFS($E:$E,$E434,$M:$M,"&gt;"&amp;$M434)+1</f>
        <v/>
      </c>
      <c r="Q434" s="108">
        <f>COUNTIFS($E:$E,$E434,$N:$N,"&gt;"&amp;$N434)+1</f>
        <v/>
      </c>
      <c r="R434" s="95" t="inlineStr">
        <is>
          <t>🔥 Hot</t>
        </is>
      </c>
      <c r="S434" s="95" t="inlineStr">
        <is>
          <t>⏳ New Fund</t>
        </is>
      </c>
      <c r="T434" s="95" t="inlineStr">
        <is>
          <t>🔥 Hot Momentum</t>
        </is>
      </c>
      <c r="U434" s="96" t="inlineStr">
        <is>
          <t>MOMENTUM_ONLY</t>
        </is>
      </c>
    </row>
    <row r="435" ht="16" customHeight="1">
      <c r="A435" s="92" t="n">
        <v>431</v>
      </c>
      <c r="B435" s="93" t="inlineStr">
        <is>
          <t>ICICI Prudential Nifty EV &amp; New Age Automotive ETF</t>
        </is>
      </c>
      <c r="C435" s="93" t="inlineStr">
        <is>
          <t>ICICI Prudential Mutual Fund</t>
        </is>
      </c>
      <c r="D435" s="93" t="inlineStr">
        <is>
          <t>Other  Etfs</t>
        </is>
      </c>
      <c r="E435" s="93" t="inlineStr">
        <is>
          <t>Index Fund</t>
        </is>
      </c>
      <c r="F435" s="94" t="n">
        <v>7.76</v>
      </c>
      <c r="G435" s="94" t="n">
        <v>15.18</v>
      </c>
      <c r="H435" s="94" t="n">
        <v>10.41</v>
      </c>
      <c r="I435" s="94" t="n">
        <v>17.22</v>
      </c>
      <c r="J435" s="94" t="n">
        <v>0</v>
      </c>
      <c r="K435" s="94" t="n">
        <v>0</v>
      </c>
      <c r="L435" s="24" t="n">
        <v>94.59999999999999</v>
      </c>
      <c r="M435" s="18" t="n">
        <v>0</v>
      </c>
      <c r="N435" s="35" t="n">
        <v>52</v>
      </c>
      <c r="O435" s="108">
        <f>COUNTIFS($E:$E,$E435,$L:$L,"&gt;"&amp;$L435)+1</f>
        <v/>
      </c>
      <c r="P435" s="108">
        <f>COUNTIFS($E:$E,$E435,$M:$M,"&gt;"&amp;$M435)+1</f>
        <v/>
      </c>
      <c r="Q435" s="108">
        <f>COUNTIFS($E:$E,$E435,$N:$N,"&gt;"&amp;$N435)+1</f>
        <v/>
      </c>
      <c r="R435" s="95" t="inlineStr">
        <is>
          <t>🔥 Hot</t>
        </is>
      </c>
      <c r="S435" s="95" t="inlineStr">
        <is>
          <t>⏳ New Fund</t>
        </is>
      </c>
      <c r="T435" s="95" t="inlineStr">
        <is>
          <t>🔥 Hot Momentum</t>
        </is>
      </c>
      <c r="U435" s="96" t="inlineStr">
        <is>
          <t>MOMENTUM_ONLY</t>
        </is>
      </c>
    </row>
    <row r="436" ht="16" customHeight="1">
      <c r="A436" s="92" t="n">
        <v>432</v>
      </c>
      <c r="B436" s="93" t="inlineStr">
        <is>
          <t>Nippon India Nifty Auto Index Fund - Regular Plan- Growth Option</t>
        </is>
      </c>
      <c r="C436" s="93" t="inlineStr">
        <is>
          <t>Nippon India Mutual Fund</t>
        </is>
      </c>
      <c r="D436" s="93" t="inlineStr">
        <is>
          <t>Index Funds</t>
        </is>
      </c>
      <c r="E436" s="93" t="inlineStr">
        <is>
          <t>Index Fund</t>
        </is>
      </c>
      <c r="F436" s="94" t="n">
        <v>8.220000000000001</v>
      </c>
      <c r="G436" s="94" t="n">
        <v>14.7</v>
      </c>
      <c r="H436" s="94" t="n">
        <v>4.01</v>
      </c>
      <c r="I436" s="94" t="n">
        <v>21.7</v>
      </c>
      <c r="J436" s="94" t="n">
        <v>0</v>
      </c>
      <c r="K436" s="94" t="n">
        <v>0</v>
      </c>
      <c r="L436" s="24" t="n">
        <v>94.59999999999999</v>
      </c>
      <c r="M436" s="18" t="n">
        <v>0</v>
      </c>
      <c r="N436" s="35" t="n">
        <v>52</v>
      </c>
      <c r="O436" s="108">
        <f>COUNTIFS($E:$E,$E436,$L:$L,"&gt;"&amp;$L436)+1</f>
        <v/>
      </c>
      <c r="P436" s="108">
        <f>COUNTIFS($E:$E,$E436,$M:$M,"&gt;"&amp;$M436)+1</f>
        <v/>
      </c>
      <c r="Q436" s="108">
        <f>COUNTIFS($E:$E,$E436,$N:$N,"&gt;"&amp;$N436)+1</f>
        <v/>
      </c>
      <c r="R436" s="95" t="inlineStr">
        <is>
          <t>🔥 Hot</t>
        </is>
      </c>
      <c r="S436" s="95" t="inlineStr">
        <is>
          <t>⏳ New Fund</t>
        </is>
      </c>
      <c r="T436" s="95" t="inlineStr">
        <is>
          <t>🔥 Hot Momentum</t>
        </is>
      </c>
      <c r="U436" s="96" t="inlineStr">
        <is>
          <t>MOMENTUM_ONLY</t>
        </is>
      </c>
    </row>
    <row r="437" ht="16" customHeight="1">
      <c r="A437" s="92" t="n">
        <v>433</v>
      </c>
      <c r="B437" s="93" t="inlineStr">
        <is>
          <t>Edelweiss BSE Internet Economy Index Fund - Regular Plan - Growth</t>
        </is>
      </c>
      <c r="C437" s="93" t="inlineStr">
        <is>
          <t>Edelweiss Mutual Fund</t>
        </is>
      </c>
      <c r="D437" s="93" t="inlineStr">
        <is>
          <t>Index Funds</t>
        </is>
      </c>
      <c r="E437" s="93" t="inlineStr">
        <is>
          <t>Index Fund</t>
        </is>
      </c>
      <c r="F437" s="94" t="n">
        <v>5.39</v>
      </c>
      <c r="G437" s="94" t="n">
        <v>9.390000000000001</v>
      </c>
      <c r="H437" s="94" t="n">
        <v>10.2</v>
      </c>
      <c r="I437" s="94" t="n">
        <v>6.51</v>
      </c>
      <c r="J437" s="94" t="n">
        <v>0</v>
      </c>
      <c r="K437" s="94" t="n">
        <v>0</v>
      </c>
      <c r="L437" s="24" t="n">
        <v>94.5</v>
      </c>
      <c r="M437" s="18" t="n">
        <v>0</v>
      </c>
      <c r="N437" s="35" t="n">
        <v>52</v>
      </c>
      <c r="O437" s="108">
        <f>COUNTIFS($E:$E,$E437,$L:$L,"&gt;"&amp;$L437)+1</f>
        <v/>
      </c>
      <c r="P437" s="108">
        <f>COUNTIFS($E:$E,$E437,$M:$M,"&gt;"&amp;$M437)+1</f>
        <v/>
      </c>
      <c r="Q437" s="108">
        <f>COUNTIFS($E:$E,$E437,$N:$N,"&gt;"&amp;$N437)+1</f>
        <v/>
      </c>
      <c r="R437" s="95" t="inlineStr">
        <is>
          <t>🔥 Hot</t>
        </is>
      </c>
      <c r="S437" s="95" t="inlineStr">
        <is>
          <t>⏳ New Fund</t>
        </is>
      </c>
      <c r="T437" s="95" t="inlineStr">
        <is>
          <t>🔥 Hot Momentum</t>
        </is>
      </c>
      <c r="U437" s="96" t="inlineStr">
        <is>
          <t>MOMENTUM_ONLY</t>
        </is>
      </c>
    </row>
    <row r="438" ht="16" customHeight="1">
      <c r="A438" s="92" t="n">
        <v>434</v>
      </c>
      <c r="B438" s="93" t="inlineStr">
        <is>
          <t>Motilal Oswal Nifty MidSmall Healthcare Index Fund-Regular Plan-Growth</t>
        </is>
      </c>
      <c r="C438" s="93" t="inlineStr">
        <is>
          <t>Motilal Oswal Mutual Fund</t>
        </is>
      </c>
      <c r="D438" s="93" t="inlineStr">
        <is>
          <t>Index Funds</t>
        </is>
      </c>
      <c r="E438" s="93" t="inlineStr">
        <is>
          <t>Pharma/Healthcare</t>
        </is>
      </c>
      <c r="F438" s="94" t="n">
        <v>2.75</v>
      </c>
      <c r="G438" s="94" t="n">
        <v>7.29</v>
      </c>
      <c r="H438" s="94" t="n">
        <v>21.16</v>
      </c>
      <c r="I438" s="94" t="n">
        <v>16.43</v>
      </c>
      <c r="J438" s="94" t="n">
        <v>0</v>
      </c>
      <c r="K438" s="94" t="n">
        <v>0</v>
      </c>
      <c r="L438" s="24" t="n">
        <v>94.40000000000001</v>
      </c>
      <c r="M438" s="18" t="n">
        <v>0</v>
      </c>
      <c r="N438" s="35" t="n">
        <v>51.9</v>
      </c>
      <c r="O438" s="108">
        <f>COUNTIFS($E:$E,$E438,$L:$L,"&gt;"&amp;$L438)+1</f>
        <v/>
      </c>
      <c r="P438" s="108">
        <f>COUNTIFS($E:$E,$E438,$M:$M,"&gt;"&amp;$M438)+1</f>
        <v/>
      </c>
      <c r="Q438" s="108">
        <f>COUNTIFS($E:$E,$E438,$N:$N,"&gt;"&amp;$N438)+1</f>
        <v/>
      </c>
      <c r="R438" s="95" t="inlineStr">
        <is>
          <t>🔥 Hot</t>
        </is>
      </c>
      <c r="S438" s="95" t="inlineStr">
        <is>
          <t>⏳ New Fund</t>
        </is>
      </c>
      <c r="T438" s="95" t="inlineStr">
        <is>
          <t>🔥 Hot Momentum</t>
        </is>
      </c>
      <c r="U438" s="96" t="inlineStr">
        <is>
          <t>MOMENTUM_ONLY</t>
        </is>
      </c>
    </row>
    <row r="439" ht="16" customHeight="1">
      <c r="A439" s="92" t="n">
        <v>435</v>
      </c>
      <c r="B439" s="93" t="inlineStr">
        <is>
          <t>Tata Nifty500 Multicap India Manufacturing 50:30:20 Index Fund -Regular Plan-Growth</t>
        </is>
      </c>
      <c r="C439" s="93" t="inlineStr">
        <is>
          <t>Tata Mutual Fund</t>
        </is>
      </c>
      <c r="D439" s="93" t="inlineStr">
        <is>
          <t>Index Funds</t>
        </is>
      </c>
      <c r="E439" s="93" t="inlineStr">
        <is>
          <t>Index Fund</t>
        </is>
      </c>
      <c r="F439" s="94" t="n">
        <v>3.67</v>
      </c>
      <c r="G439" s="94" t="n">
        <v>6.27</v>
      </c>
      <c r="H439" s="94" t="n">
        <v>6.53</v>
      </c>
      <c r="I439" s="94" t="n">
        <v>14.07</v>
      </c>
      <c r="J439" s="94" t="n">
        <v>5.20931517693668</v>
      </c>
      <c r="K439" s="94" t="n">
        <v>0</v>
      </c>
      <c r="L439" s="24" t="n">
        <v>94.40000000000001</v>
      </c>
      <c r="M439" s="18" t="n">
        <v>0</v>
      </c>
      <c r="N439" s="35" t="n">
        <v>51.9</v>
      </c>
      <c r="O439" s="108">
        <f>COUNTIFS($E:$E,$E439,$L:$L,"&gt;"&amp;$L439)+1</f>
        <v/>
      </c>
      <c r="P439" s="108">
        <f>COUNTIFS($E:$E,$E439,$M:$M,"&gt;"&amp;$M439)+1</f>
        <v/>
      </c>
      <c r="Q439" s="108">
        <f>COUNTIFS($E:$E,$E439,$N:$N,"&gt;"&amp;$N439)+1</f>
        <v/>
      </c>
      <c r="R439" s="95" t="inlineStr">
        <is>
          <t>🔥 Hot</t>
        </is>
      </c>
      <c r="S439" s="95" t="inlineStr">
        <is>
          <t>⏳ New Fund</t>
        </is>
      </c>
      <c r="T439" s="95" t="inlineStr">
        <is>
          <t>🔥 Hot Momentum</t>
        </is>
      </c>
      <c r="U439" s="96" t="inlineStr">
        <is>
          <t>MOMENTUM_ONLY</t>
        </is>
      </c>
    </row>
    <row r="440" ht="16" customHeight="1">
      <c r="A440" s="92" t="n">
        <v>436</v>
      </c>
      <c r="B440" s="93" t="inlineStr">
        <is>
          <t>Navi Nifty Smallcap 250 Momentum quality index fund- Regular Plan</t>
        </is>
      </c>
      <c r="C440" s="93" t="inlineStr">
        <is>
          <t>Navi Mutual Fund</t>
        </is>
      </c>
      <c r="D440" s="93" t="inlineStr">
        <is>
          <t>Index Funds</t>
        </is>
      </c>
      <c r="E440" s="93" t="inlineStr">
        <is>
          <t>Index Fund</t>
        </is>
      </c>
      <c r="F440" s="94" t="n">
        <v>3.44</v>
      </c>
      <c r="G440" s="94" t="n">
        <v>8.68</v>
      </c>
      <c r="H440" s="94" t="n">
        <v>14.02</v>
      </c>
      <c r="I440" s="94" t="n">
        <v>8.93</v>
      </c>
      <c r="J440" s="94" t="n">
        <v>0</v>
      </c>
      <c r="K440" s="94" t="n">
        <v>0</v>
      </c>
      <c r="L440" s="24" t="n">
        <v>94.2</v>
      </c>
      <c r="M440" s="18" t="n">
        <v>0</v>
      </c>
      <c r="N440" s="35" t="n">
        <v>51.8</v>
      </c>
      <c r="O440" s="108">
        <f>COUNTIFS($E:$E,$E440,$L:$L,"&gt;"&amp;$L440)+1</f>
        <v/>
      </c>
      <c r="P440" s="108">
        <f>COUNTIFS($E:$E,$E440,$M:$M,"&gt;"&amp;$M440)+1</f>
        <v/>
      </c>
      <c r="Q440" s="108">
        <f>COUNTIFS($E:$E,$E440,$N:$N,"&gt;"&amp;$N440)+1</f>
        <v/>
      </c>
      <c r="R440" s="95" t="inlineStr">
        <is>
          <t>🔥 Hot</t>
        </is>
      </c>
      <c r="S440" s="95" t="inlineStr">
        <is>
          <t>⏳ New Fund</t>
        </is>
      </c>
      <c r="T440" s="95" t="inlineStr">
        <is>
          <t>🔥 Hot Momentum</t>
        </is>
      </c>
      <c r="U440" s="96" t="inlineStr">
        <is>
          <t>MOMENTUM_ONLY</t>
        </is>
      </c>
    </row>
    <row r="441" ht="16" customHeight="1">
      <c r="A441" s="92" t="n">
        <v>437</v>
      </c>
      <c r="B441" s="93" t="inlineStr">
        <is>
          <t>Tata Nifty MidSmall Healthcare Index Fund - Regular Plan - Growth</t>
        </is>
      </c>
      <c r="C441" s="93" t="inlineStr">
        <is>
          <t>Tata Mutual Fund</t>
        </is>
      </c>
      <c r="D441" s="93" t="inlineStr">
        <is>
          <t>Index Funds</t>
        </is>
      </c>
      <c r="E441" s="93" t="inlineStr">
        <is>
          <t>Pharma/Healthcare</t>
        </is>
      </c>
      <c r="F441" s="94" t="n">
        <v>2.74</v>
      </c>
      <c r="G441" s="94" t="n">
        <v>7.28</v>
      </c>
      <c r="H441" s="94" t="n">
        <v>21.19</v>
      </c>
      <c r="I441" s="94" t="n">
        <v>16.26</v>
      </c>
      <c r="J441" s="94" t="n">
        <v>13.7453295744489</v>
      </c>
      <c r="K441" s="94" t="n">
        <v>0</v>
      </c>
      <c r="L441" s="24" t="n">
        <v>94.09999999999999</v>
      </c>
      <c r="M441" s="18" t="n">
        <v>0</v>
      </c>
      <c r="N441" s="35" t="n">
        <v>51.8</v>
      </c>
      <c r="O441" s="108">
        <f>COUNTIFS($E:$E,$E441,$L:$L,"&gt;"&amp;$L441)+1</f>
        <v/>
      </c>
      <c r="P441" s="108">
        <f>COUNTIFS($E:$E,$E441,$M:$M,"&gt;"&amp;$M441)+1</f>
        <v/>
      </c>
      <c r="Q441" s="108">
        <f>COUNTIFS($E:$E,$E441,$N:$N,"&gt;"&amp;$N441)+1</f>
        <v/>
      </c>
      <c r="R441" s="95" t="inlineStr">
        <is>
          <t>🔥 Hot</t>
        </is>
      </c>
      <c r="S441" s="95" t="inlineStr">
        <is>
          <t>⏳ New Fund</t>
        </is>
      </c>
      <c r="T441" s="95" t="inlineStr">
        <is>
          <t>🔥 Hot Momentum</t>
        </is>
      </c>
      <c r="U441" s="96" t="inlineStr">
        <is>
          <t>MOMENTUM_ONLY</t>
        </is>
      </c>
    </row>
    <row r="442" ht="16" customHeight="1">
      <c r="A442" s="92" t="n">
        <v>438</v>
      </c>
      <c r="B442" s="93" t="inlineStr">
        <is>
          <t>Tata Nifty Auto Index Fund - Regular Plan - Growth</t>
        </is>
      </c>
      <c r="C442" s="93" t="inlineStr">
        <is>
          <t>Tata Mutual Fund</t>
        </is>
      </c>
      <c r="D442" s="93" t="inlineStr">
        <is>
          <t>Index Funds</t>
        </is>
      </c>
      <c r="E442" s="93" t="inlineStr">
        <is>
          <t>Index Fund</t>
        </is>
      </c>
      <c r="F442" s="94" t="n">
        <v>8.220000000000001</v>
      </c>
      <c r="G442" s="94" t="n">
        <v>14.53</v>
      </c>
      <c r="H442" s="94" t="n">
        <v>3.64</v>
      </c>
      <c r="I442" s="94" t="n">
        <v>21.18</v>
      </c>
      <c r="J442" s="94" t="n">
        <v>6.723942955646089</v>
      </c>
      <c r="K442" s="94" t="n">
        <v>0</v>
      </c>
      <c r="L442" s="24" t="n">
        <v>93.7</v>
      </c>
      <c r="M442" s="18" t="n">
        <v>0</v>
      </c>
      <c r="N442" s="35" t="n">
        <v>51.5</v>
      </c>
      <c r="O442" s="108">
        <f>COUNTIFS($E:$E,$E442,$L:$L,"&gt;"&amp;$L442)+1</f>
        <v/>
      </c>
      <c r="P442" s="108">
        <f>COUNTIFS($E:$E,$E442,$M:$M,"&gt;"&amp;$M442)+1</f>
        <v/>
      </c>
      <c r="Q442" s="108">
        <f>COUNTIFS($E:$E,$E442,$N:$N,"&gt;"&amp;$N442)+1</f>
        <v/>
      </c>
      <c r="R442" s="95" t="inlineStr">
        <is>
          <t>🔥 Hot</t>
        </is>
      </c>
      <c r="S442" s="95" t="inlineStr">
        <is>
          <t>⏳ New Fund</t>
        </is>
      </c>
      <c r="T442" s="95" t="inlineStr">
        <is>
          <t>🔥 Hot Momentum</t>
        </is>
      </c>
      <c r="U442" s="96" t="inlineStr">
        <is>
          <t>MOMENTUM_ONLY</t>
        </is>
      </c>
    </row>
    <row r="443" ht="16" customHeight="1">
      <c r="A443" s="92" t="n">
        <v>439</v>
      </c>
      <c r="B443" s="93" t="inlineStr">
        <is>
          <t>Bandhan BSE Healthcare Index Fund Regular Plan - Growth</t>
        </is>
      </c>
      <c r="C443" s="93" t="inlineStr">
        <is>
          <t>Bandhan Mutual Fund</t>
        </is>
      </c>
      <c r="D443" s="93" t="inlineStr">
        <is>
          <t>Index Funds</t>
        </is>
      </c>
      <c r="E443" s="93" t="inlineStr">
        <is>
          <t>Pharma/Healthcare</t>
        </is>
      </c>
      <c r="F443" s="94" t="n">
        <v>2.05</v>
      </c>
      <c r="G443" s="94" t="n">
        <v>6.85</v>
      </c>
      <c r="H443" s="94" t="n">
        <v>16.99</v>
      </c>
      <c r="I443" s="94" t="n">
        <v>13.56</v>
      </c>
      <c r="J443" s="94" t="n">
        <v>0</v>
      </c>
      <c r="K443" s="94" t="n">
        <v>0</v>
      </c>
      <c r="L443" s="24" t="n">
        <v>92.5</v>
      </c>
      <c r="M443" s="18" t="n">
        <v>0</v>
      </c>
      <c r="N443" s="35" t="n">
        <v>50.9</v>
      </c>
      <c r="O443" s="108">
        <f>COUNTIFS($E:$E,$E443,$L:$L,"&gt;"&amp;$L443)+1</f>
        <v/>
      </c>
      <c r="P443" s="108">
        <f>COUNTIFS($E:$E,$E443,$M:$M,"&gt;"&amp;$M443)+1</f>
        <v/>
      </c>
      <c r="Q443" s="108">
        <f>COUNTIFS($E:$E,$E443,$N:$N,"&gt;"&amp;$N443)+1</f>
        <v/>
      </c>
      <c r="R443" s="95" t="inlineStr">
        <is>
          <t>🔥 Hot</t>
        </is>
      </c>
      <c r="S443" s="95" t="inlineStr">
        <is>
          <t>⏳ New Fund</t>
        </is>
      </c>
      <c r="T443" s="95" t="inlineStr">
        <is>
          <t>🔥 Hot Momentum</t>
        </is>
      </c>
      <c r="U443" s="96" t="inlineStr">
        <is>
          <t>MOMENTUM_ONLY</t>
        </is>
      </c>
    </row>
    <row r="444" ht="16" customHeight="1">
      <c r="A444" s="92" t="n">
        <v>440</v>
      </c>
      <c r="B444" s="93" t="inlineStr">
        <is>
          <t>Motilal Oswal Nifty Alpha 50 ETF</t>
        </is>
      </c>
      <c r="C444" s="93" t="inlineStr">
        <is>
          <t>Motilal Oswal Mutual Fund</t>
        </is>
      </c>
      <c r="D444" s="93" t="inlineStr">
        <is>
          <t>Other  Etfs</t>
        </is>
      </c>
      <c r="E444" s="93" t="inlineStr">
        <is>
          <t>Index Fund</t>
        </is>
      </c>
      <c r="F444" s="94" t="n">
        <v>5.22</v>
      </c>
      <c r="G444" s="94" t="n">
        <v>9.359999999999999</v>
      </c>
      <c r="H444" s="94" t="n">
        <v>9.619999999999999</v>
      </c>
      <c r="I444" s="94" t="n">
        <v>11.71</v>
      </c>
      <c r="J444" s="94" t="n">
        <v>0</v>
      </c>
      <c r="K444" s="94" t="n">
        <v>0</v>
      </c>
      <c r="L444" s="24" t="n">
        <v>92.5</v>
      </c>
      <c r="M444" s="18" t="n">
        <v>0</v>
      </c>
      <c r="N444" s="35" t="n">
        <v>50.9</v>
      </c>
      <c r="O444" s="108">
        <f>COUNTIFS($E:$E,$E444,$L:$L,"&gt;"&amp;$L444)+1</f>
        <v/>
      </c>
      <c r="P444" s="108">
        <f>COUNTIFS($E:$E,$E444,$M:$M,"&gt;"&amp;$M444)+1</f>
        <v/>
      </c>
      <c r="Q444" s="108">
        <f>COUNTIFS($E:$E,$E444,$N:$N,"&gt;"&amp;$N444)+1</f>
        <v/>
      </c>
      <c r="R444" s="95" t="inlineStr">
        <is>
          <t>🔥 Hot</t>
        </is>
      </c>
      <c r="S444" s="95" t="inlineStr">
        <is>
          <t>⏳ New Fund</t>
        </is>
      </c>
      <c r="T444" s="95" t="inlineStr">
        <is>
          <t>🔥 Hot Momentum</t>
        </is>
      </c>
      <c r="U444" s="96" t="inlineStr">
        <is>
          <t>MOMENTUM_ONLY</t>
        </is>
      </c>
    </row>
    <row r="445" ht="16" customHeight="1">
      <c r="A445" s="92" t="n">
        <v>441</v>
      </c>
      <c r="B445" s="93" t="inlineStr">
        <is>
          <t>Mirae Asset Nifty Smallcap 250 Momentum Quality 100 ETF</t>
        </is>
      </c>
      <c r="C445" s="93" t="inlineStr">
        <is>
          <t>Mirae Asset Mutual Fund</t>
        </is>
      </c>
      <c r="D445" s="93" t="inlineStr">
        <is>
          <t>Other  Etfs</t>
        </is>
      </c>
      <c r="E445" s="93" t="inlineStr">
        <is>
          <t>Index Fund</t>
        </is>
      </c>
      <c r="F445" s="94" t="n">
        <v>3.52</v>
      </c>
      <c r="G445" s="94" t="n">
        <v>8.949999999999999</v>
      </c>
      <c r="H445" s="94" t="n">
        <v>14.53</v>
      </c>
      <c r="I445" s="94" t="n">
        <v>9.9</v>
      </c>
      <c r="J445" s="97" t="n">
        <v>-2.665525120849399</v>
      </c>
      <c r="K445" s="94" t="n">
        <v>0</v>
      </c>
      <c r="L445" s="24" t="n">
        <v>91.09999999999999</v>
      </c>
      <c r="M445" s="18" t="n">
        <v>0</v>
      </c>
      <c r="N445" s="35" t="n">
        <v>50.1</v>
      </c>
      <c r="O445" s="108">
        <f>COUNTIFS($E:$E,$E445,$L:$L,"&gt;"&amp;$L445)+1</f>
        <v/>
      </c>
      <c r="P445" s="108">
        <f>COUNTIFS($E:$E,$E445,$M:$M,"&gt;"&amp;$M445)+1</f>
        <v/>
      </c>
      <c r="Q445" s="108">
        <f>COUNTIFS($E:$E,$E445,$N:$N,"&gt;"&amp;$N445)+1</f>
        <v/>
      </c>
      <c r="R445" s="95" t="inlineStr">
        <is>
          <t>🔥 Hot</t>
        </is>
      </c>
      <c r="S445" s="95" t="inlineStr">
        <is>
          <t>⏳ New Fund</t>
        </is>
      </c>
      <c r="T445" s="95" t="inlineStr">
        <is>
          <t>🔥 Hot Momentum</t>
        </is>
      </c>
      <c r="U445" s="96" t="inlineStr">
        <is>
          <t>MOMENTUM_ONLY</t>
        </is>
      </c>
    </row>
    <row r="446" ht="16" customHeight="1">
      <c r="A446" s="92" t="n">
        <v>442</v>
      </c>
      <c r="B446" s="93" t="inlineStr">
        <is>
          <t>Kotak Nifty SmallCap 250 Index Fund- Regular - Growth</t>
        </is>
      </c>
      <c r="C446" s="93" t="inlineStr">
        <is>
          <t>Kotak Mahindra Mutual Fund</t>
        </is>
      </c>
      <c r="D446" s="93" t="inlineStr">
        <is>
          <t>Index Funds</t>
        </is>
      </c>
      <c r="E446" s="93" t="inlineStr">
        <is>
          <t>Index Fund</t>
        </is>
      </c>
      <c r="F446" s="94" t="n">
        <v>1.94</v>
      </c>
      <c r="G446" s="94" t="n">
        <v>10.15</v>
      </c>
      <c r="H446" s="94" t="n">
        <v>13.28</v>
      </c>
      <c r="I446" s="94" t="n">
        <v>9.77</v>
      </c>
      <c r="J446" s="94" t="n">
        <v>0</v>
      </c>
      <c r="K446" s="94" t="n">
        <v>0</v>
      </c>
      <c r="L446" s="24" t="n">
        <v>91</v>
      </c>
      <c r="M446" s="18" t="n">
        <v>0</v>
      </c>
      <c r="N446" s="35" t="n">
        <v>50.1</v>
      </c>
      <c r="O446" s="108">
        <f>COUNTIFS($E:$E,$E446,$L:$L,"&gt;"&amp;$L446)+1</f>
        <v/>
      </c>
      <c r="P446" s="108">
        <f>COUNTIFS($E:$E,$E446,$M:$M,"&gt;"&amp;$M446)+1</f>
        <v/>
      </c>
      <c r="Q446" s="108">
        <f>COUNTIFS($E:$E,$E446,$N:$N,"&gt;"&amp;$N446)+1</f>
        <v/>
      </c>
      <c r="R446" s="95" t="inlineStr">
        <is>
          <t>🔥 Hot</t>
        </is>
      </c>
      <c r="S446" s="95" t="inlineStr">
        <is>
          <t>⏳ New Fund</t>
        </is>
      </c>
      <c r="T446" s="95" t="inlineStr">
        <is>
          <t>🔥 Hot Momentum</t>
        </is>
      </c>
      <c r="U446" s="96" t="inlineStr">
        <is>
          <t>MOMENTUM_ONLY</t>
        </is>
      </c>
    </row>
    <row r="447" ht="16" customHeight="1">
      <c r="A447" s="92" t="n">
        <v>443</v>
      </c>
      <c r="B447" s="93" t="inlineStr">
        <is>
          <t>BANDHAN Nifty Smallcap 250 Index Fund - Regular Plan - Growth</t>
        </is>
      </c>
      <c r="C447" s="93" t="inlineStr">
        <is>
          <t>Bandhan Mutual Fund</t>
        </is>
      </c>
      <c r="D447" s="93" t="inlineStr">
        <is>
          <t>Index Funds</t>
        </is>
      </c>
      <c r="E447" s="93" t="inlineStr">
        <is>
          <t>Index Fund</t>
        </is>
      </c>
      <c r="F447" s="94" t="n">
        <v>1.97</v>
      </c>
      <c r="G447" s="94" t="n">
        <v>10.14</v>
      </c>
      <c r="H447" s="94" t="n">
        <v>13.14</v>
      </c>
      <c r="I447" s="94" t="n">
        <v>9.58</v>
      </c>
      <c r="J447" s="94" t="n">
        <v>2.088197163041339</v>
      </c>
      <c r="K447" s="94" t="n">
        <v>0</v>
      </c>
      <c r="L447" s="24" t="n">
        <v>90.2</v>
      </c>
      <c r="M447" s="18" t="n">
        <v>0</v>
      </c>
      <c r="N447" s="19" t="n">
        <v>49.6</v>
      </c>
      <c r="O447" s="108">
        <f>COUNTIFS($E:$E,$E447,$L:$L,"&gt;"&amp;$L447)+1</f>
        <v/>
      </c>
      <c r="P447" s="108">
        <f>COUNTIFS($E:$E,$E447,$M:$M,"&gt;"&amp;$M447)+1</f>
        <v/>
      </c>
      <c r="Q447" s="108">
        <f>COUNTIFS($E:$E,$E447,$N:$N,"&gt;"&amp;$N447)+1</f>
        <v/>
      </c>
      <c r="R447" s="95" t="inlineStr">
        <is>
          <t>🔥 Hot</t>
        </is>
      </c>
      <c r="S447" s="95" t="inlineStr">
        <is>
          <t>⏳ New Fund</t>
        </is>
      </c>
      <c r="T447" s="95" t="inlineStr">
        <is>
          <t>🔥 Hot Momentum</t>
        </is>
      </c>
      <c r="U447" s="96" t="inlineStr">
        <is>
          <t>MOMENTUM_ONLY</t>
        </is>
      </c>
    </row>
    <row r="448" ht="16" customHeight="1">
      <c r="A448" s="92" t="n">
        <v>444</v>
      </c>
      <c r="B448" s="93" t="inlineStr">
        <is>
          <t>UTI Nifty India Manufacturing Index Fund - Regular Plan - Growth Option</t>
        </is>
      </c>
      <c r="C448" s="93" t="inlineStr">
        <is>
          <t>UTI Mutual Fund</t>
        </is>
      </c>
      <c r="D448" s="93" t="inlineStr">
        <is>
          <t>Index Funds</t>
        </is>
      </c>
      <c r="E448" s="93" t="inlineStr">
        <is>
          <t>Index Fund</t>
        </is>
      </c>
      <c r="F448" s="94" t="n">
        <v>3.99</v>
      </c>
      <c r="G448" s="94" t="n">
        <v>6.34</v>
      </c>
      <c r="H448" s="94" t="n">
        <v>5.25</v>
      </c>
      <c r="I448" s="94" t="n">
        <v>16.62</v>
      </c>
      <c r="J448" s="94" t="n">
        <v>0</v>
      </c>
      <c r="K448" s="94" t="n">
        <v>0</v>
      </c>
      <c r="L448" s="24" t="n">
        <v>90.2</v>
      </c>
      <c r="M448" s="18" t="n">
        <v>0</v>
      </c>
      <c r="N448" s="19" t="n">
        <v>49.6</v>
      </c>
      <c r="O448" s="108">
        <f>COUNTIFS($E:$E,$E448,$L:$L,"&gt;"&amp;$L448)+1</f>
        <v/>
      </c>
      <c r="P448" s="108">
        <f>COUNTIFS($E:$E,$E448,$M:$M,"&gt;"&amp;$M448)+1</f>
        <v/>
      </c>
      <c r="Q448" s="108">
        <f>COUNTIFS($E:$E,$E448,$N:$N,"&gt;"&amp;$N448)+1</f>
        <v/>
      </c>
      <c r="R448" s="95" t="inlineStr">
        <is>
          <t>🔥 Hot</t>
        </is>
      </c>
      <c r="S448" s="95" t="inlineStr">
        <is>
          <t>⏳ New Fund</t>
        </is>
      </c>
      <c r="T448" s="95" t="inlineStr">
        <is>
          <t>🔥 Hot Momentum</t>
        </is>
      </c>
      <c r="U448" s="96" t="inlineStr">
        <is>
          <t>MOMENTUM_ONLY</t>
        </is>
      </c>
    </row>
    <row r="449" ht="16" customHeight="1">
      <c r="A449" s="92" t="n">
        <v>445</v>
      </c>
      <c r="B449" s="93" t="inlineStr">
        <is>
          <t>Bandhan Nifty Next 50 Index Fund - Regular Plan - Growth</t>
        </is>
      </c>
      <c r="C449" s="93" t="inlineStr">
        <is>
          <t>Bandhan Mutual Fund</t>
        </is>
      </c>
      <c r="D449" s="93" t="inlineStr">
        <is>
          <t>Index Funds</t>
        </is>
      </c>
      <c r="E449" s="93" t="inlineStr">
        <is>
          <t>Index Fund</t>
        </is>
      </c>
      <c r="F449" s="94" t="n">
        <v>3.6</v>
      </c>
      <c r="G449" s="94" t="n">
        <v>7.79</v>
      </c>
      <c r="H449" s="94" t="n">
        <v>5.81</v>
      </c>
      <c r="I449" s="94" t="n">
        <v>11.54</v>
      </c>
      <c r="J449" s="94" t="n">
        <v>0</v>
      </c>
      <c r="K449" s="94" t="n">
        <v>0</v>
      </c>
      <c r="L449" s="24" t="n">
        <v>89.59999999999999</v>
      </c>
      <c r="M449" s="18" t="n">
        <v>0</v>
      </c>
      <c r="N449" s="19" t="n">
        <v>49.3</v>
      </c>
      <c r="O449" s="108">
        <f>COUNTIFS($E:$E,$E449,$L:$L,"&gt;"&amp;$L449)+1</f>
        <v/>
      </c>
      <c r="P449" s="108">
        <f>COUNTIFS($E:$E,$E449,$M:$M,"&gt;"&amp;$M449)+1</f>
        <v/>
      </c>
      <c r="Q449" s="108">
        <f>COUNTIFS($E:$E,$E449,$N:$N,"&gt;"&amp;$N449)+1</f>
        <v/>
      </c>
      <c r="R449" s="95" t="inlineStr">
        <is>
          <t>⭐ Strong</t>
        </is>
      </c>
      <c r="S449" s="95" t="inlineStr">
        <is>
          <t>⏳ New Fund</t>
        </is>
      </c>
      <c r="T449" s="95" t="inlineStr">
        <is>
          <t>🔥 Hot Momentum</t>
        </is>
      </c>
      <c r="U449" s="96" t="inlineStr">
        <is>
          <t>MOMENTUM_ONLY</t>
        </is>
      </c>
    </row>
    <row r="450" ht="16" customHeight="1">
      <c r="A450" s="92" t="n">
        <v>446</v>
      </c>
      <c r="B450" s="93" t="inlineStr">
        <is>
          <t>Bajaj Finserv Nifty Next 50 Index Fund - Regular - Growth</t>
        </is>
      </c>
      <c r="C450" s="93" t="inlineStr">
        <is>
          <t>Bajaj Finserv Mutual Fund</t>
        </is>
      </c>
      <c r="D450" s="93" t="inlineStr">
        <is>
          <t>Index Funds</t>
        </is>
      </c>
      <c r="E450" s="93" t="inlineStr">
        <is>
          <t>Index Fund</t>
        </is>
      </c>
      <c r="F450" s="94" t="n">
        <v>3.6</v>
      </c>
      <c r="G450" s="94" t="n">
        <v>7.75</v>
      </c>
      <c r="H450" s="94" t="n">
        <v>5.57</v>
      </c>
      <c r="I450" s="94" t="n">
        <v>10.93</v>
      </c>
      <c r="J450" s="94" t="n">
        <v>0</v>
      </c>
      <c r="K450" s="94" t="n">
        <v>0</v>
      </c>
      <c r="L450" s="24" t="n">
        <v>88.5</v>
      </c>
      <c r="M450" s="18" t="n">
        <v>0</v>
      </c>
      <c r="N450" s="19" t="n">
        <v>48.7</v>
      </c>
      <c r="O450" s="108">
        <f>COUNTIFS($E:$E,$E450,$L:$L,"&gt;"&amp;$L450)+1</f>
        <v/>
      </c>
      <c r="P450" s="108">
        <f>COUNTIFS($E:$E,$E450,$M:$M,"&gt;"&amp;$M450)+1</f>
        <v/>
      </c>
      <c r="Q450" s="108">
        <f>COUNTIFS($E:$E,$E450,$N:$N,"&gt;"&amp;$N450)+1</f>
        <v/>
      </c>
      <c r="R450" s="95" t="inlineStr">
        <is>
          <t>⭐ Strong</t>
        </is>
      </c>
      <c r="S450" s="95" t="inlineStr">
        <is>
          <t>⏳ New Fund</t>
        </is>
      </c>
      <c r="T450" s="95" t="inlineStr">
        <is>
          <t>🔥 Hot Momentum</t>
        </is>
      </c>
      <c r="U450" s="96" t="inlineStr">
        <is>
          <t>MOMENTUM_ONLY</t>
        </is>
      </c>
    </row>
    <row r="451" ht="16" customHeight="1">
      <c r="A451" s="92" t="n">
        <v>447</v>
      </c>
      <c r="B451" s="93" t="inlineStr">
        <is>
          <t>ICICI Prudential Nifty EV &amp; New Age Automotive ETF FOF - Growth</t>
        </is>
      </c>
      <c r="C451" s="93" t="inlineStr">
        <is>
          <t>ICICI Prudential Mutual Fund</t>
        </is>
      </c>
      <c r="D451" s="93" t="inlineStr">
        <is>
          <t>Fof Domestic</t>
        </is>
      </c>
      <c r="E451" s="93" t="inlineStr">
        <is>
          <t>Index Fund</t>
        </is>
      </c>
      <c r="F451" s="94" t="n">
        <v>7.62</v>
      </c>
      <c r="G451" s="94" t="n">
        <v>14.81</v>
      </c>
      <c r="H451" s="94" t="n">
        <v>10.14</v>
      </c>
      <c r="I451" s="94" t="n">
        <v>16.46</v>
      </c>
      <c r="J451" s="94" t="n">
        <v>0</v>
      </c>
      <c r="K451" s="94" t="n">
        <v>0</v>
      </c>
      <c r="L451" s="24" t="n">
        <v>87.3</v>
      </c>
      <c r="M451" s="18" t="n">
        <v>0</v>
      </c>
      <c r="N451" s="19" t="n">
        <v>48</v>
      </c>
      <c r="O451" s="108">
        <f>COUNTIFS($E:$E,$E451,$L:$L,"&gt;"&amp;$L451)+1</f>
        <v/>
      </c>
      <c r="P451" s="108">
        <f>COUNTIFS($E:$E,$E451,$M:$M,"&gt;"&amp;$M451)+1</f>
        <v/>
      </c>
      <c r="Q451" s="108">
        <f>COUNTIFS($E:$E,$E451,$N:$N,"&gt;"&amp;$N451)+1</f>
        <v/>
      </c>
      <c r="R451" s="95" t="inlineStr">
        <is>
          <t>⭐ Strong</t>
        </is>
      </c>
      <c r="S451" s="95" t="inlineStr">
        <is>
          <t>⏳ New Fund</t>
        </is>
      </c>
      <c r="T451" s="95" t="inlineStr">
        <is>
          <t>🔥 Hot Momentum</t>
        </is>
      </c>
      <c r="U451" s="96" t="inlineStr">
        <is>
          <t>MOMENTUM_ONLY</t>
        </is>
      </c>
    </row>
    <row r="452" ht="16" customHeight="1">
      <c r="A452" s="92" t="n">
        <v>448</v>
      </c>
      <c r="B452" s="93" t="inlineStr">
        <is>
          <t>Motilal Oswal Nifty MidSmall IT and Telecom Index Fund-Regular Plan-Growth</t>
        </is>
      </c>
      <c r="C452" s="93" t="inlineStr">
        <is>
          <t>Motilal Oswal Mutual Fund</t>
        </is>
      </c>
      <c r="D452" s="93" t="inlineStr">
        <is>
          <t>Index Funds</t>
        </is>
      </c>
      <c r="E452" s="93" t="inlineStr">
        <is>
          <t>Index Fund</t>
        </is>
      </c>
      <c r="F452" s="94" t="n">
        <v>3.06</v>
      </c>
      <c r="G452" s="94" t="n">
        <v>7.9</v>
      </c>
      <c r="H452" s="94" t="n">
        <v>7.39</v>
      </c>
      <c r="I452" s="94" t="n">
        <v>6.27</v>
      </c>
      <c r="J452" s="94" t="n">
        <v>0</v>
      </c>
      <c r="K452" s="94" t="n">
        <v>0</v>
      </c>
      <c r="L452" s="24" t="n">
        <v>86.2</v>
      </c>
      <c r="M452" s="18" t="n">
        <v>0</v>
      </c>
      <c r="N452" s="19" t="n">
        <v>47.4</v>
      </c>
      <c r="O452" s="108">
        <f>COUNTIFS($E:$E,$E452,$L:$L,"&gt;"&amp;$L452)+1</f>
        <v/>
      </c>
      <c r="P452" s="108">
        <f>COUNTIFS($E:$E,$E452,$M:$M,"&gt;"&amp;$M452)+1</f>
        <v/>
      </c>
      <c r="Q452" s="108">
        <f>COUNTIFS($E:$E,$E452,$N:$N,"&gt;"&amp;$N452)+1</f>
        <v/>
      </c>
      <c r="R452" s="95" t="inlineStr">
        <is>
          <t>⭐ Strong</t>
        </is>
      </c>
      <c r="S452" s="95" t="inlineStr">
        <is>
          <t>⏳ New Fund</t>
        </is>
      </c>
      <c r="T452" s="95" t="inlineStr">
        <is>
          <t>🔥 Hot Momentum</t>
        </is>
      </c>
      <c r="U452" s="96" t="inlineStr">
        <is>
          <t>MOMENTUM_ONLY</t>
        </is>
      </c>
    </row>
    <row r="453" ht="16" customHeight="1">
      <c r="A453" s="92" t="n">
        <v>449</v>
      </c>
      <c r="B453" s="93" t="inlineStr">
        <is>
          <t>MOTILAL OSWAL NIFTY NEXT 50 ETF</t>
        </is>
      </c>
      <c r="C453" s="93" t="inlineStr">
        <is>
          <t>Motilal Oswal Mutual Fund</t>
        </is>
      </c>
      <c r="D453" s="93" t="inlineStr">
        <is>
          <t>Other  Etfs</t>
        </is>
      </c>
      <c r="E453" s="93" t="inlineStr">
        <is>
          <t>Index Fund</t>
        </is>
      </c>
      <c r="F453" s="94" t="n">
        <v>3.67</v>
      </c>
      <c r="G453" s="94" t="n">
        <v>8.130000000000001</v>
      </c>
      <c r="H453" s="94" t="n">
        <v>6.21</v>
      </c>
      <c r="I453" s="94" t="n">
        <v>12.41</v>
      </c>
      <c r="J453" s="94" t="n">
        <v>0</v>
      </c>
      <c r="K453" s="94" t="n">
        <v>0</v>
      </c>
      <c r="L453" s="24" t="n">
        <v>85.90000000000001</v>
      </c>
      <c r="M453" s="18" t="n">
        <v>0</v>
      </c>
      <c r="N453" s="19" t="n">
        <v>47.3</v>
      </c>
      <c r="O453" s="108">
        <f>COUNTIFS($E:$E,$E453,$L:$L,"&gt;"&amp;$L453)+1</f>
        <v/>
      </c>
      <c r="P453" s="108">
        <f>COUNTIFS($E:$E,$E453,$M:$M,"&gt;"&amp;$M453)+1</f>
        <v/>
      </c>
      <c r="Q453" s="108">
        <f>COUNTIFS($E:$E,$E453,$N:$N,"&gt;"&amp;$N453)+1</f>
        <v/>
      </c>
      <c r="R453" s="95" t="inlineStr">
        <is>
          <t>⭐ Strong</t>
        </is>
      </c>
      <c r="S453" s="95" t="inlineStr">
        <is>
          <t>⏳ New Fund</t>
        </is>
      </c>
      <c r="T453" s="95" t="inlineStr">
        <is>
          <t>🔥 Hot Momentum</t>
        </is>
      </c>
      <c r="U453" s="96" t="inlineStr">
        <is>
          <t>MOMENTUM_ONLY</t>
        </is>
      </c>
    </row>
    <row r="454" ht="16" customHeight="1">
      <c r="A454" s="92" t="n">
        <v>450</v>
      </c>
      <c r="B454" s="93" t="inlineStr">
        <is>
          <t>Motilal Oswal Nifty Smallcap 250 ETF</t>
        </is>
      </c>
      <c r="C454" s="93" t="inlineStr">
        <is>
          <t>Motilal Oswal Mutual Fund</t>
        </is>
      </c>
      <c r="D454" s="93" t="inlineStr">
        <is>
          <t>Other  Etfs</t>
        </is>
      </c>
      <c r="E454" s="93" t="inlineStr">
        <is>
          <t>Index Fund</t>
        </is>
      </c>
      <c r="F454" s="94" t="n">
        <v>2.03</v>
      </c>
      <c r="G454" s="94" t="n">
        <v>10.31</v>
      </c>
      <c r="H454" s="94" t="n">
        <v>13.51</v>
      </c>
      <c r="I454" s="94" t="n">
        <v>10.42</v>
      </c>
      <c r="J454" s="94" t="n">
        <v>2.878569196893488</v>
      </c>
      <c r="K454" s="94" t="n">
        <v>0</v>
      </c>
      <c r="L454" s="24" t="n">
        <v>85.7</v>
      </c>
      <c r="M454" s="18" t="n">
        <v>0</v>
      </c>
      <c r="N454" s="19" t="n">
        <v>47.1</v>
      </c>
      <c r="O454" s="108">
        <f>COUNTIFS($E:$E,$E454,$L:$L,"&gt;"&amp;$L454)+1</f>
        <v/>
      </c>
      <c r="P454" s="108">
        <f>COUNTIFS($E:$E,$E454,$M:$M,"&gt;"&amp;$M454)+1</f>
        <v/>
      </c>
      <c r="Q454" s="108">
        <f>COUNTIFS($E:$E,$E454,$N:$N,"&gt;"&amp;$N454)+1</f>
        <v/>
      </c>
      <c r="R454" s="95" t="inlineStr">
        <is>
          <t>⭐ Strong</t>
        </is>
      </c>
      <c r="S454" s="95" t="inlineStr">
        <is>
          <t>⏳ New Fund</t>
        </is>
      </c>
      <c r="T454" s="95" t="inlineStr">
        <is>
          <t>🔥 Hot Momentum</t>
        </is>
      </c>
      <c r="U454" s="96" t="inlineStr">
        <is>
          <t>MOMENTUM_ONLY</t>
        </is>
      </c>
    </row>
    <row r="455" ht="16" customHeight="1">
      <c r="A455" s="92" t="n">
        <v>451</v>
      </c>
      <c r="B455" s="93" t="inlineStr">
        <is>
          <t>KOTAK NIFTY MIDCAP 50 INDEX FUND-REGULAR PLAN-GROWTH</t>
        </is>
      </c>
      <c r="C455" s="93" t="inlineStr">
        <is>
          <t>Kotak Mahindra Mutual Fund</t>
        </is>
      </c>
      <c r="D455" s="93" t="inlineStr">
        <is>
          <t>Index Funds</t>
        </is>
      </c>
      <c r="E455" s="93" t="inlineStr">
        <is>
          <t>Index Fund</t>
        </is>
      </c>
      <c r="F455" s="94" t="n">
        <v>1.63</v>
      </c>
      <c r="G455" s="94" t="n">
        <v>4.66</v>
      </c>
      <c r="H455" s="94" t="n">
        <v>6.17</v>
      </c>
      <c r="I455" s="94" t="n">
        <v>13.81</v>
      </c>
      <c r="J455" s="94" t="n">
        <v>0</v>
      </c>
      <c r="K455" s="94" t="n">
        <v>0</v>
      </c>
      <c r="L455" s="24" t="n">
        <v>84.7</v>
      </c>
      <c r="M455" s="18" t="n">
        <v>0</v>
      </c>
      <c r="N455" s="19" t="n">
        <v>46.6</v>
      </c>
      <c r="O455" s="108">
        <f>COUNTIFS($E:$E,$E455,$L:$L,"&gt;"&amp;$L455)+1</f>
        <v/>
      </c>
      <c r="P455" s="108">
        <f>COUNTIFS($E:$E,$E455,$M:$M,"&gt;"&amp;$M455)+1</f>
        <v/>
      </c>
      <c r="Q455" s="108">
        <f>COUNTIFS($E:$E,$E455,$N:$N,"&gt;"&amp;$N455)+1</f>
        <v/>
      </c>
      <c r="R455" s="95" t="inlineStr">
        <is>
          <t>⭐ Strong</t>
        </is>
      </c>
      <c r="S455" s="95" t="inlineStr">
        <is>
          <t>⏳ New Fund</t>
        </is>
      </c>
      <c r="T455" s="95" t="inlineStr">
        <is>
          <t>🔥 Hot Momentum</t>
        </is>
      </c>
      <c r="U455" s="96" t="inlineStr">
        <is>
          <t>MOMENTUM_ONLY</t>
        </is>
      </c>
    </row>
    <row r="456" ht="16" customHeight="1">
      <c r="A456" s="92" t="n">
        <v>452</v>
      </c>
      <c r="B456" s="93" t="inlineStr">
        <is>
          <t>Nippon India Nifty 500 Equal Weight Index Fund - Regular Plan - Growth Option</t>
        </is>
      </c>
      <c r="C456" s="93" t="inlineStr">
        <is>
          <t>Nippon India Mutual Fund</t>
        </is>
      </c>
      <c r="D456" s="93" t="inlineStr">
        <is>
          <t>Index Funds</t>
        </is>
      </c>
      <c r="E456" s="93" t="inlineStr">
        <is>
          <t>Index Fund</t>
        </is>
      </c>
      <c r="F456" s="94" t="n">
        <v>1.49</v>
      </c>
      <c r="G456" s="94" t="n">
        <v>7.1</v>
      </c>
      <c r="H456" s="94" t="n">
        <v>7.8</v>
      </c>
      <c r="I456" s="94" t="n">
        <v>7.86</v>
      </c>
      <c r="J456" s="94" t="n">
        <v>0</v>
      </c>
      <c r="K456" s="94" t="n">
        <v>0</v>
      </c>
      <c r="L456" s="24" t="n">
        <v>84</v>
      </c>
      <c r="M456" s="18" t="n">
        <v>0</v>
      </c>
      <c r="N456" s="19" t="n">
        <v>46.2</v>
      </c>
      <c r="O456" s="108">
        <f>COUNTIFS($E:$E,$E456,$L:$L,"&gt;"&amp;$L456)+1</f>
        <v/>
      </c>
      <c r="P456" s="108">
        <f>COUNTIFS($E:$E,$E456,$M:$M,"&gt;"&amp;$M456)+1</f>
        <v/>
      </c>
      <c r="Q456" s="108">
        <f>COUNTIFS($E:$E,$E456,$N:$N,"&gt;"&amp;$N456)+1</f>
        <v/>
      </c>
      <c r="R456" s="95" t="inlineStr">
        <is>
          <t>⭐ Strong</t>
        </is>
      </c>
      <c r="S456" s="95" t="inlineStr">
        <is>
          <t>⏳ New Fund</t>
        </is>
      </c>
      <c r="T456" s="95" t="inlineStr">
        <is>
          <t>🔥 Hot Momentum</t>
        </is>
      </c>
      <c r="U456" s="96" t="inlineStr">
        <is>
          <t>MOMENTUM_ONLY</t>
        </is>
      </c>
    </row>
    <row r="457" ht="16" customHeight="1">
      <c r="A457" s="92" t="n">
        <v>453</v>
      </c>
      <c r="B457" s="93" t="inlineStr">
        <is>
          <t>Nippon India Nifty 500 Momentum 50 Index Fund - Regular Plan - Growth Option</t>
        </is>
      </c>
      <c r="C457" s="93" t="inlineStr">
        <is>
          <t>Nippon India Mutual Fund</t>
        </is>
      </c>
      <c r="D457" s="93" t="inlineStr">
        <is>
          <t>Index Funds</t>
        </is>
      </c>
      <c r="E457" s="93" t="inlineStr">
        <is>
          <t>Index Fund</t>
        </is>
      </c>
      <c r="F457" s="94" t="n">
        <v>4.06</v>
      </c>
      <c r="G457" s="94" t="n">
        <v>5.63</v>
      </c>
      <c r="H457" s="94" t="n">
        <v>4.18</v>
      </c>
      <c r="I457" s="94" t="n">
        <v>6.85</v>
      </c>
      <c r="J457" s="94" t="n">
        <v>0</v>
      </c>
      <c r="K457" s="94" t="n">
        <v>0</v>
      </c>
      <c r="L457" s="24" t="n">
        <v>84</v>
      </c>
      <c r="M457" s="18" t="n">
        <v>0</v>
      </c>
      <c r="N457" s="19" t="n">
        <v>46.2</v>
      </c>
      <c r="O457" s="108">
        <f>COUNTIFS($E:$E,$E457,$L:$L,"&gt;"&amp;$L457)+1</f>
        <v/>
      </c>
      <c r="P457" s="108">
        <f>COUNTIFS($E:$E,$E457,$M:$M,"&gt;"&amp;$M457)+1</f>
        <v/>
      </c>
      <c r="Q457" s="108">
        <f>COUNTIFS($E:$E,$E457,$N:$N,"&gt;"&amp;$N457)+1</f>
        <v/>
      </c>
      <c r="R457" s="95" t="inlineStr">
        <is>
          <t>⭐ Strong</t>
        </is>
      </c>
      <c r="S457" s="95" t="inlineStr">
        <is>
          <t>⏳ New Fund</t>
        </is>
      </c>
      <c r="T457" s="95" t="inlineStr">
        <is>
          <t>🔥 Hot Momentum</t>
        </is>
      </c>
      <c r="U457" s="96" t="inlineStr">
        <is>
          <t>MOMENTUM_ONLY</t>
        </is>
      </c>
    </row>
    <row r="458" ht="16" customHeight="1">
      <c r="A458" s="92" t="n">
        <v>454</v>
      </c>
      <c r="B458" s="93" t="inlineStr">
        <is>
          <t>Motilal Oswal Nifty India Manufacturing ETF</t>
        </is>
      </c>
      <c r="C458" s="93" t="inlineStr">
        <is>
          <t>Motilal Oswal Mutual Fund</t>
        </is>
      </c>
      <c r="D458" s="93" t="inlineStr">
        <is>
          <t>Other  Etfs</t>
        </is>
      </c>
      <c r="E458" s="93" t="inlineStr">
        <is>
          <t>Index Fund</t>
        </is>
      </c>
      <c r="F458" s="94" t="n">
        <v>4.01</v>
      </c>
      <c r="G458" s="94" t="n">
        <v>6.35</v>
      </c>
      <c r="H458" s="94" t="n">
        <v>5.38</v>
      </c>
      <c r="I458" s="94" t="n">
        <v>17.12</v>
      </c>
      <c r="J458" s="94" t="n">
        <v>0</v>
      </c>
      <c r="K458" s="94" t="n">
        <v>0</v>
      </c>
      <c r="L458" s="24" t="n">
        <v>83.90000000000001</v>
      </c>
      <c r="M458" s="18" t="n">
        <v>0</v>
      </c>
      <c r="N458" s="19" t="n">
        <v>46.1</v>
      </c>
      <c r="O458" s="108">
        <f>COUNTIFS($E:$E,$E458,$L:$L,"&gt;"&amp;$L458)+1</f>
        <v/>
      </c>
      <c r="P458" s="108">
        <f>COUNTIFS($E:$E,$E458,$M:$M,"&gt;"&amp;$M458)+1</f>
        <v/>
      </c>
      <c r="Q458" s="108">
        <f>COUNTIFS($E:$E,$E458,$N:$N,"&gt;"&amp;$N458)+1</f>
        <v/>
      </c>
      <c r="R458" s="95" t="inlineStr">
        <is>
          <t>⭐ Strong</t>
        </is>
      </c>
      <c r="S458" s="95" t="inlineStr">
        <is>
          <t>⏳ New Fund</t>
        </is>
      </c>
      <c r="T458" s="95" t="inlineStr">
        <is>
          <t>🔥 Hot Momentum</t>
        </is>
      </c>
      <c r="U458" s="96" t="inlineStr">
        <is>
          <t>MOMENTUM_ONLY</t>
        </is>
      </c>
    </row>
    <row r="459" ht="16" customHeight="1">
      <c r="A459" s="92" t="n">
        <v>455</v>
      </c>
      <c r="B459" s="93" t="inlineStr">
        <is>
          <t>Mirae Asset Nifty Smallcap 250 Momentum Quality 100 ETF Fund of Fund - Regular Plan - Growth</t>
        </is>
      </c>
      <c r="C459" s="93" t="inlineStr">
        <is>
          <t>Mirae Asset Mutual Fund</t>
        </is>
      </c>
      <c r="D459" s="93" t="inlineStr">
        <is>
          <t>Fof Domestic</t>
        </is>
      </c>
      <c r="E459" s="93" t="inlineStr">
        <is>
          <t>Index Fund</t>
        </is>
      </c>
      <c r="F459" s="94" t="n">
        <v>3.5</v>
      </c>
      <c r="G459" s="94" t="n">
        <v>8.65</v>
      </c>
      <c r="H459" s="94" t="n">
        <v>13.93</v>
      </c>
      <c r="I459" s="94" t="n">
        <v>8.970000000000001</v>
      </c>
      <c r="J459" s="97" t="n">
        <v>-3.54793936882426</v>
      </c>
      <c r="K459" s="94" t="n">
        <v>0</v>
      </c>
      <c r="L459" s="24" t="n">
        <v>83.59999999999999</v>
      </c>
      <c r="M459" s="18" t="n">
        <v>0</v>
      </c>
      <c r="N459" s="19" t="n">
        <v>46</v>
      </c>
      <c r="O459" s="108">
        <f>COUNTIFS($E:$E,$E459,$L:$L,"&gt;"&amp;$L459)+1</f>
        <v/>
      </c>
      <c r="P459" s="108">
        <f>COUNTIFS($E:$E,$E459,$M:$M,"&gt;"&amp;$M459)+1</f>
        <v/>
      </c>
      <c r="Q459" s="108">
        <f>COUNTIFS($E:$E,$E459,$N:$N,"&gt;"&amp;$N459)+1</f>
        <v/>
      </c>
      <c r="R459" s="95" t="inlineStr">
        <is>
          <t>⭐ Strong</t>
        </is>
      </c>
      <c r="S459" s="95" t="inlineStr">
        <is>
          <t>⏳ New Fund</t>
        </is>
      </c>
      <c r="T459" s="95" t="inlineStr">
        <is>
          <t>🔥 Hot Momentum</t>
        </is>
      </c>
      <c r="U459" s="96" t="inlineStr">
        <is>
          <t>MOMENTUM_ONLY</t>
        </is>
      </c>
    </row>
    <row r="460" ht="16" customHeight="1">
      <c r="A460" s="92" t="n">
        <v>456</v>
      </c>
      <c r="B460" s="93" t="inlineStr">
        <is>
          <t>DSP Nifty Healthcare Index Fund - Regular - Growth</t>
        </is>
      </c>
      <c r="C460" s="93" t="inlineStr">
        <is>
          <t>DSP Mutual Fund</t>
        </is>
      </c>
      <c r="D460" s="93" t="inlineStr">
        <is>
          <t>Index Funds</t>
        </is>
      </c>
      <c r="E460" s="93" t="inlineStr">
        <is>
          <t>Pharma/Healthcare</t>
        </is>
      </c>
      <c r="F460" s="94" t="n">
        <v>1.15</v>
      </c>
      <c r="G460" s="94" t="n">
        <v>4.14</v>
      </c>
      <c r="H460" s="94" t="n">
        <v>12.68</v>
      </c>
      <c r="I460" s="94" t="n">
        <v>11.91</v>
      </c>
      <c r="J460" s="94" t="n">
        <v>0</v>
      </c>
      <c r="K460" s="94" t="n">
        <v>0</v>
      </c>
      <c r="L460" s="24" t="n">
        <v>83.59999999999999</v>
      </c>
      <c r="M460" s="18" t="n">
        <v>0</v>
      </c>
      <c r="N460" s="19" t="n">
        <v>46</v>
      </c>
      <c r="O460" s="108">
        <f>COUNTIFS($E:$E,$E460,$L:$L,"&gt;"&amp;$L460)+1</f>
        <v/>
      </c>
      <c r="P460" s="108">
        <f>COUNTIFS($E:$E,$E460,$M:$M,"&gt;"&amp;$M460)+1</f>
        <v/>
      </c>
      <c r="Q460" s="108">
        <f>COUNTIFS($E:$E,$E460,$N:$N,"&gt;"&amp;$N460)+1</f>
        <v/>
      </c>
      <c r="R460" s="95" t="inlineStr">
        <is>
          <t>⭐ Strong</t>
        </is>
      </c>
      <c r="S460" s="95" t="inlineStr">
        <is>
          <t>⏳ New Fund</t>
        </is>
      </c>
      <c r="T460" s="95" t="inlineStr">
        <is>
          <t>🔥 Hot Momentum</t>
        </is>
      </c>
      <c r="U460" s="96" t="inlineStr">
        <is>
          <t>MOMENTUM_ONLY</t>
        </is>
      </c>
    </row>
    <row r="461" ht="16" customHeight="1">
      <c r="A461" s="92" t="n">
        <v>457</v>
      </c>
      <c r="B461" s="93" t="inlineStr">
        <is>
          <t>Mirae Asset BSE India Defence ETF</t>
        </is>
      </c>
      <c r="C461" s="93" t="inlineStr">
        <is>
          <t>Mirae Asset Mutual Fund</t>
        </is>
      </c>
      <c r="D461" s="93" t="inlineStr">
        <is>
          <t>Other  Etfs</t>
        </is>
      </c>
      <c r="E461" s="93" t="inlineStr">
        <is>
          <t>Index Fund</t>
        </is>
      </c>
      <c r="F461" s="94" t="n">
        <v>7.32</v>
      </c>
      <c r="G461" s="94" t="n">
        <v>13.03</v>
      </c>
      <c r="H461" s="94" t="n">
        <v>21.93</v>
      </c>
      <c r="I461" s="94" t="n">
        <v>0</v>
      </c>
      <c r="J461" s="94" t="n">
        <v>0</v>
      </c>
      <c r="K461" s="94" t="n">
        <v>0</v>
      </c>
      <c r="L461" s="24" t="n">
        <v>83</v>
      </c>
      <c r="M461" s="18" t="n">
        <v>0</v>
      </c>
      <c r="N461" s="19" t="n">
        <v>45.7</v>
      </c>
      <c r="O461" s="108">
        <f>COUNTIFS($E:$E,$E461,$L:$L,"&gt;"&amp;$L461)+1</f>
        <v/>
      </c>
      <c r="P461" s="108">
        <f>COUNTIFS($E:$E,$E461,$M:$M,"&gt;"&amp;$M461)+1</f>
        <v/>
      </c>
      <c r="Q461" s="108">
        <f>COUNTIFS($E:$E,$E461,$N:$N,"&gt;"&amp;$N461)+1</f>
        <v/>
      </c>
      <c r="R461" s="95" t="inlineStr">
        <is>
          <t>⭐ Strong</t>
        </is>
      </c>
      <c r="S461" s="95" t="inlineStr">
        <is>
          <t>⏳ New Fund</t>
        </is>
      </c>
      <c r="T461" s="95" t="inlineStr">
        <is>
          <t>🔥 Hot Momentum</t>
        </is>
      </c>
      <c r="U461" s="96" t="inlineStr">
        <is>
          <t>MOMENTUM_ONLY</t>
        </is>
      </c>
    </row>
    <row r="462" ht="16" customHeight="1">
      <c r="A462" s="92" t="n">
        <v>458</v>
      </c>
      <c r="B462" s="93" t="inlineStr">
        <is>
          <t>UTI Nifty Midsmallcap 400 Momentum Quality 100 Index Fund - Regular Plan - Growth Option</t>
        </is>
      </c>
      <c r="C462" s="93" t="inlineStr">
        <is>
          <t>UTI Mutual Fund</t>
        </is>
      </c>
      <c r="D462" s="93" t="inlineStr">
        <is>
          <t>Index Funds</t>
        </is>
      </c>
      <c r="E462" s="93" t="inlineStr">
        <is>
          <t>Index Fund</t>
        </is>
      </c>
      <c r="F462" s="94" t="n">
        <v>3.57</v>
      </c>
      <c r="G462" s="94" t="n">
        <v>3.41</v>
      </c>
      <c r="H462" s="94" t="n">
        <v>9.23</v>
      </c>
      <c r="I462" s="94" t="n">
        <v>9.220000000000001</v>
      </c>
      <c r="J462" s="94" t="n">
        <v>0</v>
      </c>
      <c r="K462" s="94" t="n">
        <v>0</v>
      </c>
      <c r="L462" s="24" t="n">
        <v>81.7</v>
      </c>
      <c r="M462" s="18" t="n">
        <v>0</v>
      </c>
      <c r="N462" s="19" t="n">
        <v>45</v>
      </c>
      <c r="O462" s="108">
        <f>COUNTIFS($E:$E,$E462,$L:$L,"&gt;"&amp;$L462)+1</f>
        <v/>
      </c>
      <c r="P462" s="108">
        <f>COUNTIFS($E:$E,$E462,$M:$M,"&gt;"&amp;$M462)+1</f>
        <v/>
      </c>
      <c r="Q462" s="108">
        <f>COUNTIFS($E:$E,$E462,$N:$N,"&gt;"&amp;$N462)+1</f>
        <v/>
      </c>
      <c r="R462" s="95" t="inlineStr">
        <is>
          <t>⭐ Strong</t>
        </is>
      </c>
      <c r="S462" s="95" t="inlineStr">
        <is>
          <t>⏳ New Fund</t>
        </is>
      </c>
      <c r="T462" s="95" t="inlineStr">
        <is>
          <t>🔥 Hot Momentum</t>
        </is>
      </c>
      <c r="U462" s="96" t="inlineStr">
        <is>
          <t>MOMENTUM_ONLY</t>
        </is>
      </c>
    </row>
    <row r="463" ht="16" customHeight="1">
      <c r="A463" s="92" t="n">
        <v>459</v>
      </c>
      <c r="B463" s="93" t="inlineStr">
        <is>
          <t>UTI Nifty Midcap 150 Index Fund - Regular Plan - Growth Option</t>
        </is>
      </c>
      <c r="C463" s="93" t="inlineStr">
        <is>
          <t>UTI Mutual Fund</t>
        </is>
      </c>
      <c r="D463" s="93" t="inlineStr">
        <is>
          <t>Index Funds</t>
        </is>
      </c>
      <c r="E463" s="93" t="inlineStr">
        <is>
          <t>Index Fund</t>
        </is>
      </c>
      <c r="F463" s="94" t="n">
        <v>1.75</v>
      </c>
      <c r="G463" s="94" t="n">
        <v>4.49</v>
      </c>
      <c r="H463" s="94" t="n">
        <v>5.31</v>
      </c>
      <c r="I463" s="94" t="n">
        <v>10.77</v>
      </c>
      <c r="J463" s="94" t="n">
        <v>0</v>
      </c>
      <c r="K463" s="94" t="n">
        <v>0</v>
      </c>
      <c r="L463" s="24" t="n">
        <v>80.59999999999999</v>
      </c>
      <c r="M463" s="18" t="n">
        <v>0</v>
      </c>
      <c r="N463" s="19" t="n">
        <v>44.3</v>
      </c>
      <c r="O463" s="108">
        <f>COUNTIFS($E:$E,$E463,$L:$L,"&gt;"&amp;$L463)+1</f>
        <v/>
      </c>
      <c r="P463" s="108">
        <f>COUNTIFS($E:$E,$E463,$M:$M,"&gt;"&amp;$M463)+1</f>
        <v/>
      </c>
      <c r="Q463" s="108">
        <f>COUNTIFS($E:$E,$E463,$N:$N,"&gt;"&amp;$N463)+1</f>
        <v/>
      </c>
      <c r="R463" s="95" t="inlineStr">
        <is>
          <t>⭐ Strong</t>
        </is>
      </c>
      <c r="S463" s="95" t="inlineStr">
        <is>
          <t>⏳ New Fund</t>
        </is>
      </c>
      <c r="T463" s="95" t="inlineStr">
        <is>
          <t>🔥 Hot Momentum</t>
        </is>
      </c>
      <c r="U463" s="96" t="inlineStr">
        <is>
          <t>MOMENTUM_ONLY</t>
        </is>
      </c>
    </row>
    <row r="464" ht="16" customHeight="1">
      <c r="A464" s="92" t="n">
        <v>460</v>
      </c>
      <c r="B464" s="93" t="inlineStr">
        <is>
          <t>KOTAK NIFTY MIDCAP 150 INDEX FUND-REGULAR PLAN-GROWTH</t>
        </is>
      </c>
      <c r="C464" s="93" t="inlineStr">
        <is>
          <t>Kotak Mahindra Mutual Fund</t>
        </is>
      </c>
      <c r="D464" s="93" t="inlineStr">
        <is>
          <t>Index Funds</t>
        </is>
      </c>
      <c r="E464" s="93" t="inlineStr">
        <is>
          <t>Index Fund</t>
        </is>
      </c>
      <c r="F464" s="94" t="n">
        <v>1.76</v>
      </c>
      <c r="G464" s="94" t="n">
        <v>4.53</v>
      </c>
      <c r="H464" s="94" t="n">
        <v>5.29</v>
      </c>
      <c r="I464" s="94" t="n">
        <v>10.77</v>
      </c>
      <c r="J464" s="94" t="n">
        <v>0</v>
      </c>
      <c r="K464" s="94" t="n">
        <v>0</v>
      </c>
      <c r="L464" s="24" t="n">
        <v>80.59999999999999</v>
      </c>
      <c r="M464" s="18" t="n">
        <v>0</v>
      </c>
      <c r="N464" s="19" t="n">
        <v>44.3</v>
      </c>
      <c r="O464" s="108">
        <f>COUNTIFS($E:$E,$E464,$L:$L,"&gt;"&amp;$L464)+1</f>
        <v/>
      </c>
      <c r="P464" s="108">
        <f>COUNTIFS($E:$E,$E464,$M:$M,"&gt;"&amp;$M464)+1</f>
        <v/>
      </c>
      <c r="Q464" s="108">
        <f>COUNTIFS($E:$E,$E464,$N:$N,"&gt;"&amp;$N464)+1</f>
        <v/>
      </c>
      <c r="R464" s="95" t="inlineStr">
        <is>
          <t>⭐ Strong</t>
        </is>
      </c>
      <c r="S464" s="95" t="inlineStr">
        <is>
          <t>⏳ New Fund</t>
        </is>
      </c>
      <c r="T464" s="95" t="inlineStr">
        <is>
          <t>🔥 Hot Momentum</t>
        </is>
      </c>
      <c r="U464" s="96" t="inlineStr">
        <is>
          <t>MOMENTUM_ONLY</t>
        </is>
      </c>
    </row>
    <row r="465" ht="16" customHeight="1">
      <c r="A465" s="92" t="n">
        <v>461</v>
      </c>
      <c r="B465" s="93" t="inlineStr">
        <is>
          <t>Kotak Nifty Alpha 50 Index Fund - Regular Plan - Growth</t>
        </is>
      </c>
      <c r="C465" s="93" t="inlineStr">
        <is>
          <t>Kotak Mahindra Mutual Fund</t>
        </is>
      </c>
      <c r="D465" s="93" t="inlineStr">
        <is>
          <t>Index Funds</t>
        </is>
      </c>
      <c r="E465" s="93" t="inlineStr">
        <is>
          <t>Index Fund</t>
        </is>
      </c>
      <c r="F465" s="94" t="n">
        <v>5.18</v>
      </c>
      <c r="G465" s="94" t="n">
        <v>9.15</v>
      </c>
      <c r="H465" s="94" t="n">
        <v>9.390000000000001</v>
      </c>
      <c r="I465" s="94" t="n">
        <v>0</v>
      </c>
      <c r="J465" s="94" t="n">
        <v>0</v>
      </c>
      <c r="K465" s="94" t="n">
        <v>0</v>
      </c>
      <c r="L465" s="24" t="n">
        <v>80.3</v>
      </c>
      <c r="M465" s="18" t="n">
        <v>0</v>
      </c>
      <c r="N465" s="19" t="n">
        <v>44.2</v>
      </c>
      <c r="O465" s="108">
        <f>COUNTIFS($E:$E,$E465,$L:$L,"&gt;"&amp;$L465)+1</f>
        <v/>
      </c>
      <c r="P465" s="108">
        <f>COUNTIFS($E:$E,$E465,$M:$M,"&gt;"&amp;$M465)+1</f>
        <v/>
      </c>
      <c r="Q465" s="108">
        <f>COUNTIFS($E:$E,$E465,$N:$N,"&gt;"&amp;$N465)+1</f>
        <v/>
      </c>
      <c r="R465" s="95" t="inlineStr">
        <is>
          <t>⭐ Strong</t>
        </is>
      </c>
      <c r="S465" s="95" t="inlineStr">
        <is>
          <t>⏳ New Fund</t>
        </is>
      </c>
      <c r="T465" s="95" t="inlineStr">
        <is>
          <t>🔥 Hot Momentum</t>
        </is>
      </c>
      <c r="U465" s="96" t="inlineStr">
        <is>
          <t>MOMENTUM_ONLY</t>
        </is>
      </c>
    </row>
    <row r="466" ht="16" customHeight="1">
      <c r="A466" s="92" t="n">
        <v>462</v>
      </c>
      <c r="B466" s="93" t="inlineStr">
        <is>
          <t>Axis Nifty500 Momentum 50 Index Fund - Regular Plan - Growth Option</t>
        </is>
      </c>
      <c r="C466" s="93" t="inlineStr">
        <is>
          <t>Axis Mutual Fund</t>
        </is>
      </c>
      <c r="D466" s="93" t="inlineStr">
        <is>
          <t>Index Funds</t>
        </is>
      </c>
      <c r="E466" s="93" t="inlineStr">
        <is>
          <t>Index Fund</t>
        </is>
      </c>
      <c r="F466" s="94" t="n">
        <v>4.04</v>
      </c>
      <c r="G466" s="94" t="n">
        <v>4.98</v>
      </c>
      <c r="H466" s="94" t="n">
        <v>3.65</v>
      </c>
      <c r="I466" s="94" t="n">
        <v>6.04</v>
      </c>
      <c r="J466" s="94" t="n">
        <v>0</v>
      </c>
      <c r="K466" s="94" t="n">
        <v>0</v>
      </c>
      <c r="L466" s="24" t="n">
        <v>79.90000000000001</v>
      </c>
      <c r="M466" s="18" t="n">
        <v>0</v>
      </c>
      <c r="N466" s="19" t="n">
        <v>44</v>
      </c>
      <c r="O466" s="108">
        <f>COUNTIFS($E:$E,$E466,$L:$L,"&gt;"&amp;$L466)+1</f>
        <v/>
      </c>
      <c r="P466" s="108">
        <f>COUNTIFS($E:$E,$E466,$M:$M,"&gt;"&amp;$M466)+1</f>
        <v/>
      </c>
      <c r="Q466" s="108">
        <f>COUNTIFS($E:$E,$E466,$N:$N,"&gt;"&amp;$N466)+1</f>
        <v/>
      </c>
      <c r="R466" s="95" t="inlineStr">
        <is>
          <t>⭐ Strong</t>
        </is>
      </c>
      <c r="S466" s="95" t="inlineStr">
        <is>
          <t>⏳ New Fund</t>
        </is>
      </c>
      <c r="T466" s="95" t="inlineStr">
        <is>
          <t>📈 Momentum Only</t>
        </is>
      </c>
      <c r="U466" s="96" t="inlineStr">
        <is>
          <t>MOMENTUM_ONLY</t>
        </is>
      </c>
    </row>
    <row r="467" ht="16" customHeight="1">
      <c r="A467" s="92" t="n">
        <v>463</v>
      </c>
      <c r="B467" s="93" t="inlineStr">
        <is>
          <t>Bandhan Nifty 500 Momentum 50 Index Fund Regular Plan-Growth</t>
        </is>
      </c>
      <c r="C467" s="93" t="inlineStr">
        <is>
          <t>Bandhan Mutual Fund</t>
        </is>
      </c>
      <c r="D467" s="93" t="inlineStr">
        <is>
          <t>Index Funds</t>
        </is>
      </c>
      <c r="E467" s="93" t="inlineStr">
        <is>
          <t>Index Fund</t>
        </is>
      </c>
      <c r="F467" s="94" t="n">
        <v>4.03</v>
      </c>
      <c r="G467" s="94" t="n">
        <v>5.02</v>
      </c>
      <c r="H467" s="94" t="n">
        <v>3.55</v>
      </c>
      <c r="I467" s="94" t="n">
        <v>6.03</v>
      </c>
      <c r="J467" s="94" t="n">
        <v>0</v>
      </c>
      <c r="K467" s="94" t="n">
        <v>0</v>
      </c>
      <c r="L467" s="24" t="n">
        <v>79.5</v>
      </c>
      <c r="M467" s="18" t="n">
        <v>0</v>
      </c>
      <c r="N467" s="19" t="n">
        <v>43.7</v>
      </c>
      <c r="O467" s="108">
        <f>COUNTIFS($E:$E,$E467,$L:$L,"&gt;"&amp;$L467)+1</f>
        <v/>
      </c>
      <c r="P467" s="108">
        <f>COUNTIFS($E:$E,$E467,$M:$M,"&gt;"&amp;$M467)+1</f>
        <v/>
      </c>
      <c r="Q467" s="108">
        <f>COUNTIFS($E:$E,$E467,$N:$N,"&gt;"&amp;$N467)+1</f>
        <v/>
      </c>
      <c r="R467" s="95" t="inlineStr">
        <is>
          <t>⭐ Strong</t>
        </is>
      </c>
      <c r="S467" s="95" t="inlineStr">
        <is>
          <t>⏳ New Fund</t>
        </is>
      </c>
      <c r="T467" s="95" t="inlineStr">
        <is>
          <t>📈 Momentum Only</t>
        </is>
      </c>
      <c r="U467" s="96" t="inlineStr">
        <is>
          <t>MOMENTUM_ONLY</t>
        </is>
      </c>
    </row>
    <row r="468" ht="16" customHeight="1">
      <c r="A468" s="92" t="n">
        <v>464</v>
      </c>
      <c r="B468" s="93" t="inlineStr">
        <is>
          <t>Mirae Asset Nifty India New Age Consumption ETF</t>
        </is>
      </c>
      <c r="C468" s="93" t="inlineStr">
        <is>
          <t>Mirae Asset Mutual Fund</t>
        </is>
      </c>
      <c r="D468" s="93" t="inlineStr">
        <is>
          <t>Other  Etfs</t>
        </is>
      </c>
      <c r="E468" s="93" t="inlineStr">
        <is>
          <t>Index Fund</t>
        </is>
      </c>
      <c r="F468" s="94" t="n">
        <v>3.44</v>
      </c>
      <c r="G468" s="94" t="n">
        <v>12.49</v>
      </c>
      <c r="H468" s="94" t="n">
        <v>5.01</v>
      </c>
      <c r="I468" s="94" t="n">
        <v>4.43</v>
      </c>
      <c r="J468" s="94" t="n">
        <v>0</v>
      </c>
      <c r="K468" s="94" t="n">
        <v>0</v>
      </c>
      <c r="L468" s="24" t="n">
        <v>79.2</v>
      </c>
      <c r="M468" s="18" t="n">
        <v>0</v>
      </c>
      <c r="N468" s="19" t="n">
        <v>43.6</v>
      </c>
      <c r="O468" s="108">
        <f>COUNTIFS($E:$E,$E468,$L:$L,"&gt;"&amp;$L468)+1</f>
        <v/>
      </c>
      <c r="P468" s="108">
        <f>COUNTIFS($E:$E,$E468,$M:$M,"&gt;"&amp;$M468)+1</f>
        <v/>
      </c>
      <c r="Q468" s="108">
        <f>COUNTIFS($E:$E,$E468,$N:$N,"&gt;"&amp;$N468)+1</f>
        <v/>
      </c>
      <c r="R468" s="95" t="inlineStr">
        <is>
          <t>⭐ Strong</t>
        </is>
      </c>
      <c r="S468" s="95" t="inlineStr">
        <is>
          <t>⏳ New Fund</t>
        </is>
      </c>
      <c r="T468" s="95" t="inlineStr">
        <is>
          <t>📈 Momentum Only</t>
        </is>
      </c>
      <c r="U468" s="96" t="inlineStr">
        <is>
          <t>MOMENTUM_ONLY</t>
        </is>
      </c>
    </row>
    <row r="469" ht="16" customHeight="1">
      <c r="A469" s="92" t="n">
        <v>465</v>
      </c>
      <c r="B469" s="93" t="inlineStr">
        <is>
          <t>Mirae Asset Nifty India Internet ETF</t>
        </is>
      </c>
      <c r="C469" s="93" t="inlineStr">
        <is>
          <t>Mirae Asset Mutual Fund</t>
        </is>
      </c>
      <c r="D469" s="93" t="inlineStr">
        <is>
          <t>Other  Etfs</t>
        </is>
      </c>
      <c r="E469" s="93" t="inlineStr">
        <is>
          <t>Index Fund</t>
        </is>
      </c>
      <c r="F469" s="94" t="n">
        <v>5.48</v>
      </c>
      <c r="G469" s="94" t="n">
        <v>16.3</v>
      </c>
      <c r="H469" s="94" t="n">
        <v>10.7</v>
      </c>
      <c r="I469" s="97" t="n">
        <v>-0.57</v>
      </c>
      <c r="J469" s="94" t="n">
        <v>0</v>
      </c>
      <c r="K469" s="94" t="n">
        <v>0</v>
      </c>
      <c r="L469" s="24" t="n">
        <v>78.8</v>
      </c>
      <c r="M469" s="18" t="n">
        <v>0</v>
      </c>
      <c r="N469" s="19" t="n">
        <v>43.3</v>
      </c>
      <c r="O469" s="108">
        <f>COUNTIFS($E:$E,$E469,$L:$L,"&gt;"&amp;$L469)+1</f>
        <v/>
      </c>
      <c r="P469" s="108">
        <f>COUNTIFS($E:$E,$E469,$M:$M,"&gt;"&amp;$M469)+1</f>
        <v/>
      </c>
      <c r="Q469" s="108">
        <f>COUNTIFS($E:$E,$E469,$N:$N,"&gt;"&amp;$N469)+1</f>
        <v/>
      </c>
      <c r="R469" s="95" t="inlineStr">
        <is>
          <t>⭐ Strong</t>
        </is>
      </c>
      <c r="S469" s="95" t="inlineStr">
        <is>
          <t>⏳ New Fund</t>
        </is>
      </c>
      <c r="T469" s="95" t="inlineStr">
        <is>
          <t>📈 Momentum Only</t>
        </is>
      </c>
      <c r="U469" s="96" t="inlineStr">
        <is>
          <t>MOMENTUM_ONLY</t>
        </is>
      </c>
    </row>
    <row r="470" ht="16" customHeight="1">
      <c r="A470" s="92" t="n">
        <v>466</v>
      </c>
      <c r="B470" s="93" t="inlineStr">
        <is>
          <t>Nippon India BSE Sensex Next 30 Index Fund - Regular Plan-Growth Option</t>
        </is>
      </c>
      <c r="C470" s="93" t="inlineStr">
        <is>
          <t>Nippon India Mutual Fund</t>
        </is>
      </c>
      <c r="D470" s="93" t="inlineStr">
        <is>
          <t>Index Funds</t>
        </is>
      </c>
      <c r="E470" s="93" t="inlineStr">
        <is>
          <t>Index Fund</t>
        </is>
      </c>
      <c r="F470" s="94" t="n">
        <v>3.33</v>
      </c>
      <c r="G470" s="94" t="n">
        <v>3.22</v>
      </c>
      <c r="H470" s="94" t="n">
        <v>4.24</v>
      </c>
      <c r="I470" s="94" t="n">
        <v>12.52</v>
      </c>
      <c r="J470" s="94" t="n">
        <v>0</v>
      </c>
      <c r="K470" s="94" t="n">
        <v>0</v>
      </c>
      <c r="L470" s="24" t="n">
        <v>78.59999999999999</v>
      </c>
      <c r="M470" s="18" t="n">
        <v>0</v>
      </c>
      <c r="N470" s="19" t="n">
        <v>43.3</v>
      </c>
      <c r="O470" s="108">
        <f>COUNTIFS($E:$E,$E470,$L:$L,"&gt;"&amp;$L470)+1</f>
        <v/>
      </c>
      <c r="P470" s="108">
        <f>COUNTIFS($E:$E,$E470,$M:$M,"&gt;"&amp;$M470)+1</f>
        <v/>
      </c>
      <c r="Q470" s="108">
        <f>COUNTIFS($E:$E,$E470,$N:$N,"&gt;"&amp;$N470)+1</f>
        <v/>
      </c>
      <c r="R470" s="95" t="inlineStr">
        <is>
          <t>⭐ Strong</t>
        </is>
      </c>
      <c r="S470" s="95" t="inlineStr">
        <is>
          <t>⏳ New Fund</t>
        </is>
      </c>
      <c r="T470" s="95" t="inlineStr">
        <is>
          <t>📈 Momentum Only</t>
        </is>
      </c>
      <c r="U470" s="96" t="inlineStr">
        <is>
          <t>MOMENTUM_ONLY</t>
        </is>
      </c>
    </row>
    <row r="471" ht="16" customHeight="1">
      <c r="A471" s="92" t="n">
        <v>467</v>
      </c>
      <c r="B471" s="93" t="inlineStr">
        <is>
          <t>DSP BSE SENSEX Next 30 Index Fund - Regular - Growth</t>
        </is>
      </c>
      <c r="C471" s="93" t="inlineStr">
        <is>
          <t>DSP Mutual Fund</t>
        </is>
      </c>
      <c r="D471" s="93" t="inlineStr">
        <is>
          <t>Index Funds</t>
        </is>
      </c>
      <c r="E471" s="93" t="inlineStr">
        <is>
          <t>Index Fund</t>
        </is>
      </c>
      <c r="F471" s="94" t="n">
        <v>3.32</v>
      </c>
      <c r="G471" s="94" t="n">
        <v>3.25</v>
      </c>
      <c r="H471" s="94" t="n">
        <v>4.14</v>
      </c>
      <c r="I471" s="94" t="n">
        <v>12.18</v>
      </c>
      <c r="J471" s="94" t="n">
        <v>0</v>
      </c>
      <c r="K471" s="94" t="n">
        <v>0</v>
      </c>
      <c r="L471" s="24" t="n">
        <v>78.5</v>
      </c>
      <c r="M471" s="18" t="n">
        <v>0</v>
      </c>
      <c r="N471" s="19" t="n">
        <v>43.2</v>
      </c>
      <c r="O471" s="108">
        <f>COUNTIFS($E:$E,$E471,$L:$L,"&gt;"&amp;$L471)+1</f>
        <v/>
      </c>
      <c r="P471" s="108">
        <f>COUNTIFS($E:$E,$E471,$M:$M,"&gt;"&amp;$M471)+1</f>
        <v/>
      </c>
      <c r="Q471" s="108">
        <f>COUNTIFS($E:$E,$E471,$N:$N,"&gt;"&amp;$N471)+1</f>
        <v/>
      </c>
      <c r="R471" s="95" t="inlineStr">
        <is>
          <t>⭐ Strong</t>
        </is>
      </c>
      <c r="S471" s="95" t="inlineStr">
        <is>
          <t>⏳ New Fund</t>
        </is>
      </c>
      <c r="T471" s="95" t="inlineStr">
        <is>
          <t>📈 Momentum Only</t>
        </is>
      </c>
      <c r="U471" s="96" t="inlineStr">
        <is>
          <t>MOMENTUM_ONLY</t>
        </is>
      </c>
    </row>
    <row r="472" ht="16" customHeight="1">
      <c r="A472" s="92" t="n">
        <v>468</v>
      </c>
      <c r="B472" s="93" t="inlineStr">
        <is>
          <t>Mirae Asset Nifty Metal ETF</t>
        </is>
      </c>
      <c r="C472" s="93" t="inlineStr">
        <is>
          <t>Mirae Asset Mutual Fund</t>
        </is>
      </c>
      <c r="D472" s="93" t="inlineStr">
        <is>
          <t>Other  Etfs</t>
        </is>
      </c>
      <c r="E472" s="93" t="inlineStr">
        <is>
          <t>Commodities</t>
        </is>
      </c>
      <c r="F472" s="94" t="n">
        <v>4.7</v>
      </c>
      <c r="G472" s="97" t="n">
        <v>-0.73</v>
      </c>
      <c r="H472" s="94" t="n">
        <v>9.23</v>
      </c>
      <c r="I472" s="94" t="n">
        <v>42.11</v>
      </c>
      <c r="J472" s="94" t="n">
        <v>0</v>
      </c>
      <c r="K472" s="94" t="n">
        <v>0</v>
      </c>
      <c r="L472" s="24" t="n">
        <v>78.5</v>
      </c>
      <c r="M472" s="18" t="n">
        <v>0</v>
      </c>
      <c r="N472" s="19" t="n">
        <v>43.2</v>
      </c>
      <c r="O472" s="108">
        <f>COUNTIFS($E:$E,$E472,$L:$L,"&gt;"&amp;$L472)+1</f>
        <v/>
      </c>
      <c r="P472" s="108">
        <f>COUNTIFS($E:$E,$E472,$M:$M,"&gt;"&amp;$M472)+1</f>
        <v/>
      </c>
      <c r="Q472" s="108">
        <f>COUNTIFS($E:$E,$E472,$N:$N,"&gt;"&amp;$N472)+1</f>
        <v/>
      </c>
      <c r="R472" s="95" t="inlineStr">
        <is>
          <t>⭐ Strong</t>
        </is>
      </c>
      <c r="S472" s="95" t="inlineStr">
        <is>
          <t>⏳ New Fund</t>
        </is>
      </c>
      <c r="T472" s="95" t="inlineStr">
        <is>
          <t>📈 Momentum Only</t>
        </is>
      </c>
      <c r="U472" s="96" t="inlineStr">
        <is>
          <t>MOMENTUM_ONLY</t>
        </is>
      </c>
    </row>
    <row r="473" ht="16" customHeight="1">
      <c r="A473" s="92" t="n">
        <v>469</v>
      </c>
      <c r="B473" s="93" t="inlineStr">
        <is>
          <t>Motilal Oswal Nifty 500 Momentum 50 Index Fund-Regular Plan-Growth</t>
        </is>
      </c>
      <c r="C473" s="93" t="inlineStr">
        <is>
          <t>Motilal Oswal Mutual Fund</t>
        </is>
      </c>
      <c r="D473" s="93" t="inlineStr">
        <is>
          <t>Index Funds</t>
        </is>
      </c>
      <c r="E473" s="93" t="inlineStr">
        <is>
          <t>Index Fund</t>
        </is>
      </c>
      <c r="F473" s="94" t="n">
        <v>4.05</v>
      </c>
      <c r="G473" s="94" t="n">
        <v>5</v>
      </c>
      <c r="H473" s="94" t="n">
        <v>3.52</v>
      </c>
      <c r="I473" s="94" t="n">
        <v>5.85</v>
      </c>
      <c r="J473" s="94" t="n">
        <v>0</v>
      </c>
      <c r="K473" s="94" t="n">
        <v>0</v>
      </c>
      <c r="L473" s="24" t="n">
        <v>78.40000000000001</v>
      </c>
      <c r="M473" s="18" t="n">
        <v>0</v>
      </c>
      <c r="N473" s="19" t="n">
        <v>43.1</v>
      </c>
      <c r="O473" s="108">
        <f>COUNTIFS($E:$E,$E473,$L:$L,"&gt;"&amp;$L473)+1</f>
        <v/>
      </c>
      <c r="P473" s="108">
        <f>COUNTIFS($E:$E,$E473,$M:$M,"&gt;"&amp;$M473)+1</f>
        <v/>
      </c>
      <c r="Q473" s="108">
        <f>COUNTIFS($E:$E,$E473,$N:$N,"&gt;"&amp;$N473)+1</f>
        <v/>
      </c>
      <c r="R473" s="95" t="inlineStr">
        <is>
          <t>⭐ Strong</t>
        </is>
      </c>
      <c r="S473" s="95" t="inlineStr">
        <is>
          <t>⏳ New Fund</t>
        </is>
      </c>
      <c r="T473" s="95" t="inlineStr">
        <is>
          <t>📈 Momentum Only</t>
        </is>
      </c>
      <c r="U473" s="96" t="inlineStr">
        <is>
          <t>MOMENTUM_ONLY</t>
        </is>
      </c>
    </row>
    <row r="474" ht="16" customHeight="1">
      <c r="A474" s="92" t="n">
        <v>470</v>
      </c>
      <c r="B474" s="93" t="inlineStr">
        <is>
          <t>Bandhan Nifty Midcap 150 Index Fund-Regular Plan-Growth</t>
        </is>
      </c>
      <c r="C474" s="93" t="inlineStr">
        <is>
          <t>Bandhan Mutual Fund</t>
        </is>
      </c>
      <c r="D474" s="93" t="inlineStr">
        <is>
          <t>Index Funds</t>
        </is>
      </c>
      <c r="E474" s="93" t="inlineStr">
        <is>
          <t>Index Fund</t>
        </is>
      </c>
      <c r="F474" s="94" t="n">
        <v>1.67</v>
      </c>
      <c r="G474" s="94" t="n">
        <v>4.37</v>
      </c>
      <c r="H474" s="94" t="n">
        <v>5.04</v>
      </c>
      <c r="I474" s="94" t="n">
        <v>10.52</v>
      </c>
      <c r="J474" s="94" t="n">
        <v>0</v>
      </c>
      <c r="K474" s="94" t="n">
        <v>0</v>
      </c>
      <c r="L474" s="24" t="n">
        <v>78.40000000000001</v>
      </c>
      <c r="M474" s="18" t="n">
        <v>0</v>
      </c>
      <c r="N474" s="19" t="n">
        <v>43.1</v>
      </c>
      <c r="O474" s="108">
        <f>COUNTIFS($E:$E,$E474,$L:$L,"&gt;"&amp;$L474)+1</f>
        <v/>
      </c>
      <c r="P474" s="108">
        <f>COUNTIFS($E:$E,$E474,$M:$M,"&gt;"&amp;$M474)+1</f>
        <v/>
      </c>
      <c r="Q474" s="108">
        <f>COUNTIFS($E:$E,$E474,$N:$N,"&gt;"&amp;$N474)+1</f>
        <v/>
      </c>
      <c r="R474" s="95" t="inlineStr">
        <is>
          <t>⭐ Strong</t>
        </is>
      </c>
      <c r="S474" s="95" t="inlineStr">
        <is>
          <t>⏳ New Fund</t>
        </is>
      </c>
      <c r="T474" s="95" t="inlineStr">
        <is>
          <t>📈 Momentum Only</t>
        </is>
      </c>
      <c r="U474" s="96" t="inlineStr">
        <is>
          <t>MOMENTUM_ONLY</t>
        </is>
      </c>
    </row>
    <row r="475" ht="16" customHeight="1">
      <c r="A475" s="92" t="n">
        <v>471</v>
      </c>
      <c r="B475" s="93" t="inlineStr">
        <is>
          <t>Tata Nifty Midcap 150 Index Fund - Regular Plan - Growth Option</t>
        </is>
      </c>
      <c r="C475" s="93" t="inlineStr">
        <is>
          <t>Tata Mutual Fund</t>
        </is>
      </c>
      <c r="D475" s="93" t="inlineStr">
        <is>
          <t>Index Funds</t>
        </is>
      </c>
      <c r="E475" s="93" t="inlineStr">
        <is>
          <t>Index Fund</t>
        </is>
      </c>
      <c r="F475" s="94" t="n">
        <v>1.72</v>
      </c>
      <c r="G475" s="94" t="n">
        <v>4.39</v>
      </c>
      <c r="H475" s="94" t="n">
        <v>5.1</v>
      </c>
      <c r="I475" s="94" t="n">
        <v>10.32</v>
      </c>
      <c r="J475" s="94" t="n">
        <v>0</v>
      </c>
      <c r="K475" s="94" t="n">
        <v>0</v>
      </c>
      <c r="L475" s="24" t="n">
        <v>78.3</v>
      </c>
      <c r="M475" s="18" t="n">
        <v>0</v>
      </c>
      <c r="N475" s="19" t="n">
        <v>43.1</v>
      </c>
      <c r="O475" s="108">
        <f>COUNTIFS($E:$E,$E475,$L:$L,"&gt;"&amp;$L475)+1</f>
        <v/>
      </c>
      <c r="P475" s="108">
        <f>COUNTIFS($E:$E,$E475,$M:$M,"&gt;"&amp;$M475)+1</f>
        <v/>
      </c>
      <c r="Q475" s="108">
        <f>COUNTIFS($E:$E,$E475,$N:$N,"&gt;"&amp;$N475)+1</f>
        <v/>
      </c>
      <c r="R475" s="95" t="inlineStr">
        <is>
          <t>⭐ Strong</t>
        </is>
      </c>
      <c r="S475" s="95" t="inlineStr">
        <is>
          <t>⏳ New Fund</t>
        </is>
      </c>
      <c r="T475" s="95" t="inlineStr">
        <is>
          <t>📈 Momentum Only</t>
        </is>
      </c>
      <c r="U475" s="96" t="inlineStr">
        <is>
          <t>MOMENTUM_ONLY</t>
        </is>
      </c>
    </row>
    <row r="476" ht="16" customHeight="1">
      <c r="A476" s="92" t="n">
        <v>472</v>
      </c>
      <c r="B476" s="93" t="inlineStr">
        <is>
          <t>Baroda BNP Paribas Nifty Midcap 150 Index Fund - Regular Plan - Growth Option</t>
        </is>
      </c>
      <c r="C476" s="93" t="inlineStr">
        <is>
          <t>Baroda BNP Paribas Mutual Fund</t>
        </is>
      </c>
      <c r="D476" s="93" t="inlineStr">
        <is>
          <t>Index Funds</t>
        </is>
      </c>
      <c r="E476" s="93" t="inlineStr">
        <is>
          <t>Index Fund</t>
        </is>
      </c>
      <c r="F476" s="94" t="n">
        <v>1.73</v>
      </c>
      <c r="G476" s="94" t="n">
        <v>4.31</v>
      </c>
      <c r="H476" s="94" t="n">
        <v>5.02</v>
      </c>
      <c r="I476" s="94" t="n">
        <v>10.27</v>
      </c>
      <c r="J476" s="94" t="n">
        <v>0</v>
      </c>
      <c r="K476" s="94" t="n">
        <v>0</v>
      </c>
      <c r="L476" s="24" t="n">
        <v>78.09999999999999</v>
      </c>
      <c r="M476" s="18" t="n">
        <v>0</v>
      </c>
      <c r="N476" s="19" t="n">
        <v>43</v>
      </c>
      <c r="O476" s="108">
        <f>COUNTIFS($E:$E,$E476,$L:$L,"&gt;"&amp;$L476)+1</f>
        <v/>
      </c>
      <c r="P476" s="108">
        <f>COUNTIFS($E:$E,$E476,$M:$M,"&gt;"&amp;$M476)+1</f>
        <v/>
      </c>
      <c r="Q476" s="108">
        <f>COUNTIFS($E:$E,$E476,$N:$N,"&gt;"&amp;$N476)+1</f>
        <v/>
      </c>
      <c r="R476" s="95" t="inlineStr">
        <is>
          <t>⭐ Strong</t>
        </is>
      </c>
      <c r="S476" s="95" t="inlineStr">
        <is>
          <t>⏳ New Fund</t>
        </is>
      </c>
      <c r="T476" s="95" t="inlineStr">
        <is>
          <t>📈 Momentum Only</t>
        </is>
      </c>
      <c r="U476" s="96" t="inlineStr">
        <is>
          <t>MOMENTUM_ONLY</t>
        </is>
      </c>
    </row>
    <row r="477" ht="16" customHeight="1">
      <c r="A477" s="92" t="n">
        <v>473</v>
      </c>
      <c r="B477" s="93" t="inlineStr">
        <is>
          <t>ICICI Prudential Nifty Metal ETF</t>
        </is>
      </c>
      <c r="C477" s="93" t="inlineStr">
        <is>
          <t>ICICI Prudential Mutual Fund</t>
        </is>
      </c>
      <c r="D477" s="93" t="inlineStr">
        <is>
          <t>Other  Etfs</t>
        </is>
      </c>
      <c r="E477" s="93" t="inlineStr">
        <is>
          <t>Commodities</t>
        </is>
      </c>
      <c r="F477" s="94" t="n">
        <v>4.69</v>
      </c>
      <c r="G477" s="97" t="n">
        <v>-0.98</v>
      </c>
      <c r="H477" s="94" t="n">
        <v>8.949999999999999</v>
      </c>
      <c r="I477" s="94" t="n">
        <v>41.72</v>
      </c>
      <c r="J477" s="94" t="n">
        <v>20.77251342917394</v>
      </c>
      <c r="K477" s="94" t="n">
        <v>0</v>
      </c>
      <c r="L477" s="24" t="n">
        <v>77.8</v>
      </c>
      <c r="M477" s="18" t="n">
        <v>0</v>
      </c>
      <c r="N477" s="19" t="n">
        <v>42.8</v>
      </c>
      <c r="O477" s="108">
        <f>COUNTIFS($E:$E,$E477,$L:$L,"&gt;"&amp;$L477)+1</f>
        <v/>
      </c>
      <c r="P477" s="108">
        <f>COUNTIFS($E:$E,$E477,$M:$M,"&gt;"&amp;$M477)+1</f>
        <v/>
      </c>
      <c r="Q477" s="108">
        <f>COUNTIFS($E:$E,$E477,$N:$N,"&gt;"&amp;$N477)+1</f>
        <v/>
      </c>
      <c r="R477" s="95" t="inlineStr">
        <is>
          <t>⭐ Strong</t>
        </is>
      </c>
      <c r="S477" s="95" t="inlineStr">
        <is>
          <t>⏳ New Fund</t>
        </is>
      </c>
      <c r="T477" s="95" t="inlineStr">
        <is>
          <t>📈 Momentum Only</t>
        </is>
      </c>
      <c r="U477" s="96" t="inlineStr">
        <is>
          <t>MOMENTUM_ONLY</t>
        </is>
      </c>
    </row>
    <row r="478" ht="16" customHeight="1">
      <c r="A478" s="92" t="n">
        <v>474</v>
      </c>
      <c r="B478" s="93" t="inlineStr">
        <is>
          <t>Zerodha Nifty Midcap 150 ETF</t>
        </is>
      </c>
      <c r="C478" s="93" t="inlineStr">
        <is>
          <t>Zerodha Mutual Fund</t>
        </is>
      </c>
      <c r="D478" s="93" t="inlineStr">
        <is>
          <t>Other  Etfs</t>
        </is>
      </c>
      <c r="E478" s="93" t="inlineStr">
        <is>
          <t>Index Fund</t>
        </is>
      </c>
      <c r="F478" s="94" t="n">
        <v>1.87</v>
      </c>
      <c r="G478" s="94" t="n">
        <v>4.86</v>
      </c>
      <c r="H478" s="94" t="n">
        <v>6.1</v>
      </c>
      <c r="I478" s="94" t="n">
        <v>12.42</v>
      </c>
      <c r="J478" s="94" t="n">
        <v>5.830052442583633</v>
      </c>
      <c r="K478" s="94" t="n">
        <v>0</v>
      </c>
      <c r="L478" s="24" t="n">
        <v>77.8</v>
      </c>
      <c r="M478" s="18" t="n">
        <v>0</v>
      </c>
      <c r="N478" s="19" t="n">
        <v>42.8</v>
      </c>
      <c r="O478" s="108">
        <f>COUNTIFS($E:$E,$E478,$L:$L,"&gt;"&amp;$L478)+1</f>
        <v/>
      </c>
      <c r="P478" s="108">
        <f>COUNTIFS($E:$E,$E478,$M:$M,"&gt;"&amp;$M478)+1</f>
        <v/>
      </c>
      <c r="Q478" s="108">
        <f>COUNTIFS($E:$E,$E478,$N:$N,"&gt;"&amp;$N478)+1</f>
        <v/>
      </c>
      <c r="R478" s="95" t="inlineStr">
        <is>
          <t>⭐ Strong</t>
        </is>
      </c>
      <c r="S478" s="95" t="inlineStr">
        <is>
          <t>⏳ New Fund</t>
        </is>
      </c>
      <c r="T478" s="95" t="inlineStr">
        <is>
          <t>📈 Momentum Only</t>
        </is>
      </c>
      <c r="U478" s="96" t="inlineStr">
        <is>
          <t>MOMENTUM_ONLY</t>
        </is>
      </c>
    </row>
    <row r="479" ht="16" customHeight="1">
      <c r="A479" s="92" t="n">
        <v>475</v>
      </c>
      <c r="B479" s="93" t="inlineStr">
        <is>
          <t>Motilal Oswal Nifty 500 Momentum 50 ETF</t>
        </is>
      </c>
      <c r="C479" s="93" t="inlineStr">
        <is>
          <t>Motilal Oswal Mutual Fund</t>
        </is>
      </c>
      <c r="D479" s="93" t="inlineStr">
        <is>
          <t>Other  Etfs</t>
        </is>
      </c>
      <c r="E479" s="93" t="inlineStr">
        <is>
          <t>Index Fund</t>
        </is>
      </c>
      <c r="F479" s="94" t="n">
        <v>4.11</v>
      </c>
      <c r="G479" s="94" t="n">
        <v>5.22</v>
      </c>
      <c r="H479" s="94" t="n">
        <v>3.91</v>
      </c>
      <c r="I479" s="94" t="n">
        <v>6.64</v>
      </c>
      <c r="J479" s="94" t="n">
        <v>0</v>
      </c>
      <c r="K479" s="94" t="n">
        <v>0</v>
      </c>
      <c r="L479" s="24" t="n">
        <v>77.8</v>
      </c>
      <c r="M479" s="18" t="n">
        <v>0</v>
      </c>
      <c r="N479" s="19" t="n">
        <v>42.8</v>
      </c>
      <c r="O479" s="108">
        <f>COUNTIFS($E:$E,$E479,$L:$L,"&gt;"&amp;$L479)+1</f>
        <v/>
      </c>
      <c r="P479" s="108">
        <f>COUNTIFS($E:$E,$E479,$M:$M,"&gt;"&amp;$M479)+1</f>
        <v/>
      </c>
      <c r="Q479" s="108">
        <f>COUNTIFS($E:$E,$E479,$N:$N,"&gt;"&amp;$N479)+1</f>
        <v/>
      </c>
      <c r="R479" s="95" t="inlineStr">
        <is>
          <t>⭐ Strong</t>
        </is>
      </c>
      <c r="S479" s="95" t="inlineStr">
        <is>
          <t>⏳ New Fund</t>
        </is>
      </c>
      <c r="T479" s="95" t="inlineStr">
        <is>
          <t>📈 Momentum Only</t>
        </is>
      </c>
      <c r="U479" s="96" t="inlineStr">
        <is>
          <t>MOMENTUM_ONLY</t>
        </is>
      </c>
    </row>
    <row r="480" ht="16" customHeight="1">
      <c r="A480" s="92" t="n">
        <v>476</v>
      </c>
      <c r="B480" s="93" t="inlineStr">
        <is>
          <t>Mirae Asset Nifty MidSmallcap400 Momentum Quality 100 ETF</t>
        </is>
      </c>
      <c r="C480" s="93" t="inlineStr">
        <is>
          <t>Mirae Asset Mutual Fund</t>
        </is>
      </c>
      <c r="D480" s="93" t="inlineStr">
        <is>
          <t>Other  Etfs</t>
        </is>
      </c>
      <c r="E480" s="93" t="inlineStr">
        <is>
          <t>Index Fund</t>
        </is>
      </c>
      <c r="F480" s="94" t="n">
        <v>3.61</v>
      </c>
      <c r="G480" s="94" t="n">
        <v>3.49</v>
      </c>
      <c r="H480" s="94" t="n">
        <v>9.48</v>
      </c>
      <c r="I480" s="94" t="n">
        <v>9.6</v>
      </c>
      <c r="J480" s="97" t="n">
        <v>-0.9343651915559525</v>
      </c>
      <c r="K480" s="94" t="n">
        <v>0</v>
      </c>
      <c r="L480" s="24" t="n">
        <v>77.5</v>
      </c>
      <c r="M480" s="18" t="n">
        <v>0</v>
      </c>
      <c r="N480" s="19" t="n">
        <v>42.6</v>
      </c>
      <c r="O480" s="108">
        <f>COUNTIFS($E:$E,$E480,$L:$L,"&gt;"&amp;$L480)+1</f>
        <v/>
      </c>
      <c r="P480" s="108">
        <f>COUNTIFS($E:$E,$E480,$M:$M,"&gt;"&amp;$M480)+1</f>
        <v/>
      </c>
      <c r="Q480" s="108">
        <f>COUNTIFS($E:$E,$E480,$N:$N,"&gt;"&amp;$N480)+1</f>
        <v/>
      </c>
      <c r="R480" s="95" t="inlineStr">
        <is>
          <t>⭐ Strong</t>
        </is>
      </c>
      <c r="S480" s="95" t="inlineStr">
        <is>
          <t>⏳ New Fund</t>
        </is>
      </c>
      <c r="T480" s="95" t="inlineStr">
        <is>
          <t>📈 Momentum Only</t>
        </is>
      </c>
      <c r="U480" s="96" t="inlineStr">
        <is>
          <t>MOMENTUM_ONLY</t>
        </is>
      </c>
    </row>
    <row r="481" ht="16" customHeight="1">
      <c r="A481" s="92" t="n">
        <v>477</v>
      </c>
      <c r="B481" s="93" t="inlineStr">
        <is>
          <t>Motilal Oswal Nifty MidSmall Financial Services Index Fund-Regular Plan-Growth</t>
        </is>
      </c>
      <c r="C481" s="93" t="inlineStr">
        <is>
          <t>Motilal Oswal Mutual Fund</t>
        </is>
      </c>
      <c r="D481" s="93" t="inlineStr">
        <is>
          <t>Index Funds</t>
        </is>
      </c>
      <c r="E481" s="93" t="inlineStr">
        <is>
          <t>Banking/Financial</t>
        </is>
      </c>
      <c r="F481" s="94" t="n">
        <v>1.15</v>
      </c>
      <c r="G481" s="94" t="n">
        <v>2.23</v>
      </c>
      <c r="H481" s="94" t="n">
        <v>6.6</v>
      </c>
      <c r="I481" s="94" t="n">
        <v>23.27</v>
      </c>
      <c r="J481" s="94" t="n">
        <v>0</v>
      </c>
      <c r="K481" s="94" t="n">
        <v>0</v>
      </c>
      <c r="L481" s="24" t="n">
        <v>77.40000000000001</v>
      </c>
      <c r="M481" s="18" t="n">
        <v>0</v>
      </c>
      <c r="N481" s="19" t="n">
        <v>42.6</v>
      </c>
      <c r="O481" s="108">
        <f>COUNTIFS($E:$E,$E481,$L:$L,"&gt;"&amp;$L481)+1</f>
        <v/>
      </c>
      <c r="P481" s="108">
        <f>COUNTIFS($E:$E,$E481,$M:$M,"&gt;"&amp;$M481)+1</f>
        <v/>
      </c>
      <c r="Q481" s="108">
        <f>COUNTIFS($E:$E,$E481,$N:$N,"&gt;"&amp;$N481)+1</f>
        <v/>
      </c>
      <c r="R481" s="95" t="inlineStr">
        <is>
          <t>⭐ Strong</t>
        </is>
      </c>
      <c r="S481" s="95" t="inlineStr">
        <is>
          <t>⏳ New Fund</t>
        </is>
      </c>
      <c r="T481" s="95" t="inlineStr">
        <is>
          <t>📈 Momentum Only</t>
        </is>
      </c>
      <c r="U481" s="96" t="inlineStr">
        <is>
          <t>MOMENTUM_ONLY</t>
        </is>
      </c>
    </row>
    <row r="482" ht="16" customHeight="1">
      <c r="A482" s="92" t="n">
        <v>478</v>
      </c>
      <c r="B482" s="93" t="inlineStr">
        <is>
          <t>DSP BSE SENSEX Next 30 ETF</t>
        </is>
      </c>
      <c r="C482" s="93" t="inlineStr">
        <is>
          <t>DSP Mutual Fund</t>
        </is>
      </c>
      <c r="D482" s="93" t="inlineStr">
        <is>
          <t>Other  Etfs</t>
        </is>
      </c>
      <c r="E482" s="93" t="inlineStr">
        <is>
          <t>Index Fund</t>
        </is>
      </c>
      <c r="F482" s="94" t="n">
        <v>3.39</v>
      </c>
      <c r="G482" s="94" t="n">
        <v>3.46</v>
      </c>
      <c r="H482" s="94" t="n">
        <v>4.61</v>
      </c>
      <c r="I482" s="94" t="n">
        <v>13.2</v>
      </c>
      <c r="J482" s="94" t="n">
        <v>0</v>
      </c>
      <c r="K482" s="94" t="n">
        <v>0</v>
      </c>
      <c r="L482" s="24" t="n">
        <v>77.3</v>
      </c>
      <c r="M482" s="18" t="n">
        <v>0</v>
      </c>
      <c r="N482" s="19" t="n">
        <v>42.5</v>
      </c>
      <c r="O482" s="108">
        <f>COUNTIFS($E:$E,$E482,$L:$L,"&gt;"&amp;$L482)+1</f>
        <v/>
      </c>
      <c r="P482" s="108">
        <f>COUNTIFS($E:$E,$E482,$M:$M,"&gt;"&amp;$M482)+1</f>
        <v/>
      </c>
      <c r="Q482" s="108">
        <f>COUNTIFS($E:$E,$E482,$N:$N,"&gt;"&amp;$N482)+1</f>
        <v/>
      </c>
      <c r="R482" s="95" t="inlineStr">
        <is>
          <t>⭐ Strong</t>
        </is>
      </c>
      <c r="S482" s="95" t="inlineStr">
        <is>
          <t>⏳ New Fund</t>
        </is>
      </c>
      <c r="T482" s="95" t="inlineStr">
        <is>
          <t>📈 Momentum Only</t>
        </is>
      </c>
      <c r="U482" s="96" t="inlineStr">
        <is>
          <t>MOMENTUM_ONLY</t>
        </is>
      </c>
    </row>
    <row r="483" ht="16" customHeight="1">
      <c r="A483" s="92" t="n">
        <v>479</v>
      </c>
      <c r="B483" s="93" t="inlineStr">
        <is>
          <t>Tata Nifty200 Alpha 30 Index Fund - Regular -Growth</t>
        </is>
      </c>
      <c r="C483" s="93" t="inlineStr">
        <is>
          <t>Tata Mutual Fund</t>
        </is>
      </c>
      <c r="D483" s="93" t="inlineStr">
        <is>
          <t>Index Funds</t>
        </is>
      </c>
      <c r="E483" s="93" t="inlineStr">
        <is>
          <t>Index Fund</t>
        </is>
      </c>
      <c r="F483" s="94" t="n">
        <v>3.33</v>
      </c>
      <c r="G483" s="94" t="n">
        <v>4.79</v>
      </c>
      <c r="H483" s="94" t="n">
        <v>3.29</v>
      </c>
      <c r="I483" s="94" t="n">
        <v>6.31</v>
      </c>
      <c r="J483" s="94" t="n">
        <v>0</v>
      </c>
      <c r="K483" s="94" t="n">
        <v>0</v>
      </c>
      <c r="L483" s="24" t="n">
        <v>77.09999999999999</v>
      </c>
      <c r="M483" s="18" t="n">
        <v>0</v>
      </c>
      <c r="N483" s="19" t="n">
        <v>42.4</v>
      </c>
      <c r="O483" s="108">
        <f>COUNTIFS($E:$E,$E483,$L:$L,"&gt;"&amp;$L483)+1</f>
        <v/>
      </c>
      <c r="P483" s="108">
        <f>COUNTIFS($E:$E,$E483,$M:$M,"&gt;"&amp;$M483)+1</f>
        <v/>
      </c>
      <c r="Q483" s="108">
        <f>COUNTIFS($E:$E,$E483,$N:$N,"&gt;"&amp;$N483)+1</f>
        <v/>
      </c>
      <c r="R483" s="95" t="inlineStr">
        <is>
          <t>⭐ Strong</t>
        </is>
      </c>
      <c r="S483" s="95" t="inlineStr">
        <is>
          <t>⏳ New Fund</t>
        </is>
      </c>
      <c r="T483" s="95" t="inlineStr">
        <is>
          <t>📈 Momentum Only</t>
        </is>
      </c>
      <c r="U483" s="96" t="inlineStr">
        <is>
          <t>MOMENTUM_ONLY</t>
        </is>
      </c>
    </row>
    <row r="484" ht="16" customHeight="1">
      <c r="A484" s="92" t="n">
        <v>480</v>
      </c>
      <c r="B484" s="93" t="inlineStr">
        <is>
          <t>LIC MF Nifty Midcap 100 ETF</t>
        </is>
      </c>
      <c r="C484" s="93" t="inlineStr">
        <is>
          <t>LIC Mutual Fund</t>
        </is>
      </c>
      <c r="D484" s="93" t="inlineStr">
        <is>
          <t>Other  Etfs</t>
        </is>
      </c>
      <c r="E484" s="93" t="inlineStr">
        <is>
          <t>Index Fund</t>
        </is>
      </c>
      <c r="F484" s="94" t="n">
        <v>1.86</v>
      </c>
      <c r="G484" s="94" t="n">
        <v>4.33</v>
      </c>
      <c r="H484" s="94" t="n">
        <v>5.75</v>
      </c>
      <c r="I484" s="94" t="n">
        <v>12.82</v>
      </c>
      <c r="J484" s="94" t="n">
        <v>5.304320899002057</v>
      </c>
      <c r="K484" s="94" t="n">
        <v>0</v>
      </c>
      <c r="L484" s="24" t="n">
        <v>77</v>
      </c>
      <c r="M484" s="18" t="n">
        <v>0</v>
      </c>
      <c r="N484" s="19" t="n">
        <v>42.3</v>
      </c>
      <c r="O484" s="108">
        <f>COUNTIFS($E:$E,$E484,$L:$L,"&gt;"&amp;$L484)+1</f>
        <v/>
      </c>
      <c r="P484" s="108">
        <f>COUNTIFS($E:$E,$E484,$M:$M,"&gt;"&amp;$M484)+1</f>
        <v/>
      </c>
      <c r="Q484" s="108">
        <f>COUNTIFS($E:$E,$E484,$N:$N,"&gt;"&amp;$N484)+1</f>
        <v/>
      </c>
      <c r="R484" s="95" t="inlineStr">
        <is>
          <t>⭐ Strong</t>
        </is>
      </c>
      <c r="S484" s="95" t="inlineStr">
        <is>
          <t>⏳ New Fund</t>
        </is>
      </c>
      <c r="T484" s="95" t="inlineStr">
        <is>
          <t>📈 Momentum Only</t>
        </is>
      </c>
      <c r="U484" s="96" t="inlineStr">
        <is>
          <t>MOMENTUM_ONLY</t>
        </is>
      </c>
    </row>
    <row r="485" ht="16" customHeight="1">
      <c r="A485" s="92" t="n">
        <v>481</v>
      </c>
      <c r="B485" s="93" t="inlineStr">
        <is>
          <t>Zerodha Nifty Smallcap 100 ETF</t>
        </is>
      </c>
      <c r="C485" s="93" t="inlineStr">
        <is>
          <t>Zerodha Mutual Fund</t>
        </is>
      </c>
      <c r="D485" s="93" t="inlineStr">
        <is>
          <t>Other  Etfs</t>
        </is>
      </c>
      <c r="E485" s="93" t="inlineStr">
        <is>
          <t>Index Fund</t>
        </is>
      </c>
      <c r="F485" s="94" t="n">
        <v>2.84</v>
      </c>
      <c r="G485" s="94" t="n">
        <v>11.29</v>
      </c>
      <c r="H485" s="94" t="n">
        <v>15.5</v>
      </c>
      <c r="I485" s="94" t="n">
        <v>0</v>
      </c>
      <c r="J485" s="94" t="n">
        <v>0</v>
      </c>
      <c r="K485" s="94" t="n">
        <v>0</v>
      </c>
      <c r="L485" s="24" t="n">
        <v>76.2</v>
      </c>
      <c r="M485" s="18" t="n">
        <v>0</v>
      </c>
      <c r="N485" s="19" t="n">
        <v>41.9</v>
      </c>
      <c r="O485" s="108">
        <f>COUNTIFS($E:$E,$E485,$L:$L,"&gt;"&amp;$L485)+1</f>
        <v/>
      </c>
      <c r="P485" s="108">
        <f>COUNTIFS($E:$E,$E485,$M:$M,"&gt;"&amp;$M485)+1</f>
        <v/>
      </c>
      <c r="Q485" s="108">
        <f>COUNTIFS($E:$E,$E485,$N:$N,"&gt;"&amp;$N485)+1</f>
        <v/>
      </c>
      <c r="R485" s="95" t="inlineStr">
        <is>
          <t>⭐ Strong</t>
        </is>
      </c>
      <c r="S485" s="95" t="inlineStr">
        <is>
          <t>⏳ New Fund</t>
        </is>
      </c>
      <c r="T485" s="95" t="inlineStr">
        <is>
          <t>📈 Momentum Only</t>
        </is>
      </c>
      <c r="U485" s="96" t="inlineStr">
        <is>
          <t>MOMENTUM_ONLY</t>
        </is>
      </c>
    </row>
    <row r="486" ht="16" customHeight="1">
      <c r="A486" s="92" t="n">
        <v>482</v>
      </c>
      <c r="B486" s="93" t="inlineStr">
        <is>
          <t>Mirae Asset BSE Select IPO ETF</t>
        </is>
      </c>
      <c r="C486" s="93" t="inlineStr">
        <is>
          <t>Mirae Asset Mutual Fund</t>
        </is>
      </c>
      <c r="D486" s="93" t="inlineStr">
        <is>
          <t>Other  Etfs</t>
        </is>
      </c>
      <c r="E486" s="93" t="inlineStr">
        <is>
          <t>Index Fund</t>
        </is>
      </c>
      <c r="F486" s="94" t="n">
        <v>3.5</v>
      </c>
      <c r="G486" s="94" t="n">
        <v>12.74</v>
      </c>
      <c r="H486" s="94" t="n">
        <v>9.85</v>
      </c>
      <c r="I486" s="97" t="n">
        <v>-0.6</v>
      </c>
      <c r="J486" s="94" t="n">
        <v>0</v>
      </c>
      <c r="K486" s="94" t="n">
        <v>0</v>
      </c>
      <c r="L486" s="24" t="n">
        <v>75.5</v>
      </c>
      <c r="M486" s="18" t="n">
        <v>0</v>
      </c>
      <c r="N486" s="19" t="n">
        <v>41.5</v>
      </c>
      <c r="O486" s="108">
        <f>COUNTIFS($E:$E,$E486,$L:$L,"&gt;"&amp;$L486)+1</f>
        <v/>
      </c>
      <c r="P486" s="108">
        <f>COUNTIFS($E:$E,$E486,$M:$M,"&gt;"&amp;$M486)+1</f>
        <v/>
      </c>
      <c r="Q486" s="108">
        <f>COUNTIFS($E:$E,$E486,$N:$N,"&gt;"&amp;$N486)+1</f>
        <v/>
      </c>
      <c r="R486" s="95" t="inlineStr">
        <is>
          <t>⭐ Strong</t>
        </is>
      </c>
      <c r="S486" s="95" t="inlineStr">
        <is>
          <t>⏳ New Fund</t>
        </is>
      </c>
      <c r="T486" s="95" t="inlineStr">
        <is>
          <t>📈 Momentum Only</t>
        </is>
      </c>
      <c r="U486" s="96" t="inlineStr">
        <is>
          <t>MOMENTUM_ONLY</t>
        </is>
      </c>
    </row>
    <row r="487" ht="16" customHeight="1">
      <c r="A487" s="92" t="n">
        <v>483</v>
      </c>
      <c r="B487" s="93" t="inlineStr">
        <is>
          <t>Motilal Oswal BSE Select IPO ETF</t>
        </is>
      </c>
      <c r="C487" s="93" t="inlineStr">
        <is>
          <t>Motilal Oswal Mutual Fund</t>
        </is>
      </c>
      <c r="D487" s="93" t="inlineStr">
        <is>
          <t>Other  Etfs</t>
        </is>
      </c>
      <c r="E487" s="93" t="inlineStr">
        <is>
          <t>Index Fund</t>
        </is>
      </c>
      <c r="F487" s="94" t="n">
        <v>3.48</v>
      </c>
      <c r="G487" s="94" t="n">
        <v>12.66</v>
      </c>
      <c r="H487" s="94" t="n">
        <v>9.75</v>
      </c>
      <c r="I487" s="94" t="n">
        <v>0</v>
      </c>
      <c r="J487" s="94" t="n">
        <v>0</v>
      </c>
      <c r="K487" s="94" t="n">
        <v>0</v>
      </c>
      <c r="L487" s="24" t="n">
        <v>75.3</v>
      </c>
      <c r="M487" s="18" t="n">
        <v>0</v>
      </c>
      <c r="N487" s="19" t="n">
        <v>41.4</v>
      </c>
      <c r="O487" s="108">
        <f>COUNTIFS($E:$E,$E487,$L:$L,"&gt;"&amp;$L487)+1</f>
        <v/>
      </c>
      <c r="P487" s="108">
        <f>COUNTIFS($E:$E,$E487,$M:$M,"&gt;"&amp;$M487)+1</f>
        <v/>
      </c>
      <c r="Q487" s="108">
        <f>COUNTIFS($E:$E,$E487,$N:$N,"&gt;"&amp;$N487)+1</f>
        <v/>
      </c>
      <c r="R487" s="95" t="inlineStr">
        <is>
          <t>⭐ Strong</t>
        </is>
      </c>
      <c r="S487" s="95" t="inlineStr">
        <is>
          <t>⏳ New Fund</t>
        </is>
      </c>
      <c r="T487" s="95" t="inlineStr">
        <is>
          <t>📈 Momentum Only</t>
        </is>
      </c>
      <c r="U487" s="96" t="inlineStr">
        <is>
          <t>MOMENTUM_ONLY</t>
        </is>
      </c>
    </row>
    <row r="488" ht="16" customHeight="1">
      <c r="A488" s="92" t="n">
        <v>484</v>
      </c>
      <c r="B488" s="93" t="inlineStr">
        <is>
          <t>Tata Gold Exchange Traded Fund</t>
        </is>
      </c>
      <c r="C488" s="93" t="inlineStr">
        <is>
          <t>Tata Mutual Fund</t>
        </is>
      </c>
      <c r="D488" s="93" t="inlineStr">
        <is>
          <t>Gold Etf</t>
        </is>
      </c>
      <c r="E488" s="93" t="inlineStr">
        <is>
          <t>Gold</t>
        </is>
      </c>
      <c r="F488" s="94" t="n">
        <v>8.949999999999999</v>
      </c>
      <c r="G488" s="97" t="n">
        <v>-3.08</v>
      </c>
      <c r="H488" s="94" t="n">
        <v>1.38</v>
      </c>
      <c r="I488" s="94" t="n">
        <v>52.36</v>
      </c>
      <c r="J488" s="94" t="n">
        <v>46.11981385151023</v>
      </c>
      <c r="K488" s="94" t="n">
        <v>0</v>
      </c>
      <c r="L488" s="24" t="n">
        <v>75.09999999999999</v>
      </c>
      <c r="M488" s="18" t="n">
        <v>0</v>
      </c>
      <c r="N488" s="19" t="n">
        <v>41.3</v>
      </c>
      <c r="O488" s="108">
        <f>COUNTIFS($E:$E,$E488,$L:$L,"&gt;"&amp;$L488)+1</f>
        <v/>
      </c>
      <c r="P488" s="108">
        <f>COUNTIFS($E:$E,$E488,$M:$M,"&gt;"&amp;$M488)+1</f>
        <v/>
      </c>
      <c r="Q488" s="108">
        <f>COUNTIFS($E:$E,$E488,$N:$N,"&gt;"&amp;$N488)+1</f>
        <v/>
      </c>
      <c r="R488" s="95" t="inlineStr">
        <is>
          <t>⭐ Strong</t>
        </is>
      </c>
      <c r="S488" s="95" t="inlineStr">
        <is>
          <t>⏳ New Fund</t>
        </is>
      </c>
      <c r="T488" s="95" t="inlineStr">
        <is>
          <t>📈 Momentum Only</t>
        </is>
      </c>
      <c r="U488" s="96" t="inlineStr">
        <is>
          <t>MOMENTUM_ONLY</t>
        </is>
      </c>
    </row>
    <row r="489" ht="16" customHeight="1">
      <c r="A489" s="92" t="n">
        <v>485</v>
      </c>
      <c r="B489" s="93" t="inlineStr">
        <is>
          <t>Mirae Asset Nifty 200 Alpha 30 ETF</t>
        </is>
      </c>
      <c r="C489" s="93" t="inlineStr">
        <is>
          <t>Mirae Asset Mutual Fund</t>
        </is>
      </c>
      <c r="D489" s="93" t="inlineStr">
        <is>
          <t>Other  Etfs</t>
        </is>
      </c>
      <c r="E489" s="93" t="inlineStr">
        <is>
          <t>Index Fund</t>
        </is>
      </c>
      <c r="F489" s="94" t="n">
        <v>3.37</v>
      </c>
      <c r="G489" s="94" t="n">
        <v>4.95</v>
      </c>
      <c r="H489" s="94" t="n">
        <v>3.69</v>
      </c>
      <c r="I489" s="94" t="n">
        <v>7.19</v>
      </c>
      <c r="J489" s="97" t="n">
        <v>-3.118629241737092</v>
      </c>
      <c r="K489" s="94" t="n">
        <v>0</v>
      </c>
      <c r="L489" s="24" t="n">
        <v>75</v>
      </c>
      <c r="M489" s="18" t="n">
        <v>0</v>
      </c>
      <c r="N489" s="19" t="n">
        <v>41.3</v>
      </c>
      <c r="O489" s="108">
        <f>COUNTIFS($E:$E,$E489,$L:$L,"&gt;"&amp;$L489)+1</f>
        <v/>
      </c>
      <c r="P489" s="108">
        <f>COUNTIFS($E:$E,$E489,$M:$M,"&gt;"&amp;$M489)+1</f>
        <v/>
      </c>
      <c r="Q489" s="108">
        <f>COUNTIFS($E:$E,$E489,$N:$N,"&gt;"&amp;$N489)+1</f>
        <v/>
      </c>
      <c r="R489" s="95" t="inlineStr">
        <is>
          <t>⭐ Strong</t>
        </is>
      </c>
      <c r="S489" s="95" t="inlineStr">
        <is>
          <t>⏳ New Fund</t>
        </is>
      </c>
      <c r="T489" s="95" t="inlineStr">
        <is>
          <t>📈 Momentum Only</t>
        </is>
      </c>
      <c r="U489" s="96" t="inlineStr">
        <is>
          <t>MOMENTUM_ONLY</t>
        </is>
      </c>
    </row>
    <row r="490" ht="16" customHeight="1">
      <c r="A490" s="92" t="n">
        <v>486</v>
      </c>
      <c r="B490" s="93" t="inlineStr">
        <is>
          <t>DSP Nifty Smallcap 250 Index Fund - Regular - Growth</t>
        </is>
      </c>
      <c r="C490" s="93" t="inlineStr">
        <is>
          <t>DSP Mutual Fund</t>
        </is>
      </c>
      <c r="D490" s="93" t="inlineStr">
        <is>
          <t>Index Funds</t>
        </is>
      </c>
      <c r="E490" s="93" t="inlineStr">
        <is>
          <t>Index Fund</t>
        </is>
      </c>
      <c r="F490" s="94" t="n">
        <v>1.99</v>
      </c>
      <c r="G490" s="94" t="n">
        <v>10.11</v>
      </c>
      <c r="H490" s="94" t="n">
        <v>13.14</v>
      </c>
      <c r="I490" s="94" t="n">
        <v>0</v>
      </c>
      <c r="J490" s="94" t="n">
        <v>0</v>
      </c>
      <c r="K490" s="94" t="n">
        <v>0</v>
      </c>
      <c r="L490" s="24" t="n">
        <v>75</v>
      </c>
      <c r="M490" s="18" t="n">
        <v>0</v>
      </c>
      <c r="N490" s="19" t="n">
        <v>41.3</v>
      </c>
      <c r="O490" s="108">
        <f>COUNTIFS($E:$E,$E490,$L:$L,"&gt;"&amp;$L490)+1</f>
        <v/>
      </c>
      <c r="P490" s="108">
        <f>COUNTIFS($E:$E,$E490,$M:$M,"&gt;"&amp;$M490)+1</f>
        <v/>
      </c>
      <c r="Q490" s="108">
        <f>COUNTIFS($E:$E,$E490,$N:$N,"&gt;"&amp;$N490)+1</f>
        <v/>
      </c>
      <c r="R490" s="95" t="inlineStr">
        <is>
          <t>⭐ Strong</t>
        </is>
      </c>
      <c r="S490" s="95" t="inlineStr">
        <is>
          <t>⏳ New Fund</t>
        </is>
      </c>
      <c r="T490" s="95" t="inlineStr">
        <is>
          <t>📈 Momentum Only</t>
        </is>
      </c>
      <c r="U490" s="96" t="inlineStr">
        <is>
          <t>MOMENTUM_ONLY</t>
        </is>
      </c>
    </row>
    <row r="491" ht="16" customHeight="1">
      <c r="A491" s="92" t="n">
        <v>487</v>
      </c>
      <c r="B491" s="93" t="inlineStr">
        <is>
          <t>Kotak Nifty Midcap 150 ETF</t>
        </is>
      </c>
      <c r="C491" s="93" t="inlineStr">
        <is>
          <t>Kotak Mahindra Mutual Fund</t>
        </is>
      </c>
      <c r="D491" s="93" t="inlineStr">
        <is>
          <t>Other  Etfs</t>
        </is>
      </c>
      <c r="E491" s="93" t="inlineStr">
        <is>
          <t>Index Fund</t>
        </is>
      </c>
      <c r="F491" s="94" t="n">
        <v>1.82</v>
      </c>
      <c r="G491" s="94" t="n">
        <v>4.68</v>
      </c>
      <c r="H491" s="94" t="n">
        <v>5.71</v>
      </c>
      <c r="I491" s="94" t="n">
        <v>11.66</v>
      </c>
      <c r="J491" s="94" t="n">
        <v>0</v>
      </c>
      <c r="K491" s="94" t="n">
        <v>0</v>
      </c>
      <c r="L491" s="17" t="n">
        <v>74.8</v>
      </c>
      <c r="M491" s="18" t="n">
        <v>0</v>
      </c>
      <c r="N491" s="19" t="n">
        <v>41.2</v>
      </c>
      <c r="O491" s="108">
        <f>COUNTIFS($E:$E,$E491,$L:$L,"&gt;"&amp;$L491)+1</f>
        <v/>
      </c>
      <c r="P491" s="108">
        <f>COUNTIFS($E:$E,$E491,$M:$M,"&gt;"&amp;$M491)+1</f>
        <v/>
      </c>
      <c r="Q491" s="108">
        <f>COUNTIFS($E:$E,$E491,$N:$N,"&gt;"&amp;$N491)+1</f>
        <v/>
      </c>
      <c r="R491" s="95" t="inlineStr">
        <is>
          <t>📈 Good</t>
        </is>
      </c>
      <c r="S491" s="95" t="inlineStr">
        <is>
          <t>⏳ New Fund</t>
        </is>
      </c>
      <c r="T491" s="95" t="inlineStr">
        <is>
          <t>📈 Momentum Only</t>
        </is>
      </c>
      <c r="U491" s="96" t="inlineStr">
        <is>
          <t>MOMENTUM_ONLY</t>
        </is>
      </c>
    </row>
    <row r="492" ht="16" customHeight="1">
      <c r="A492" s="92" t="n">
        <v>488</v>
      </c>
      <c r="B492" s="93" t="inlineStr">
        <is>
          <t>Mirae Asset Nifty200 Alpha 30 ETF Fund of Fund - Regular Plan - Growth</t>
        </is>
      </c>
      <c r="C492" s="93" t="inlineStr">
        <is>
          <t>Mirae Asset Mutual Fund</t>
        </is>
      </c>
      <c r="D492" s="93" t="inlineStr">
        <is>
          <t>Fof Domestic</t>
        </is>
      </c>
      <c r="E492" s="93" t="inlineStr">
        <is>
          <t>Index Fund</t>
        </is>
      </c>
      <c r="F492" s="94" t="n">
        <v>3.58</v>
      </c>
      <c r="G492" s="94" t="n">
        <v>5.16</v>
      </c>
      <c r="H492" s="94" t="n">
        <v>3.63</v>
      </c>
      <c r="I492" s="94" t="n">
        <v>6.4</v>
      </c>
      <c r="J492" s="97" t="n">
        <v>-3.786695306730059</v>
      </c>
      <c r="K492" s="94" t="n">
        <v>0</v>
      </c>
      <c r="L492" s="17" t="n">
        <v>74.7</v>
      </c>
      <c r="M492" s="18" t="n">
        <v>0</v>
      </c>
      <c r="N492" s="19" t="n">
        <v>41.1</v>
      </c>
      <c r="O492" s="108">
        <f>COUNTIFS($E:$E,$E492,$L:$L,"&gt;"&amp;$L492)+1</f>
        <v/>
      </c>
      <c r="P492" s="108">
        <f>COUNTIFS($E:$E,$E492,$M:$M,"&gt;"&amp;$M492)+1</f>
        <v/>
      </c>
      <c r="Q492" s="108">
        <f>COUNTIFS($E:$E,$E492,$N:$N,"&gt;"&amp;$N492)+1</f>
        <v/>
      </c>
      <c r="R492" s="95" t="inlineStr">
        <is>
          <t>📈 Good</t>
        </is>
      </c>
      <c r="S492" s="95" t="inlineStr">
        <is>
          <t>⏳ New Fund</t>
        </is>
      </c>
      <c r="T492" s="95" t="inlineStr">
        <is>
          <t>📈 Momentum Only</t>
        </is>
      </c>
      <c r="U492" s="96" t="inlineStr">
        <is>
          <t>MOMENTUM_ONLY</t>
        </is>
      </c>
    </row>
    <row r="493" ht="16" customHeight="1">
      <c r="A493" s="92" t="n">
        <v>489</v>
      </c>
      <c r="B493" s="93" t="inlineStr">
        <is>
          <t>Mirae Asset Nifty MidSmallcap400 Momentum Quality 100 ETF Fund of Fund - Regular Plan - Growth</t>
        </is>
      </c>
      <c r="C493" s="93" t="inlineStr">
        <is>
          <t>Mirae Asset Mutual Fund</t>
        </is>
      </c>
      <c r="D493" s="93" t="inlineStr">
        <is>
          <t>Fof Domestic</t>
        </is>
      </c>
      <c r="E493" s="93" t="inlineStr">
        <is>
          <t>Index Fund</t>
        </is>
      </c>
      <c r="F493" s="94" t="n">
        <v>3.82</v>
      </c>
      <c r="G493" s="94" t="n">
        <v>3.31</v>
      </c>
      <c r="H493" s="94" t="n">
        <v>9.09</v>
      </c>
      <c r="I493" s="94" t="n">
        <v>8.800000000000001</v>
      </c>
      <c r="J493" s="97" t="n">
        <v>-1.684182350956365</v>
      </c>
      <c r="K493" s="94" t="n">
        <v>0</v>
      </c>
      <c r="L493" s="17" t="n">
        <v>74.59999999999999</v>
      </c>
      <c r="M493" s="18" t="n">
        <v>0</v>
      </c>
      <c r="N493" s="19" t="n">
        <v>41</v>
      </c>
      <c r="O493" s="108">
        <f>COUNTIFS($E:$E,$E493,$L:$L,"&gt;"&amp;$L493)+1</f>
        <v/>
      </c>
      <c r="P493" s="108">
        <f>COUNTIFS($E:$E,$E493,$M:$M,"&gt;"&amp;$M493)+1</f>
        <v/>
      </c>
      <c r="Q493" s="108">
        <f>COUNTIFS($E:$E,$E493,$N:$N,"&gt;"&amp;$N493)+1</f>
        <v/>
      </c>
      <c r="R493" s="95" t="inlineStr">
        <is>
          <t>📈 Good</t>
        </is>
      </c>
      <c r="S493" s="95" t="inlineStr">
        <is>
          <t>⏳ New Fund</t>
        </is>
      </c>
      <c r="T493" s="95" t="inlineStr">
        <is>
          <t>📈 Momentum Only</t>
        </is>
      </c>
      <c r="U493" s="96" t="inlineStr">
        <is>
          <t>MOMENTUM_ONLY</t>
        </is>
      </c>
    </row>
    <row r="494" ht="16" customHeight="1">
      <c r="A494" s="92" t="n">
        <v>490</v>
      </c>
      <c r="B494" s="93" t="inlineStr">
        <is>
          <t>UTI Nifty Midcap 150 Exchange Traded Fund</t>
        </is>
      </c>
      <c r="C494" s="93" t="inlineStr">
        <is>
          <t>UTI Mutual Fund</t>
        </is>
      </c>
      <c r="D494" s="93" t="inlineStr">
        <is>
          <t>Other  Etfs</t>
        </is>
      </c>
      <c r="E494" s="93" t="inlineStr">
        <is>
          <t>Index Fund</t>
        </is>
      </c>
      <c r="F494" s="94" t="n">
        <v>1.82</v>
      </c>
      <c r="G494" s="94" t="n">
        <v>4.68</v>
      </c>
      <c r="H494" s="94" t="n">
        <v>5.67</v>
      </c>
      <c r="I494" s="94" t="n">
        <v>11.63</v>
      </c>
      <c r="J494" s="94" t="n">
        <v>5.166534601079253</v>
      </c>
      <c r="K494" s="94" t="n">
        <v>0</v>
      </c>
      <c r="L494" s="17" t="n">
        <v>74.5</v>
      </c>
      <c r="M494" s="18" t="n">
        <v>0</v>
      </c>
      <c r="N494" s="19" t="n">
        <v>41</v>
      </c>
      <c r="O494" s="108">
        <f>COUNTIFS($E:$E,$E494,$L:$L,"&gt;"&amp;$L494)+1</f>
        <v/>
      </c>
      <c r="P494" s="108">
        <f>COUNTIFS($E:$E,$E494,$M:$M,"&gt;"&amp;$M494)+1</f>
        <v/>
      </c>
      <c r="Q494" s="108">
        <f>COUNTIFS($E:$E,$E494,$N:$N,"&gt;"&amp;$N494)+1</f>
        <v/>
      </c>
      <c r="R494" s="95" t="inlineStr">
        <is>
          <t>📈 Good</t>
        </is>
      </c>
      <c r="S494" s="95" t="inlineStr">
        <is>
          <t>⏳ New Fund</t>
        </is>
      </c>
      <c r="T494" s="95" t="inlineStr">
        <is>
          <t>📈 Momentum Only</t>
        </is>
      </c>
      <c r="U494" s="96" t="inlineStr">
        <is>
          <t>MOMENTUM_ONLY</t>
        </is>
      </c>
    </row>
    <row r="495" ht="16" customHeight="1">
      <c r="A495" s="92" t="n">
        <v>491</v>
      </c>
      <c r="B495" s="93" t="inlineStr">
        <is>
          <t>DSP Nifty Smallcap 250 ETF</t>
        </is>
      </c>
      <c r="C495" s="93" t="inlineStr">
        <is>
          <t>DSP Mutual Fund</t>
        </is>
      </c>
      <c r="D495" s="93" t="inlineStr">
        <is>
          <t>Other  Etfs</t>
        </is>
      </c>
      <c r="E495" s="93" t="inlineStr">
        <is>
          <t>Index Fund</t>
        </is>
      </c>
      <c r="F495" s="94" t="n">
        <v>2.05</v>
      </c>
      <c r="G495" s="94" t="n">
        <v>10.52</v>
      </c>
      <c r="H495" s="94" t="n">
        <v>14.08</v>
      </c>
      <c r="I495" s="94" t="n">
        <v>0</v>
      </c>
      <c r="J495" s="94" t="n">
        <v>0</v>
      </c>
      <c r="K495" s="94" t="n">
        <v>0</v>
      </c>
      <c r="L495" s="17" t="n">
        <v>73.7</v>
      </c>
      <c r="M495" s="18" t="n">
        <v>0</v>
      </c>
      <c r="N495" s="19" t="n">
        <v>40.5</v>
      </c>
      <c r="O495" s="108">
        <f>COUNTIFS($E:$E,$E495,$L:$L,"&gt;"&amp;$L495)+1</f>
        <v/>
      </c>
      <c r="P495" s="108">
        <f>COUNTIFS($E:$E,$E495,$M:$M,"&gt;"&amp;$M495)+1</f>
        <v/>
      </c>
      <c r="Q495" s="108">
        <f>COUNTIFS($E:$E,$E495,$N:$N,"&gt;"&amp;$N495)+1</f>
        <v/>
      </c>
      <c r="R495" s="95" t="inlineStr">
        <is>
          <t>📈 Good</t>
        </is>
      </c>
      <c r="S495" s="95" t="inlineStr">
        <is>
          <t>⏳ New Fund</t>
        </is>
      </c>
      <c r="T495" s="95" t="inlineStr">
        <is>
          <t>📈 Momentum Only</t>
        </is>
      </c>
      <c r="U495" s="96" t="inlineStr">
        <is>
          <t>MOMENTUM_ONLY</t>
        </is>
      </c>
    </row>
    <row r="496" ht="16" customHeight="1">
      <c r="A496" s="92" t="n">
        <v>492</v>
      </c>
      <c r="B496" s="93" t="inlineStr">
        <is>
          <t>Mirae Asset Nifty Smallcap 250 ETF</t>
        </is>
      </c>
      <c r="C496" s="93" t="inlineStr">
        <is>
          <t>Mirae Asset Mutual Fund</t>
        </is>
      </c>
      <c r="D496" s="93" t="inlineStr">
        <is>
          <t>Other  Etfs</t>
        </is>
      </c>
      <c r="E496" s="93" t="inlineStr">
        <is>
          <t>Index Fund</t>
        </is>
      </c>
      <c r="F496" s="94" t="n">
        <v>2.05</v>
      </c>
      <c r="G496" s="94" t="n">
        <v>10.35</v>
      </c>
      <c r="H496" s="94" t="n">
        <v>13.73</v>
      </c>
      <c r="I496" s="94" t="n">
        <v>0</v>
      </c>
      <c r="J496" s="94" t="n">
        <v>0</v>
      </c>
      <c r="K496" s="94" t="n">
        <v>0</v>
      </c>
      <c r="L496" s="17" t="n">
        <v>73.5</v>
      </c>
      <c r="M496" s="18" t="n">
        <v>0</v>
      </c>
      <c r="N496" s="19" t="n">
        <v>40.4</v>
      </c>
      <c r="O496" s="108">
        <f>COUNTIFS($E:$E,$E496,$L:$L,"&gt;"&amp;$L496)+1</f>
        <v/>
      </c>
      <c r="P496" s="108">
        <f>COUNTIFS($E:$E,$E496,$M:$M,"&gt;"&amp;$M496)+1</f>
        <v/>
      </c>
      <c r="Q496" s="108">
        <f>COUNTIFS($E:$E,$E496,$N:$N,"&gt;"&amp;$N496)+1</f>
        <v/>
      </c>
      <c r="R496" s="95" t="inlineStr">
        <is>
          <t>📈 Good</t>
        </is>
      </c>
      <c r="S496" s="95" t="inlineStr">
        <is>
          <t>⏳ New Fund</t>
        </is>
      </c>
      <c r="T496" s="95" t="inlineStr">
        <is>
          <t>📈 Momentum Only</t>
        </is>
      </c>
      <c r="U496" s="96" t="inlineStr">
        <is>
          <t>MOMENTUM_ONLY</t>
        </is>
      </c>
    </row>
    <row r="497" ht="16" customHeight="1">
      <c r="A497" s="92" t="n">
        <v>493</v>
      </c>
      <c r="B497" s="93" t="inlineStr">
        <is>
          <t>Nippon India BSE Sensex Next 30 ETF</t>
        </is>
      </c>
      <c r="C497" s="93" t="inlineStr">
        <is>
          <t>Nippon India Mutual Fund</t>
        </is>
      </c>
      <c r="D497" s="93" t="inlineStr">
        <is>
          <t>Other  Etfs</t>
        </is>
      </c>
      <c r="E497" s="93" t="inlineStr">
        <is>
          <t>Index Fund</t>
        </is>
      </c>
      <c r="F497" s="94" t="n">
        <v>3.39</v>
      </c>
      <c r="G497" s="94" t="n">
        <v>3.36</v>
      </c>
      <c r="H497" s="94" t="n">
        <v>4.54</v>
      </c>
      <c r="I497" s="94" t="n">
        <v>13.15</v>
      </c>
      <c r="J497" s="94" t="n">
        <v>0</v>
      </c>
      <c r="K497" s="94" t="n">
        <v>0</v>
      </c>
      <c r="L497" s="17" t="n">
        <v>73.40000000000001</v>
      </c>
      <c r="M497" s="18" t="n">
        <v>0</v>
      </c>
      <c r="N497" s="19" t="n">
        <v>40.4</v>
      </c>
      <c r="O497" s="108">
        <f>COUNTIFS($E:$E,$E497,$L:$L,"&gt;"&amp;$L497)+1</f>
        <v/>
      </c>
      <c r="P497" s="108">
        <f>COUNTIFS($E:$E,$E497,$M:$M,"&gt;"&amp;$M497)+1</f>
        <v/>
      </c>
      <c r="Q497" s="108">
        <f>COUNTIFS($E:$E,$E497,$N:$N,"&gt;"&amp;$N497)+1</f>
        <v/>
      </c>
      <c r="R497" s="95" t="inlineStr">
        <is>
          <t>📈 Good</t>
        </is>
      </c>
      <c r="S497" s="95" t="inlineStr">
        <is>
          <t>⏳ New Fund</t>
        </is>
      </c>
      <c r="T497" s="95" t="inlineStr">
        <is>
          <t>📈 Momentum Only</t>
        </is>
      </c>
      <c r="U497" s="96" t="inlineStr">
        <is>
          <t>MOMENTUM_ONLY</t>
        </is>
      </c>
    </row>
    <row r="498" ht="16" customHeight="1">
      <c r="A498" s="92" t="n">
        <v>494</v>
      </c>
      <c r="B498" s="93" t="inlineStr">
        <is>
          <t>Kotak Nifty Next 50 ETF</t>
        </is>
      </c>
      <c r="C498" s="93" t="inlineStr">
        <is>
          <t>Kotak Mahindra Mutual Fund</t>
        </is>
      </c>
      <c r="D498" s="93" t="inlineStr">
        <is>
          <t>Other  Etfs</t>
        </is>
      </c>
      <c r="E498" s="93" t="inlineStr">
        <is>
          <t>Index Fund</t>
        </is>
      </c>
      <c r="F498" s="94" t="n">
        <v>3.69</v>
      </c>
      <c r="G498" s="94" t="n">
        <v>8.01</v>
      </c>
      <c r="H498" s="94" t="n">
        <v>6.25</v>
      </c>
      <c r="I498" s="94" t="n">
        <v>0</v>
      </c>
      <c r="J498" s="94" t="n">
        <v>0</v>
      </c>
      <c r="K498" s="94" t="n">
        <v>0</v>
      </c>
      <c r="L498" s="17" t="n">
        <v>72.2</v>
      </c>
      <c r="M498" s="18" t="n">
        <v>0</v>
      </c>
      <c r="N498" s="19" t="n">
        <v>39.7</v>
      </c>
      <c r="O498" s="108">
        <f>COUNTIFS($E:$E,$E498,$L:$L,"&gt;"&amp;$L498)+1</f>
        <v/>
      </c>
      <c r="P498" s="108">
        <f>COUNTIFS($E:$E,$E498,$M:$M,"&gt;"&amp;$M498)+1</f>
        <v/>
      </c>
      <c r="Q498" s="108">
        <f>COUNTIFS($E:$E,$E498,$N:$N,"&gt;"&amp;$N498)+1</f>
        <v/>
      </c>
      <c r="R498" s="95" t="inlineStr">
        <is>
          <t>📈 Good</t>
        </is>
      </c>
      <c r="S498" s="95" t="inlineStr">
        <is>
          <t>⏳ New Fund</t>
        </is>
      </c>
      <c r="T498" s="95" t="inlineStr">
        <is>
          <t>📈 Momentum Only</t>
        </is>
      </c>
      <c r="U498" s="96" t="inlineStr">
        <is>
          <t>MOMENTUM_ONLY</t>
        </is>
      </c>
    </row>
    <row r="499" ht="16" customHeight="1">
      <c r="A499" s="92" t="n">
        <v>495</v>
      </c>
      <c r="B499" s="93" t="inlineStr">
        <is>
          <t>Tata Nifty Next 50 Index Fund - Regular Plan Growth Option</t>
        </is>
      </c>
      <c r="C499" s="93" t="inlineStr">
        <is>
          <t>Tata Mutual Fund</t>
        </is>
      </c>
      <c r="D499" s="93" t="inlineStr">
        <is>
          <t>Index Funds</t>
        </is>
      </c>
      <c r="E499" s="93" t="inlineStr">
        <is>
          <t>Index Fund</t>
        </is>
      </c>
      <c r="F499" s="94" t="n">
        <v>3.59</v>
      </c>
      <c r="G499" s="94" t="n">
        <v>7.83</v>
      </c>
      <c r="H499" s="94" t="n">
        <v>5.68</v>
      </c>
      <c r="I499" s="94" t="n">
        <v>0</v>
      </c>
      <c r="J499" s="94" t="n">
        <v>0</v>
      </c>
      <c r="K499" s="94" t="n">
        <v>0</v>
      </c>
      <c r="L499" s="17" t="n">
        <v>72.09999999999999</v>
      </c>
      <c r="M499" s="18" t="n">
        <v>0</v>
      </c>
      <c r="N499" s="19" t="n">
        <v>39.7</v>
      </c>
      <c r="O499" s="108">
        <f>COUNTIFS($E:$E,$E499,$L:$L,"&gt;"&amp;$L499)+1</f>
        <v/>
      </c>
      <c r="P499" s="108">
        <f>COUNTIFS($E:$E,$E499,$M:$M,"&gt;"&amp;$M499)+1</f>
        <v/>
      </c>
      <c r="Q499" s="108">
        <f>COUNTIFS($E:$E,$E499,$N:$N,"&gt;"&amp;$N499)+1</f>
        <v/>
      </c>
      <c r="R499" s="95" t="inlineStr">
        <is>
          <t>📈 Good</t>
        </is>
      </c>
      <c r="S499" s="95" t="inlineStr">
        <is>
          <t>⏳ New Fund</t>
        </is>
      </c>
      <c r="T499" s="95" t="inlineStr">
        <is>
          <t>📈 Momentum Only</t>
        </is>
      </c>
      <c r="U499" s="96" t="inlineStr">
        <is>
          <t>MOMENTUM_ONLY</t>
        </is>
      </c>
    </row>
    <row r="500" ht="16" customHeight="1">
      <c r="A500" s="92" t="n">
        <v>496</v>
      </c>
      <c r="B500" s="93" t="inlineStr">
        <is>
          <t>Kotak Nifty 100 Equal Weight Index Fund - Regular Plan - Growth</t>
        </is>
      </c>
      <c r="C500" s="93" t="inlineStr">
        <is>
          <t>Kotak Mahindra Mutual Fund</t>
        </is>
      </c>
      <c r="D500" s="93" t="inlineStr">
        <is>
          <t>Index Funds</t>
        </is>
      </c>
      <c r="E500" s="93" t="inlineStr">
        <is>
          <t>Index Fund</t>
        </is>
      </c>
      <c r="F500" s="94" t="n">
        <v>1.95</v>
      </c>
      <c r="G500" s="94" t="n">
        <v>5.45</v>
      </c>
      <c r="H500" s="94" t="n">
        <v>2.67</v>
      </c>
      <c r="I500" s="94" t="n">
        <v>9.06</v>
      </c>
      <c r="J500" s="94" t="n">
        <v>0</v>
      </c>
      <c r="K500" s="94" t="n">
        <v>0</v>
      </c>
      <c r="L500" s="17" t="n">
        <v>72</v>
      </c>
      <c r="M500" s="18" t="n">
        <v>0</v>
      </c>
      <c r="N500" s="19" t="n">
        <v>39.6</v>
      </c>
      <c r="O500" s="108">
        <f>COUNTIFS($E:$E,$E500,$L:$L,"&gt;"&amp;$L500)+1</f>
        <v/>
      </c>
      <c r="P500" s="108">
        <f>COUNTIFS($E:$E,$E500,$M:$M,"&gt;"&amp;$M500)+1</f>
        <v/>
      </c>
      <c r="Q500" s="108">
        <f>COUNTIFS($E:$E,$E500,$N:$N,"&gt;"&amp;$N500)+1</f>
        <v/>
      </c>
      <c r="R500" s="95" t="inlineStr">
        <is>
          <t>📈 Good</t>
        </is>
      </c>
      <c r="S500" s="95" t="inlineStr">
        <is>
          <t>⏳ New Fund</t>
        </is>
      </c>
      <c r="T500" s="95" t="inlineStr">
        <is>
          <t>📈 Momentum Only</t>
        </is>
      </c>
      <c r="U500" s="96" t="inlineStr">
        <is>
          <t>MOMENTUM_ONLY</t>
        </is>
      </c>
    </row>
    <row r="501" ht="16" customHeight="1">
      <c r="A501" s="92" t="n">
        <v>497</v>
      </c>
      <c r="B501" s="93" t="inlineStr">
        <is>
          <t>DSP Nifty Next 50 ETF</t>
        </is>
      </c>
      <c r="C501" s="93" t="inlineStr">
        <is>
          <t>DSP Mutual Fund</t>
        </is>
      </c>
      <c r="D501" s="93" t="inlineStr">
        <is>
          <t>Other  Etfs</t>
        </is>
      </c>
      <c r="E501" s="93" t="inlineStr">
        <is>
          <t>Index Fund</t>
        </is>
      </c>
      <c r="F501" s="94" t="n">
        <v>3.67</v>
      </c>
      <c r="G501" s="94" t="n">
        <v>8.06</v>
      </c>
      <c r="H501" s="94" t="n">
        <v>6.23</v>
      </c>
      <c r="I501" s="94" t="n">
        <v>0</v>
      </c>
      <c r="J501" s="94" t="n">
        <v>0</v>
      </c>
      <c r="K501" s="94" t="n">
        <v>0</v>
      </c>
      <c r="L501" s="17" t="n">
        <v>71.7</v>
      </c>
      <c r="M501" s="18" t="n">
        <v>0</v>
      </c>
      <c r="N501" s="19" t="n">
        <v>39.5</v>
      </c>
      <c r="O501" s="108">
        <f>COUNTIFS($E:$E,$E501,$L:$L,"&gt;"&amp;$L501)+1</f>
        <v/>
      </c>
      <c r="P501" s="108">
        <f>COUNTIFS($E:$E,$E501,$M:$M,"&gt;"&amp;$M501)+1</f>
        <v/>
      </c>
      <c r="Q501" s="108">
        <f>COUNTIFS($E:$E,$E501,$N:$N,"&gt;"&amp;$N501)+1</f>
        <v/>
      </c>
      <c r="R501" s="95" t="inlineStr">
        <is>
          <t>📈 Good</t>
        </is>
      </c>
      <c r="S501" s="95" t="inlineStr">
        <is>
          <t>⏳ New Fund</t>
        </is>
      </c>
      <c r="T501" s="95" t="inlineStr">
        <is>
          <t>📈 Momentum Only</t>
        </is>
      </c>
      <c r="U501" s="96" t="inlineStr">
        <is>
          <t>MOMENTUM_ONLY</t>
        </is>
      </c>
    </row>
    <row r="502" ht="16" customHeight="1">
      <c r="A502" s="92" t="n">
        <v>498</v>
      </c>
      <c r="B502" s="93" t="inlineStr">
        <is>
          <t>Nippon India Nifty India Manufacturing Index-Regular Plan-Growth Option</t>
        </is>
      </c>
      <c r="C502" s="93" t="inlineStr">
        <is>
          <t>Nippon India Mutual Fund</t>
        </is>
      </c>
      <c r="D502" s="93" t="inlineStr">
        <is>
          <t>Index Funds</t>
        </is>
      </c>
      <c r="E502" s="93" t="inlineStr">
        <is>
          <t>Index Fund</t>
        </is>
      </c>
      <c r="F502" s="94" t="n">
        <v>4.01</v>
      </c>
      <c r="G502" s="94" t="n">
        <v>6.32</v>
      </c>
      <c r="H502" s="94" t="n">
        <v>5.35</v>
      </c>
      <c r="I502" s="94" t="n">
        <v>0</v>
      </c>
      <c r="J502" s="94" t="n">
        <v>0</v>
      </c>
      <c r="K502" s="94" t="n">
        <v>0</v>
      </c>
      <c r="L502" s="17" t="n">
        <v>71.5</v>
      </c>
      <c r="M502" s="18" t="n">
        <v>0</v>
      </c>
      <c r="N502" s="19" t="n">
        <v>39.3</v>
      </c>
      <c r="O502" s="108">
        <f>COUNTIFS($E:$E,$E502,$L:$L,"&gt;"&amp;$L502)+1</f>
        <v/>
      </c>
      <c r="P502" s="108">
        <f>COUNTIFS($E:$E,$E502,$M:$M,"&gt;"&amp;$M502)+1</f>
        <v/>
      </c>
      <c r="Q502" s="108">
        <f>COUNTIFS($E:$E,$E502,$N:$N,"&gt;"&amp;$N502)+1</f>
        <v/>
      </c>
      <c r="R502" s="95" t="inlineStr">
        <is>
          <t>📈 Good</t>
        </is>
      </c>
      <c r="S502" s="95" t="inlineStr">
        <is>
          <t>⏳ New Fund</t>
        </is>
      </c>
      <c r="T502" s="95" t="inlineStr">
        <is>
          <t>📈 Momentum Only</t>
        </is>
      </c>
      <c r="U502" s="96" t="inlineStr">
        <is>
          <t>MOMENTUM_ONLY</t>
        </is>
      </c>
    </row>
    <row r="503" ht="16" customHeight="1">
      <c r="A503" s="92" t="n">
        <v>499</v>
      </c>
      <c r="B503" s="93" t="inlineStr">
        <is>
          <t>Kotak Nifty 100 Equal Weight ETF</t>
        </is>
      </c>
      <c r="C503" s="93" t="inlineStr">
        <is>
          <t>Kotak Mahindra Mutual Fund</t>
        </is>
      </c>
      <c r="D503" s="93" t="inlineStr">
        <is>
          <t>Other  Etfs</t>
        </is>
      </c>
      <c r="E503" s="93" t="inlineStr">
        <is>
          <t>Index Fund</t>
        </is>
      </c>
      <c r="F503" s="94" t="n">
        <v>2</v>
      </c>
      <c r="G503" s="94" t="n">
        <v>5.54</v>
      </c>
      <c r="H503" s="94" t="n">
        <v>2.86</v>
      </c>
      <c r="I503" s="94" t="n">
        <v>9.74</v>
      </c>
      <c r="J503" s="94" t="n">
        <v>0</v>
      </c>
      <c r="K503" s="94" t="n">
        <v>0</v>
      </c>
      <c r="L503" s="17" t="n">
        <v>70.8</v>
      </c>
      <c r="M503" s="18" t="n">
        <v>0</v>
      </c>
      <c r="N503" s="19" t="n">
        <v>38.9</v>
      </c>
      <c r="O503" s="108">
        <f>COUNTIFS($E:$E,$E503,$L:$L,"&gt;"&amp;$L503)+1</f>
        <v/>
      </c>
      <c r="P503" s="108">
        <f>COUNTIFS($E:$E,$E503,$M:$M,"&gt;"&amp;$M503)+1</f>
        <v/>
      </c>
      <c r="Q503" s="108">
        <f>COUNTIFS($E:$E,$E503,$N:$N,"&gt;"&amp;$N503)+1</f>
        <v/>
      </c>
      <c r="R503" s="95" t="inlineStr">
        <is>
          <t>📈 Good</t>
        </is>
      </c>
      <c r="S503" s="95" t="inlineStr">
        <is>
          <t>⏳ New Fund</t>
        </is>
      </c>
      <c r="T503" s="95" t="inlineStr">
        <is>
          <t>📈 Momentum Only</t>
        </is>
      </c>
      <c r="U503" s="96" t="inlineStr">
        <is>
          <t>MOMENTUM_ONLY</t>
        </is>
      </c>
    </row>
    <row r="504" ht="16" customHeight="1">
      <c r="A504" s="92" t="n">
        <v>500</v>
      </c>
      <c r="B504" s="93" t="inlineStr">
        <is>
          <t>Mirae Asset Nifty India New Age Consumption ETF Fund of Fund - Regular Plan - Growth</t>
        </is>
      </c>
      <c r="C504" s="93" t="inlineStr">
        <is>
          <t>Mirae Asset Mutual Fund</t>
        </is>
      </c>
      <c r="D504" s="93" t="inlineStr">
        <is>
          <t>Fof Domestic</t>
        </is>
      </c>
      <c r="E504" s="93" t="inlineStr">
        <is>
          <t>Index Fund</t>
        </is>
      </c>
      <c r="F504" s="94" t="n">
        <v>3.59</v>
      </c>
      <c r="G504" s="94" t="n">
        <v>12.58</v>
      </c>
      <c r="H504" s="94" t="n">
        <v>4.71</v>
      </c>
      <c r="I504" s="94" t="n">
        <v>3.85</v>
      </c>
      <c r="J504" s="94" t="n">
        <v>0</v>
      </c>
      <c r="K504" s="94" t="n">
        <v>0</v>
      </c>
      <c r="L504" s="17" t="n">
        <v>70.5</v>
      </c>
      <c r="M504" s="18" t="n">
        <v>0</v>
      </c>
      <c r="N504" s="19" t="n">
        <v>38.8</v>
      </c>
      <c r="O504" s="108">
        <f>COUNTIFS($E:$E,$E504,$L:$L,"&gt;"&amp;$L504)+1</f>
        <v/>
      </c>
      <c r="P504" s="108">
        <f>COUNTIFS($E:$E,$E504,$M:$M,"&gt;"&amp;$M504)+1</f>
        <v/>
      </c>
      <c r="Q504" s="108">
        <f>COUNTIFS($E:$E,$E504,$N:$N,"&gt;"&amp;$N504)+1</f>
        <v/>
      </c>
      <c r="R504" s="95" t="inlineStr">
        <is>
          <t>📈 Good</t>
        </is>
      </c>
      <c r="S504" s="95" t="inlineStr">
        <is>
          <t>⏳ New Fund</t>
        </is>
      </c>
      <c r="T504" s="95" t="inlineStr">
        <is>
          <t>📈 Momentum Only</t>
        </is>
      </c>
      <c r="U504" s="96" t="inlineStr">
        <is>
          <t>MOMENTUM_ONLY</t>
        </is>
      </c>
    </row>
    <row r="505" ht="16" customHeight="1">
      <c r="A505" s="92" t="n">
        <v>501</v>
      </c>
      <c r="B505" s="93" t="inlineStr">
        <is>
          <t>Mirae Asset Nifty 500 Healthcare ETF</t>
        </is>
      </c>
      <c r="C505" s="93" t="inlineStr">
        <is>
          <t>Mirae Asset Mutual Fund</t>
        </is>
      </c>
      <c r="D505" s="93" t="inlineStr">
        <is>
          <t>Other  Etfs</t>
        </is>
      </c>
      <c r="E505" s="93" t="inlineStr">
        <is>
          <t>Pharma/Healthcare</t>
        </is>
      </c>
      <c r="F505" s="94" t="n">
        <v>2.1</v>
      </c>
      <c r="G505" s="94" t="n">
        <v>6.35</v>
      </c>
      <c r="H505" s="94" t="n">
        <v>16.36</v>
      </c>
      <c r="I505" s="94" t="n">
        <v>0</v>
      </c>
      <c r="J505" s="94" t="n">
        <v>0</v>
      </c>
      <c r="K505" s="94" t="n">
        <v>0</v>
      </c>
      <c r="L505" s="17" t="n">
        <v>70.40000000000001</v>
      </c>
      <c r="M505" s="18" t="n">
        <v>0</v>
      </c>
      <c r="N505" s="19" t="n">
        <v>38.7</v>
      </c>
      <c r="O505" s="108">
        <f>COUNTIFS($E:$E,$E505,$L:$L,"&gt;"&amp;$L505)+1</f>
        <v/>
      </c>
      <c r="P505" s="108">
        <f>COUNTIFS($E:$E,$E505,$M:$M,"&gt;"&amp;$M505)+1</f>
        <v/>
      </c>
      <c r="Q505" s="108">
        <f>COUNTIFS($E:$E,$E505,$N:$N,"&gt;"&amp;$N505)+1</f>
        <v/>
      </c>
      <c r="R505" s="95" t="inlineStr">
        <is>
          <t>📈 Good</t>
        </is>
      </c>
      <c r="S505" s="95" t="inlineStr">
        <is>
          <t>⏳ New Fund</t>
        </is>
      </c>
      <c r="T505" s="95" t="inlineStr">
        <is>
          <t>📈 Momentum Only</t>
        </is>
      </c>
      <c r="U505" s="96" t="inlineStr">
        <is>
          <t>MOMENTUM_ONLY</t>
        </is>
      </c>
    </row>
    <row r="506" ht="16" customHeight="1">
      <c r="A506" s="92" t="n">
        <v>502</v>
      </c>
      <c r="B506" s="93" t="inlineStr">
        <is>
          <t>Mirae Asset BSE 200 Equal Weight ETF</t>
        </is>
      </c>
      <c r="C506" s="93" t="inlineStr">
        <is>
          <t>Mirae Asset Mutual Fund</t>
        </is>
      </c>
      <c r="D506" s="93" t="inlineStr">
        <is>
          <t>Other  Etfs</t>
        </is>
      </c>
      <c r="E506" s="93" t="inlineStr">
        <is>
          <t>Index Fund</t>
        </is>
      </c>
      <c r="F506" s="94" t="n">
        <v>1.58</v>
      </c>
      <c r="G506" s="94" t="n">
        <v>5.21</v>
      </c>
      <c r="H506" s="94" t="n">
        <v>3.29</v>
      </c>
      <c r="I506" s="94" t="n">
        <v>10.05</v>
      </c>
      <c r="J506" s="94" t="n">
        <v>0</v>
      </c>
      <c r="K506" s="94" t="n">
        <v>0</v>
      </c>
      <c r="L506" s="17" t="n">
        <v>70</v>
      </c>
      <c r="M506" s="18" t="n">
        <v>0</v>
      </c>
      <c r="N506" s="19" t="n">
        <v>38.5</v>
      </c>
      <c r="O506" s="108">
        <f>COUNTIFS($E:$E,$E506,$L:$L,"&gt;"&amp;$L506)+1</f>
        <v/>
      </c>
      <c r="P506" s="108">
        <f>COUNTIFS($E:$E,$E506,$M:$M,"&gt;"&amp;$M506)+1</f>
        <v/>
      </c>
      <c r="Q506" s="108">
        <f>COUNTIFS($E:$E,$E506,$N:$N,"&gt;"&amp;$N506)+1</f>
        <v/>
      </c>
      <c r="R506" s="95" t="inlineStr">
        <is>
          <t>📈 Good</t>
        </is>
      </c>
      <c r="S506" s="95" t="inlineStr">
        <is>
          <t>⏳ New Fund</t>
        </is>
      </c>
      <c r="T506" s="95" t="inlineStr">
        <is>
          <t>📈 Momentum Only</t>
        </is>
      </c>
      <c r="U506" s="96" t="inlineStr">
        <is>
          <t>MOMENTUM_ONLY</t>
        </is>
      </c>
    </row>
    <row r="507" ht="16" customHeight="1">
      <c r="A507" s="92" t="n">
        <v>503</v>
      </c>
      <c r="B507" s="93" t="inlineStr">
        <is>
          <t>Motilal Oswal Nifty MNC ETF</t>
        </is>
      </c>
      <c r="C507" s="93" t="inlineStr">
        <is>
          <t>Motilal Oswal Mutual Fund</t>
        </is>
      </c>
      <c r="D507" s="93" t="inlineStr">
        <is>
          <t>Other  Etfs</t>
        </is>
      </c>
      <c r="E507" s="93" t="inlineStr">
        <is>
          <t>Index Fund</t>
        </is>
      </c>
      <c r="F507" s="94" t="n">
        <v>2.87</v>
      </c>
      <c r="G507" s="94" t="n">
        <v>5.73</v>
      </c>
      <c r="H507" s="94" t="n">
        <v>6.91</v>
      </c>
      <c r="I507" s="94" t="n">
        <v>0</v>
      </c>
      <c r="J507" s="94" t="n">
        <v>0</v>
      </c>
      <c r="K507" s="94" t="n">
        <v>0</v>
      </c>
      <c r="L507" s="17" t="n">
        <v>69.3</v>
      </c>
      <c r="M507" s="18" t="n">
        <v>0</v>
      </c>
      <c r="N507" s="19" t="n">
        <v>38.1</v>
      </c>
      <c r="O507" s="108">
        <f>COUNTIFS($E:$E,$E507,$L:$L,"&gt;"&amp;$L507)+1</f>
        <v/>
      </c>
      <c r="P507" s="108">
        <f>COUNTIFS($E:$E,$E507,$M:$M,"&gt;"&amp;$M507)+1</f>
        <v/>
      </c>
      <c r="Q507" s="108">
        <f>COUNTIFS($E:$E,$E507,$N:$N,"&gt;"&amp;$N507)+1</f>
        <v/>
      </c>
      <c r="R507" s="95" t="inlineStr">
        <is>
          <t>📈 Good</t>
        </is>
      </c>
      <c r="S507" s="95" t="inlineStr">
        <is>
          <t>⏳ New Fund</t>
        </is>
      </c>
      <c r="T507" s="95" t="inlineStr">
        <is>
          <t>📈 Momentum Only</t>
        </is>
      </c>
      <c r="U507" s="96" t="inlineStr">
        <is>
          <t>MOMENTUM_ONLY</t>
        </is>
      </c>
    </row>
    <row r="508" ht="16" customHeight="1">
      <c r="A508" s="92" t="n">
        <v>504</v>
      </c>
      <c r="B508" s="93" t="inlineStr">
        <is>
          <t>Navi Nifty Midsmall 400 Index Fund - Regular - Growth</t>
        </is>
      </c>
      <c r="C508" s="93" t="inlineStr">
        <is>
          <t>Navi Mutual Fund</t>
        </is>
      </c>
      <c r="D508" s="93" t="inlineStr">
        <is>
          <t>Index Funds</t>
        </is>
      </c>
      <c r="E508" s="93" t="inlineStr">
        <is>
          <t>Index Fund</t>
        </is>
      </c>
      <c r="F508" s="94" t="n">
        <v>1.77</v>
      </c>
      <c r="G508" s="94" t="n">
        <v>6.08</v>
      </c>
      <c r="H508" s="94" t="n">
        <v>7.32</v>
      </c>
      <c r="I508" s="94" t="n">
        <v>0</v>
      </c>
      <c r="J508" s="94" t="n">
        <v>0</v>
      </c>
      <c r="K508" s="94" t="n">
        <v>0</v>
      </c>
      <c r="L508" s="17" t="n">
        <v>69.3</v>
      </c>
      <c r="M508" s="18" t="n">
        <v>0</v>
      </c>
      <c r="N508" s="19" t="n">
        <v>38.1</v>
      </c>
      <c r="O508" s="108">
        <f>COUNTIFS($E:$E,$E508,$L:$L,"&gt;"&amp;$L508)+1</f>
        <v/>
      </c>
      <c r="P508" s="108">
        <f>COUNTIFS($E:$E,$E508,$M:$M,"&gt;"&amp;$M508)+1</f>
        <v/>
      </c>
      <c r="Q508" s="108">
        <f>COUNTIFS($E:$E,$E508,$N:$N,"&gt;"&amp;$N508)+1</f>
        <v/>
      </c>
      <c r="R508" s="95" t="inlineStr">
        <is>
          <t>📈 Good</t>
        </is>
      </c>
      <c r="S508" s="95" t="inlineStr">
        <is>
          <t>⏳ New Fund</t>
        </is>
      </c>
      <c r="T508" s="95" t="inlineStr">
        <is>
          <t>📈 Momentum Only</t>
        </is>
      </c>
      <c r="U508" s="96" t="inlineStr">
        <is>
          <t>MOMENTUM_ONLY</t>
        </is>
      </c>
    </row>
    <row r="509" ht="16" customHeight="1">
      <c r="A509" s="92" t="n">
        <v>505</v>
      </c>
      <c r="B509" s="93" t="inlineStr">
        <is>
          <t>Zerodha Silver ETF</t>
        </is>
      </c>
      <c r="C509" s="93" t="inlineStr">
        <is>
          <t>Zerodha Mutual Fund</t>
        </is>
      </c>
      <c r="D509" s="93" t="inlineStr">
        <is>
          <t>Other  Etfs</t>
        </is>
      </c>
      <c r="E509" s="93" t="inlineStr">
        <is>
          <t>Silver</t>
        </is>
      </c>
      <c r="F509" s="94" t="n">
        <v>9.24</v>
      </c>
      <c r="G509" s="97" t="n">
        <v>-12.16</v>
      </c>
      <c r="H509" s="97" t="n">
        <v>-0.97</v>
      </c>
      <c r="I509" s="94" t="n">
        <v>101.69</v>
      </c>
      <c r="J509" s="94" t="n">
        <v>0</v>
      </c>
      <c r="K509" s="94" t="n">
        <v>0</v>
      </c>
      <c r="L509" s="17" t="n">
        <v>69</v>
      </c>
      <c r="M509" s="18" t="n">
        <v>0</v>
      </c>
      <c r="N509" s="19" t="n">
        <v>38</v>
      </c>
      <c r="O509" s="108">
        <f>COUNTIFS($E:$E,$E509,$L:$L,"&gt;"&amp;$L509)+1</f>
        <v/>
      </c>
      <c r="P509" s="108">
        <f>COUNTIFS($E:$E,$E509,$M:$M,"&gt;"&amp;$M509)+1</f>
        <v/>
      </c>
      <c r="Q509" s="108">
        <f>COUNTIFS($E:$E,$E509,$N:$N,"&gt;"&amp;$N509)+1</f>
        <v/>
      </c>
      <c r="R509" s="95" t="inlineStr">
        <is>
          <t>📈 Good</t>
        </is>
      </c>
      <c r="S509" s="95" t="inlineStr">
        <is>
          <t>⏳ New Fund</t>
        </is>
      </c>
      <c r="T509" s="95" t="inlineStr">
        <is>
          <t>📈 Momentum Only</t>
        </is>
      </c>
      <c r="U509" s="96" t="inlineStr">
        <is>
          <t>MOMENTUM_ONLY</t>
        </is>
      </c>
    </row>
    <row r="510" ht="16" customHeight="1">
      <c r="A510" s="92" t="n">
        <v>506</v>
      </c>
      <c r="B510" s="93" t="inlineStr">
        <is>
          <t>Nippon India Nifty India Manufacturing ETF</t>
        </is>
      </c>
      <c r="C510" s="93" t="inlineStr">
        <is>
          <t>Nippon India Mutual Fund</t>
        </is>
      </c>
      <c r="D510" s="93" t="inlineStr">
        <is>
          <t>Other  Etfs</t>
        </is>
      </c>
      <c r="E510" s="93" t="inlineStr">
        <is>
          <t>Index Fund</t>
        </is>
      </c>
      <c r="F510" s="94" t="n">
        <v>4.06</v>
      </c>
      <c r="G510" s="94" t="n">
        <v>6.48</v>
      </c>
      <c r="H510" s="94" t="n">
        <v>5.58</v>
      </c>
      <c r="I510" s="94" t="n">
        <v>0</v>
      </c>
      <c r="J510" s="94" t="n">
        <v>0</v>
      </c>
      <c r="K510" s="94" t="n">
        <v>0</v>
      </c>
      <c r="L510" s="17" t="n">
        <v>69</v>
      </c>
      <c r="M510" s="18" t="n">
        <v>0</v>
      </c>
      <c r="N510" s="19" t="n">
        <v>38</v>
      </c>
      <c r="O510" s="108">
        <f>COUNTIFS($E:$E,$E510,$L:$L,"&gt;"&amp;$L510)+1</f>
        <v/>
      </c>
      <c r="P510" s="108">
        <f>COUNTIFS($E:$E,$E510,$M:$M,"&gt;"&amp;$M510)+1</f>
        <v/>
      </c>
      <c r="Q510" s="108">
        <f>COUNTIFS($E:$E,$E510,$N:$N,"&gt;"&amp;$N510)+1</f>
        <v/>
      </c>
      <c r="R510" s="95" t="inlineStr">
        <is>
          <t>📈 Good</t>
        </is>
      </c>
      <c r="S510" s="95" t="inlineStr">
        <is>
          <t>⏳ New Fund</t>
        </is>
      </c>
      <c r="T510" s="95" t="inlineStr">
        <is>
          <t>📈 Momentum Only</t>
        </is>
      </c>
      <c r="U510" s="96" t="inlineStr">
        <is>
          <t>MOMENTUM_ONLY</t>
        </is>
      </c>
    </row>
    <row r="511" ht="16" customHeight="1">
      <c r="A511" s="92" t="n">
        <v>507</v>
      </c>
      <c r="B511" s="93" t="inlineStr">
        <is>
          <t>Kotak Nifty500 Momentum 50 Index Fund - Regular Plan - Growth</t>
        </is>
      </c>
      <c r="C511" s="93" t="inlineStr">
        <is>
          <t>Kotak Mahindra Mutual Fund</t>
        </is>
      </c>
      <c r="D511" s="93" t="inlineStr">
        <is>
          <t>Index Funds</t>
        </is>
      </c>
      <c r="E511" s="93" t="inlineStr">
        <is>
          <t>Index Fund</t>
        </is>
      </c>
      <c r="F511" s="94" t="n">
        <v>4.08</v>
      </c>
      <c r="G511" s="94" t="n">
        <v>5.16</v>
      </c>
      <c r="H511" s="94" t="n">
        <v>3.78</v>
      </c>
      <c r="I511" s="94" t="n">
        <v>0</v>
      </c>
      <c r="J511" s="94" t="n">
        <v>0</v>
      </c>
      <c r="K511" s="94" t="n">
        <v>0</v>
      </c>
      <c r="L511" s="17" t="n">
        <v>68.7</v>
      </c>
      <c r="M511" s="18" t="n">
        <v>0</v>
      </c>
      <c r="N511" s="19" t="n">
        <v>37.8</v>
      </c>
      <c r="O511" s="108">
        <f>COUNTIFS($E:$E,$E511,$L:$L,"&gt;"&amp;$L511)+1</f>
        <v/>
      </c>
      <c r="P511" s="108">
        <f>COUNTIFS($E:$E,$E511,$M:$M,"&gt;"&amp;$M511)+1</f>
        <v/>
      </c>
      <c r="Q511" s="108">
        <f>COUNTIFS($E:$E,$E511,$N:$N,"&gt;"&amp;$N511)+1</f>
        <v/>
      </c>
      <c r="R511" s="95" t="inlineStr">
        <is>
          <t>📈 Good</t>
        </is>
      </c>
      <c r="S511" s="95" t="inlineStr">
        <is>
          <t>⏳ New Fund</t>
        </is>
      </c>
      <c r="T511" s="95" t="inlineStr">
        <is>
          <t>📈 Momentum Only</t>
        </is>
      </c>
      <c r="U511" s="96" t="inlineStr">
        <is>
          <t>MOMENTUM_ONLY</t>
        </is>
      </c>
    </row>
    <row r="512" ht="16" customHeight="1">
      <c r="A512" s="92" t="n">
        <v>508</v>
      </c>
      <c r="B512" s="93" t="inlineStr">
        <is>
          <t>Mirae Asset BSE 200 Equal Weight ETF Fund of Fund - Regular Plan - Growth</t>
        </is>
      </c>
      <c r="C512" s="93" t="inlineStr">
        <is>
          <t>Mirae Asset Mutual Fund</t>
        </is>
      </c>
      <c r="D512" s="93" t="inlineStr">
        <is>
          <t>Fof Domestic</t>
        </is>
      </c>
      <c r="E512" s="93" t="inlineStr">
        <is>
          <t>Index Fund</t>
        </is>
      </c>
      <c r="F512" s="94" t="n">
        <v>1.68</v>
      </c>
      <c r="G512" s="94" t="n">
        <v>4.85</v>
      </c>
      <c r="H512" s="94" t="n">
        <v>2.91</v>
      </c>
      <c r="I512" s="94" t="n">
        <v>8.83</v>
      </c>
      <c r="J512" s="94" t="n">
        <v>0</v>
      </c>
      <c r="K512" s="94" t="n">
        <v>0</v>
      </c>
      <c r="L512" s="17" t="n">
        <v>68.40000000000001</v>
      </c>
      <c r="M512" s="18" t="n">
        <v>0</v>
      </c>
      <c r="N512" s="19" t="n">
        <v>37.6</v>
      </c>
      <c r="O512" s="108">
        <f>COUNTIFS($E:$E,$E512,$L:$L,"&gt;"&amp;$L512)+1</f>
        <v/>
      </c>
      <c r="P512" s="108">
        <f>COUNTIFS($E:$E,$E512,$M:$M,"&gt;"&amp;$M512)+1</f>
        <v/>
      </c>
      <c r="Q512" s="108">
        <f>COUNTIFS($E:$E,$E512,$N:$N,"&gt;"&amp;$N512)+1</f>
        <v/>
      </c>
      <c r="R512" s="95" t="inlineStr">
        <is>
          <t>📈 Good</t>
        </is>
      </c>
      <c r="S512" s="95" t="inlineStr">
        <is>
          <t>⏳ New Fund</t>
        </is>
      </c>
      <c r="T512" s="95" t="inlineStr">
        <is>
          <t>📈 Momentum Only</t>
        </is>
      </c>
      <c r="U512" s="96" t="inlineStr">
        <is>
          <t>MOMENTUM_ONLY</t>
        </is>
      </c>
    </row>
    <row r="513" ht="16" customHeight="1">
      <c r="A513" s="92" t="n">
        <v>509</v>
      </c>
      <c r="B513" s="93" t="inlineStr">
        <is>
          <t>Mirae Asset Nifty500 Multicap 50:25:25 ETF</t>
        </is>
      </c>
      <c r="C513" s="93" t="inlineStr">
        <is>
          <t>Mirae Asset Mutual Fund</t>
        </is>
      </c>
      <c r="D513" s="93" t="inlineStr">
        <is>
          <t>Other  Etfs</t>
        </is>
      </c>
      <c r="E513" s="93" t="inlineStr">
        <is>
          <t>Index Fund</t>
        </is>
      </c>
      <c r="F513" s="94" t="n">
        <v>1.07</v>
      </c>
      <c r="G513" s="94" t="n">
        <v>5.66</v>
      </c>
      <c r="H513" s="94" t="n">
        <v>2.87</v>
      </c>
      <c r="I513" s="94" t="n">
        <v>6.27</v>
      </c>
      <c r="J513" s="94" t="n">
        <v>0</v>
      </c>
      <c r="K513" s="94" t="n">
        <v>0</v>
      </c>
      <c r="L513" s="17" t="n">
        <v>67.90000000000001</v>
      </c>
      <c r="M513" s="18" t="n">
        <v>0</v>
      </c>
      <c r="N513" s="19" t="n">
        <v>37.3</v>
      </c>
      <c r="O513" s="108">
        <f>COUNTIFS($E:$E,$E513,$L:$L,"&gt;"&amp;$L513)+1</f>
        <v/>
      </c>
      <c r="P513" s="108">
        <f>COUNTIFS($E:$E,$E513,$M:$M,"&gt;"&amp;$M513)+1</f>
        <v/>
      </c>
      <c r="Q513" s="108">
        <f>COUNTIFS($E:$E,$E513,$N:$N,"&gt;"&amp;$N513)+1</f>
        <v/>
      </c>
      <c r="R513" s="95" t="inlineStr">
        <is>
          <t>📈 Good</t>
        </is>
      </c>
      <c r="S513" s="95" t="inlineStr">
        <is>
          <t>⏳ New Fund</t>
        </is>
      </c>
      <c r="T513" s="95" t="inlineStr">
        <is>
          <t>📈 Momentum Only</t>
        </is>
      </c>
      <c r="U513" s="96" t="inlineStr">
        <is>
          <t>MOMENTUM_ONLY</t>
        </is>
      </c>
    </row>
    <row r="514" ht="16" customHeight="1">
      <c r="A514" s="92" t="n">
        <v>510</v>
      </c>
      <c r="B514" s="93" t="inlineStr">
        <is>
          <t>Mirae Asset BSE Select IPO ETF Fund of Fund - Regular Plan - Growth</t>
        </is>
      </c>
      <c r="C514" s="93" t="inlineStr">
        <is>
          <t>Mirae Asset Mutual Fund</t>
        </is>
      </c>
      <c r="D514" s="93" t="inlineStr">
        <is>
          <t>Fof Domestic</t>
        </is>
      </c>
      <c r="E514" s="93" t="inlineStr">
        <is>
          <t>Index Fund</t>
        </is>
      </c>
      <c r="F514" s="94" t="n">
        <v>3.81</v>
      </c>
      <c r="G514" s="94" t="n">
        <v>13.15</v>
      </c>
      <c r="H514" s="94" t="n">
        <v>9.699999999999999</v>
      </c>
      <c r="I514" s="97" t="n">
        <v>-1</v>
      </c>
      <c r="J514" s="94" t="n">
        <v>0</v>
      </c>
      <c r="K514" s="94" t="n">
        <v>0</v>
      </c>
      <c r="L514" s="17" t="n">
        <v>67.5</v>
      </c>
      <c r="M514" s="18" t="n">
        <v>0</v>
      </c>
      <c r="N514" s="19" t="n">
        <v>37.2</v>
      </c>
      <c r="O514" s="108">
        <f>COUNTIFS($E:$E,$E514,$L:$L,"&gt;"&amp;$L514)+1</f>
        <v/>
      </c>
      <c r="P514" s="108">
        <f>COUNTIFS($E:$E,$E514,$M:$M,"&gt;"&amp;$M514)+1</f>
        <v/>
      </c>
      <c r="Q514" s="108">
        <f>COUNTIFS($E:$E,$E514,$N:$N,"&gt;"&amp;$N514)+1</f>
        <v/>
      </c>
      <c r="R514" s="95" t="inlineStr">
        <is>
          <t>📈 Good</t>
        </is>
      </c>
      <c r="S514" s="95" t="inlineStr">
        <is>
          <t>⏳ New Fund</t>
        </is>
      </c>
      <c r="T514" s="95" t="inlineStr">
        <is>
          <t>📈 Momentum Only</t>
        </is>
      </c>
      <c r="U514" s="96" t="inlineStr">
        <is>
          <t>MOMENTUM_ONLY</t>
        </is>
      </c>
    </row>
    <row r="515" ht="16" customHeight="1">
      <c r="A515" s="92" t="n">
        <v>511</v>
      </c>
      <c r="B515" s="93" t="inlineStr">
        <is>
          <t>Union Diversified Equity All Cap Active FOF - Regular Plan - Growth Option</t>
        </is>
      </c>
      <c r="C515" s="93" t="inlineStr">
        <is>
          <t>Union Mutual Fund</t>
        </is>
      </c>
      <c r="D515" s="93" t="inlineStr">
        <is>
          <t>Fof Domestic</t>
        </is>
      </c>
      <c r="E515" s="93" t="inlineStr">
        <is>
          <t>Standard Equity/Debt</t>
        </is>
      </c>
      <c r="F515" s="94" t="n">
        <v>3.8</v>
      </c>
      <c r="G515" s="94" t="n">
        <v>10.14</v>
      </c>
      <c r="H515" s="94" t="n">
        <v>9.43</v>
      </c>
      <c r="I515" s="94" t="n">
        <v>0</v>
      </c>
      <c r="J515" s="94" t="n">
        <v>0</v>
      </c>
      <c r="K515" s="94" t="n">
        <v>0</v>
      </c>
      <c r="L515" s="17" t="n">
        <v>66.90000000000001</v>
      </c>
      <c r="M515" s="18" t="n">
        <v>0</v>
      </c>
      <c r="N515" s="19" t="n">
        <v>36.8</v>
      </c>
      <c r="O515" s="108">
        <f>COUNTIFS($E:$E,$E515,$L:$L,"&gt;"&amp;$L515)+1</f>
        <v/>
      </c>
      <c r="P515" s="108">
        <f>COUNTIFS($E:$E,$E515,$M:$M,"&gt;"&amp;$M515)+1</f>
        <v/>
      </c>
      <c r="Q515" s="108">
        <f>COUNTIFS($E:$E,$E515,$N:$N,"&gt;"&amp;$N515)+1</f>
        <v/>
      </c>
      <c r="R515" s="95" t="inlineStr">
        <is>
          <t>📈 Good</t>
        </is>
      </c>
      <c r="S515" s="95" t="inlineStr">
        <is>
          <t>⏳ New Fund</t>
        </is>
      </c>
      <c r="T515" s="95" t="inlineStr">
        <is>
          <t>📈 Momentum Only</t>
        </is>
      </c>
      <c r="U515" s="96" t="inlineStr">
        <is>
          <t>MOMENTUM_ONLY</t>
        </is>
      </c>
    </row>
    <row r="516" ht="16" customHeight="1">
      <c r="A516" s="92" t="n">
        <v>512</v>
      </c>
      <c r="B516" s="93" t="inlineStr">
        <is>
          <t>SBI BSE PSU BANK INDEX FUND- Regular Plan- Growth</t>
        </is>
      </c>
      <c r="C516" s="93" t="inlineStr">
        <is>
          <t>SBI Mutual Fund</t>
        </is>
      </c>
      <c r="D516" s="93" t="inlineStr">
        <is>
          <t>Index Funds</t>
        </is>
      </c>
      <c r="E516" s="93" t="inlineStr">
        <is>
          <t>Banking/Financial</t>
        </is>
      </c>
      <c r="F516" s="94" t="n">
        <v>3.17</v>
      </c>
      <c r="G516" s="94" t="n">
        <v>8.33</v>
      </c>
      <c r="H516" s="97" t="n">
        <v>-9.82</v>
      </c>
      <c r="I516" s="94" t="n">
        <v>21.79</v>
      </c>
      <c r="J516" s="94" t="n">
        <v>0</v>
      </c>
      <c r="K516" s="94" t="n">
        <v>0</v>
      </c>
      <c r="L516" s="17" t="n">
        <v>66.8</v>
      </c>
      <c r="M516" s="18" t="n">
        <v>0</v>
      </c>
      <c r="N516" s="19" t="n">
        <v>36.8</v>
      </c>
      <c r="O516" s="108">
        <f>COUNTIFS($E:$E,$E516,$L:$L,"&gt;"&amp;$L516)+1</f>
        <v/>
      </c>
      <c r="P516" s="108">
        <f>COUNTIFS($E:$E,$E516,$M:$M,"&gt;"&amp;$M516)+1</f>
        <v/>
      </c>
      <c r="Q516" s="108">
        <f>COUNTIFS($E:$E,$E516,$N:$N,"&gt;"&amp;$N516)+1</f>
        <v/>
      </c>
      <c r="R516" s="95" t="inlineStr">
        <is>
          <t>📈 Good</t>
        </is>
      </c>
      <c r="S516" s="95" t="inlineStr">
        <is>
          <t>⏳ New Fund</t>
        </is>
      </c>
      <c r="T516" s="95" t="inlineStr">
        <is>
          <t>📈 Momentum Only</t>
        </is>
      </c>
      <c r="U516" s="96" t="inlineStr">
        <is>
          <t>MOMENTUM_ONLY</t>
        </is>
      </c>
    </row>
    <row r="517" ht="16" customHeight="1">
      <c r="A517" s="92" t="n">
        <v>513</v>
      </c>
      <c r="B517" s="93" t="inlineStr">
        <is>
          <t>SBI Silver ETF</t>
        </is>
      </c>
      <c r="C517" s="93" t="inlineStr">
        <is>
          <t>SBI Mutual Fund</t>
        </is>
      </c>
      <c r="D517" s="93" t="inlineStr">
        <is>
          <t>Other  Etfs</t>
        </is>
      </c>
      <c r="E517" s="93" t="inlineStr">
        <is>
          <t>Silver</t>
        </is>
      </c>
      <c r="F517" s="94" t="n">
        <v>8.09</v>
      </c>
      <c r="G517" s="97" t="n">
        <v>-12.79</v>
      </c>
      <c r="H517" s="97" t="n">
        <v>-1.6</v>
      </c>
      <c r="I517" s="94" t="n">
        <v>100.01</v>
      </c>
      <c r="J517" s="94" t="n">
        <v>66.71532623007398</v>
      </c>
      <c r="K517" s="94" t="n">
        <v>0</v>
      </c>
      <c r="L517" s="17" t="n">
        <v>66.09999999999999</v>
      </c>
      <c r="M517" s="18" t="n">
        <v>0</v>
      </c>
      <c r="N517" s="19" t="n">
        <v>36.3</v>
      </c>
      <c r="O517" s="108">
        <f>COUNTIFS($E:$E,$E517,$L:$L,"&gt;"&amp;$L517)+1</f>
        <v/>
      </c>
      <c r="P517" s="108">
        <f>COUNTIFS($E:$E,$E517,$M:$M,"&gt;"&amp;$M517)+1</f>
        <v/>
      </c>
      <c r="Q517" s="108">
        <f>COUNTIFS($E:$E,$E517,$N:$N,"&gt;"&amp;$N517)+1</f>
        <v/>
      </c>
      <c r="R517" s="95" t="inlineStr">
        <is>
          <t>📈 Good</t>
        </is>
      </c>
      <c r="S517" s="95" t="inlineStr">
        <is>
          <t>⏳ New Fund</t>
        </is>
      </c>
      <c r="T517" s="95" t="inlineStr">
        <is>
          <t>📈 Momentum Only</t>
        </is>
      </c>
      <c r="U517" s="96" t="inlineStr">
        <is>
          <t>MOMENTUM_ONLY</t>
        </is>
      </c>
    </row>
    <row r="518" ht="16" customHeight="1">
      <c r="A518" s="92" t="n">
        <v>514</v>
      </c>
      <c r="B518" s="93" t="inlineStr">
        <is>
          <t>Edelweiss Silver ETF</t>
        </is>
      </c>
      <c r="C518" s="93" t="inlineStr">
        <is>
          <t>Edelweiss Mutual Fund</t>
        </is>
      </c>
      <c r="D518" s="93" t="inlineStr">
        <is>
          <t>Other  Etfs</t>
        </is>
      </c>
      <c r="E518" s="93" t="inlineStr">
        <is>
          <t>Silver</t>
        </is>
      </c>
      <c r="F518" s="94" t="n">
        <v>8.07</v>
      </c>
      <c r="G518" s="97" t="n">
        <v>-12.79</v>
      </c>
      <c r="H518" s="97" t="n">
        <v>-1.61</v>
      </c>
      <c r="I518" s="94" t="n">
        <v>99.75</v>
      </c>
      <c r="J518" s="94" t="n">
        <v>66.55929874972455</v>
      </c>
      <c r="K518" s="94" t="n">
        <v>0</v>
      </c>
      <c r="L518" s="17" t="n">
        <v>65.5</v>
      </c>
      <c r="M518" s="18" t="n">
        <v>0</v>
      </c>
      <c r="N518" s="19" t="n">
        <v>36</v>
      </c>
      <c r="O518" s="108">
        <f>COUNTIFS($E:$E,$E518,$L:$L,"&gt;"&amp;$L518)+1</f>
        <v/>
      </c>
      <c r="P518" s="108">
        <f>COUNTIFS($E:$E,$E518,$M:$M,"&gt;"&amp;$M518)+1</f>
        <v/>
      </c>
      <c r="Q518" s="108">
        <f>COUNTIFS($E:$E,$E518,$N:$N,"&gt;"&amp;$N518)+1</f>
        <v/>
      </c>
      <c r="R518" s="95" t="inlineStr">
        <is>
          <t>📈 Good</t>
        </is>
      </c>
      <c r="S518" s="95" t="inlineStr">
        <is>
          <t>⏳ New Fund</t>
        </is>
      </c>
      <c r="T518" s="95" t="inlineStr">
        <is>
          <t>📈 Momentum Only</t>
        </is>
      </c>
      <c r="U518" s="96" t="inlineStr">
        <is>
          <t>MOMENTUM_ONLY</t>
        </is>
      </c>
    </row>
    <row r="519" ht="16" customHeight="1">
      <c r="A519" s="92" t="n">
        <v>515</v>
      </c>
      <c r="B519" s="93" t="inlineStr">
        <is>
          <t>360 ONE Silver ETF</t>
        </is>
      </c>
      <c r="C519" s="93" t="inlineStr">
        <is>
          <t>360 ONE Mutual Fund</t>
        </is>
      </c>
      <c r="D519" s="93" t="inlineStr">
        <is>
          <t>Other  Etfs</t>
        </is>
      </c>
      <c r="E519" s="93" t="inlineStr">
        <is>
          <t>Silver</t>
        </is>
      </c>
      <c r="F519" s="94" t="n">
        <v>8.119999999999999</v>
      </c>
      <c r="G519" s="97" t="n">
        <v>-12.78</v>
      </c>
      <c r="H519" s="97" t="n">
        <v>-1.76</v>
      </c>
      <c r="I519" s="94" t="n">
        <v>99.67</v>
      </c>
      <c r="J519" s="94" t="n">
        <v>0</v>
      </c>
      <c r="K519" s="94" t="n">
        <v>0</v>
      </c>
      <c r="L519" s="17" t="n">
        <v>65.2</v>
      </c>
      <c r="M519" s="18" t="n">
        <v>0</v>
      </c>
      <c r="N519" s="19" t="n">
        <v>35.8</v>
      </c>
      <c r="O519" s="108">
        <f>COUNTIFS($E:$E,$E519,$L:$L,"&gt;"&amp;$L519)+1</f>
        <v/>
      </c>
      <c r="P519" s="108">
        <f>COUNTIFS($E:$E,$E519,$M:$M,"&gt;"&amp;$M519)+1</f>
        <v/>
      </c>
      <c r="Q519" s="108">
        <f>COUNTIFS($E:$E,$E519,$N:$N,"&gt;"&amp;$N519)+1</f>
        <v/>
      </c>
      <c r="R519" s="95" t="inlineStr">
        <is>
          <t>📈 Good</t>
        </is>
      </c>
      <c r="S519" s="95" t="inlineStr">
        <is>
          <t>⏳ New Fund</t>
        </is>
      </c>
      <c r="T519" s="95" t="inlineStr">
        <is>
          <t>📈 Momentum Only</t>
        </is>
      </c>
      <c r="U519" s="96" t="inlineStr">
        <is>
          <t>MOMENTUM_ONLY</t>
        </is>
      </c>
    </row>
    <row r="520" ht="16" customHeight="1">
      <c r="A520" s="92" t="n">
        <v>516</v>
      </c>
      <c r="B520" s="93" t="inlineStr">
        <is>
          <t>Motilal Oswal Silver ETF</t>
        </is>
      </c>
      <c r="C520" s="93" t="inlineStr">
        <is>
          <t>Motilal Oswal Mutual Fund</t>
        </is>
      </c>
      <c r="D520" s="93" t="inlineStr">
        <is>
          <t>Other  Etfs</t>
        </is>
      </c>
      <c r="E520" s="93" t="inlineStr">
        <is>
          <t>Silver</t>
        </is>
      </c>
      <c r="F520" s="94" t="n">
        <v>8.02</v>
      </c>
      <c r="G520" s="97" t="n">
        <v>-12.77</v>
      </c>
      <c r="H520" s="97" t="n">
        <v>-1.65</v>
      </c>
      <c r="I520" s="94" t="n">
        <v>99.45</v>
      </c>
      <c r="J520" s="94" t="n">
        <v>0</v>
      </c>
      <c r="K520" s="94" t="n">
        <v>0</v>
      </c>
      <c r="L520" s="17" t="n">
        <v>64.90000000000001</v>
      </c>
      <c r="M520" s="18" t="n">
        <v>0</v>
      </c>
      <c r="N520" s="19" t="n">
        <v>35.7</v>
      </c>
      <c r="O520" s="108">
        <f>COUNTIFS($E:$E,$E520,$L:$L,"&gt;"&amp;$L520)+1</f>
        <v/>
      </c>
      <c r="P520" s="108">
        <f>COUNTIFS($E:$E,$E520,$M:$M,"&gt;"&amp;$M520)+1</f>
        <v/>
      </c>
      <c r="Q520" s="108">
        <f>COUNTIFS($E:$E,$E520,$N:$N,"&gt;"&amp;$N520)+1</f>
        <v/>
      </c>
      <c r="R520" s="95" t="inlineStr">
        <is>
          <t>📈 Good</t>
        </is>
      </c>
      <c r="S520" s="95" t="inlineStr">
        <is>
          <t>⏳ New Fund</t>
        </is>
      </c>
      <c r="T520" s="95" t="inlineStr">
        <is>
          <t>📈 Momentum Only</t>
        </is>
      </c>
      <c r="U520" s="96" t="inlineStr">
        <is>
          <t>MOMENTUM_ONLY</t>
        </is>
      </c>
    </row>
    <row r="521" ht="16" customHeight="1">
      <c r="A521" s="92" t="n">
        <v>517</v>
      </c>
      <c r="B521" s="93" t="inlineStr">
        <is>
          <t>Kotak Nifty Chemicals ETF</t>
        </is>
      </c>
      <c r="C521" s="93" t="inlineStr">
        <is>
          <t>Kotak Mahindra Mutual Fund</t>
        </is>
      </c>
      <c r="D521" s="93" t="inlineStr">
        <is>
          <t>Other  Etfs</t>
        </is>
      </c>
      <c r="E521" s="93" t="inlineStr">
        <is>
          <t>Index Fund</t>
        </is>
      </c>
      <c r="F521" s="94" t="n">
        <v>1.69</v>
      </c>
      <c r="G521" s="94" t="n">
        <v>5.44</v>
      </c>
      <c r="H521" s="94" t="n">
        <v>7.69</v>
      </c>
      <c r="I521" s="94" t="n">
        <v>0</v>
      </c>
      <c r="J521" s="94" t="n">
        <v>0</v>
      </c>
      <c r="K521" s="94" t="n">
        <v>0</v>
      </c>
      <c r="L521" s="17" t="n">
        <v>64.8</v>
      </c>
      <c r="M521" s="18" t="n">
        <v>0</v>
      </c>
      <c r="N521" s="19" t="n">
        <v>35.6</v>
      </c>
      <c r="O521" s="108">
        <f>COUNTIFS($E:$E,$E521,$L:$L,"&gt;"&amp;$L521)+1</f>
        <v/>
      </c>
      <c r="P521" s="108">
        <f>COUNTIFS($E:$E,$E521,$M:$M,"&gt;"&amp;$M521)+1</f>
        <v/>
      </c>
      <c r="Q521" s="108">
        <f>COUNTIFS($E:$E,$E521,$N:$N,"&gt;"&amp;$N521)+1</f>
        <v/>
      </c>
      <c r="R521" s="95" t="inlineStr">
        <is>
          <t>📈 Good</t>
        </is>
      </c>
      <c r="S521" s="95" t="inlineStr">
        <is>
          <t>⏳ New Fund</t>
        </is>
      </c>
      <c r="T521" s="95" t="inlineStr">
        <is>
          <t>📈 Momentum Only</t>
        </is>
      </c>
      <c r="U521" s="96" t="inlineStr">
        <is>
          <t>MOMENTUM_ONLY</t>
        </is>
      </c>
    </row>
    <row r="522" ht="16" customHeight="1">
      <c r="A522" s="92" t="n">
        <v>518</v>
      </c>
      <c r="B522" s="93" t="inlineStr">
        <is>
          <t>Tata Silver Exchange Traded Fund</t>
        </is>
      </c>
      <c r="C522" s="93" t="inlineStr">
        <is>
          <t>Tata Mutual Fund</t>
        </is>
      </c>
      <c r="D522" s="93" t="inlineStr">
        <is>
          <t>Other  Etfs</t>
        </is>
      </c>
      <c r="E522" s="93" t="inlineStr">
        <is>
          <t>Silver</t>
        </is>
      </c>
      <c r="F522" s="94" t="n">
        <v>7.99</v>
      </c>
      <c r="G522" s="97" t="n">
        <v>-12.82</v>
      </c>
      <c r="H522" s="97" t="n">
        <v>-1.79</v>
      </c>
      <c r="I522" s="94" t="n">
        <v>101.03</v>
      </c>
      <c r="J522" s="94" t="n">
        <v>66.78129391511507</v>
      </c>
      <c r="K522" s="94" t="n">
        <v>0</v>
      </c>
      <c r="L522" s="17" t="n">
        <v>64.7</v>
      </c>
      <c r="M522" s="18" t="n">
        <v>0</v>
      </c>
      <c r="N522" s="19" t="n">
        <v>35.6</v>
      </c>
      <c r="O522" s="108">
        <f>COUNTIFS($E:$E,$E522,$L:$L,"&gt;"&amp;$L522)+1</f>
        <v/>
      </c>
      <c r="P522" s="108">
        <f>COUNTIFS($E:$E,$E522,$M:$M,"&gt;"&amp;$M522)+1</f>
        <v/>
      </c>
      <c r="Q522" s="108">
        <f>COUNTIFS($E:$E,$E522,$N:$N,"&gt;"&amp;$N522)+1</f>
        <v/>
      </c>
      <c r="R522" s="95" t="inlineStr">
        <is>
          <t>📈 Good</t>
        </is>
      </c>
      <c r="S522" s="95" t="inlineStr">
        <is>
          <t>⏳ New Fund</t>
        </is>
      </c>
      <c r="T522" s="95" t="inlineStr">
        <is>
          <t>📈 Momentum Only</t>
        </is>
      </c>
      <c r="U522" s="96" t="inlineStr">
        <is>
          <t>MOMENTUM_ONLY</t>
        </is>
      </c>
    </row>
    <row r="523" ht="16" customHeight="1">
      <c r="A523" s="92" t="n">
        <v>519</v>
      </c>
      <c r="B523" s="93" t="inlineStr">
        <is>
          <t>ICICI Prudential CRISIL-IBX Financial Services 3-6 Months Debt Index Fund - Growth</t>
        </is>
      </c>
      <c r="C523" s="93" t="inlineStr">
        <is>
          <t>ICICI Prudential Mutual Fund</t>
        </is>
      </c>
      <c r="D523" s="93" t="inlineStr">
        <is>
          <t>Index Funds</t>
        </is>
      </c>
      <c r="E523" s="93" t="inlineStr">
        <is>
          <t>Banking/Financial</t>
        </is>
      </c>
      <c r="F523" s="94" t="n">
        <v>0.6899999999999999</v>
      </c>
      <c r="G523" s="94" t="n">
        <v>2</v>
      </c>
      <c r="H523" s="94" t="n">
        <v>3.73</v>
      </c>
      <c r="I523" s="94" t="n">
        <v>6.92</v>
      </c>
      <c r="J523" s="94" t="n">
        <v>0</v>
      </c>
      <c r="K523" s="94" t="n">
        <v>0</v>
      </c>
      <c r="L523" s="17" t="n">
        <v>64.3</v>
      </c>
      <c r="M523" s="18" t="n">
        <v>0</v>
      </c>
      <c r="N523" s="19" t="n">
        <v>35.4</v>
      </c>
      <c r="O523" s="108">
        <f>COUNTIFS($E:$E,$E523,$L:$L,"&gt;"&amp;$L523)+1</f>
        <v/>
      </c>
      <c r="P523" s="108">
        <f>COUNTIFS($E:$E,$E523,$M:$M,"&gt;"&amp;$M523)+1</f>
        <v/>
      </c>
      <c r="Q523" s="108">
        <f>COUNTIFS($E:$E,$E523,$N:$N,"&gt;"&amp;$N523)+1</f>
        <v/>
      </c>
      <c r="R523" s="95" t="inlineStr">
        <is>
          <t>📈 Good</t>
        </is>
      </c>
      <c r="S523" s="95" t="inlineStr">
        <is>
          <t>⏳ New Fund</t>
        </is>
      </c>
      <c r="T523" s="95" t="inlineStr">
        <is>
          <t>📈 Momentum Only</t>
        </is>
      </c>
      <c r="U523" s="96" t="inlineStr">
        <is>
          <t>MOMENTUM_ONLY</t>
        </is>
      </c>
    </row>
    <row r="524" ht="16" customHeight="1">
      <c r="A524" s="92" t="n">
        <v>520</v>
      </c>
      <c r="B524" s="93" t="inlineStr">
        <is>
          <t>HDFC CRISIL-IBX Financial Services 3-6 Months Debt Index Fund - Regular Growth Plan</t>
        </is>
      </c>
      <c r="C524" s="93" t="inlineStr">
        <is>
          <t>HDFC Mutual Fund</t>
        </is>
      </c>
      <c r="D524" s="93" t="inlineStr">
        <is>
          <t>Index Funds</t>
        </is>
      </c>
      <c r="E524" s="93" t="inlineStr">
        <is>
          <t>Banking/Financial</t>
        </is>
      </c>
      <c r="F524" s="94" t="n">
        <v>0.66</v>
      </c>
      <c r="G524" s="94" t="n">
        <v>2.04</v>
      </c>
      <c r="H524" s="94" t="n">
        <v>3.74</v>
      </c>
      <c r="I524" s="94" t="n">
        <v>7</v>
      </c>
      <c r="J524" s="94" t="n">
        <v>0</v>
      </c>
      <c r="K524" s="94" t="n">
        <v>0</v>
      </c>
      <c r="L524" s="17" t="n">
        <v>63.6</v>
      </c>
      <c r="M524" s="18" t="n">
        <v>0</v>
      </c>
      <c r="N524" s="19" t="n">
        <v>35</v>
      </c>
      <c r="O524" s="108">
        <f>COUNTIFS($E:$E,$E524,$L:$L,"&gt;"&amp;$L524)+1</f>
        <v/>
      </c>
      <c r="P524" s="108">
        <f>COUNTIFS($E:$E,$E524,$M:$M,"&gt;"&amp;$M524)+1</f>
        <v/>
      </c>
      <c r="Q524" s="108">
        <f>COUNTIFS($E:$E,$E524,$N:$N,"&gt;"&amp;$N524)+1</f>
        <v/>
      </c>
      <c r="R524" s="95" t="inlineStr">
        <is>
          <t>📈 Good</t>
        </is>
      </c>
      <c r="S524" s="95" t="inlineStr">
        <is>
          <t>⏳ New Fund</t>
        </is>
      </c>
      <c r="T524" s="95" t="inlineStr">
        <is>
          <t>📈 Momentum Only</t>
        </is>
      </c>
      <c r="U524" s="96" t="inlineStr">
        <is>
          <t>MOMENTUM_ONLY</t>
        </is>
      </c>
    </row>
    <row r="525" ht="16" customHeight="1">
      <c r="A525" s="92" t="n">
        <v>521</v>
      </c>
      <c r="B525" s="93" t="inlineStr">
        <is>
          <t>Edelweiss CRISIL IBX AAA Bond NBFC HFC Jun 2027 Index Fund - Regular Plan - Growth Option</t>
        </is>
      </c>
      <c r="C525" s="93" t="inlineStr">
        <is>
          <t>Edelweiss Mutual Fund</t>
        </is>
      </c>
      <c r="D525" s="93" t="inlineStr">
        <is>
          <t>Index Funds</t>
        </is>
      </c>
      <c r="E525" s="93" t="inlineStr">
        <is>
          <t>Index Fund</t>
        </is>
      </c>
      <c r="F525" s="94" t="n">
        <v>0.71</v>
      </c>
      <c r="G525" s="94" t="n">
        <v>2.2</v>
      </c>
      <c r="H525" s="94" t="n">
        <v>3.27</v>
      </c>
      <c r="I525" s="94" t="n">
        <v>6.51</v>
      </c>
      <c r="J525" s="94" t="n">
        <v>0</v>
      </c>
      <c r="K525" s="94" t="n">
        <v>0</v>
      </c>
      <c r="L525" s="17" t="n">
        <v>63.5</v>
      </c>
      <c r="M525" s="18" t="n">
        <v>0</v>
      </c>
      <c r="N525" s="19" t="n">
        <v>34.9</v>
      </c>
      <c r="O525" s="108">
        <f>COUNTIFS($E:$E,$E525,$L:$L,"&gt;"&amp;$L525)+1</f>
        <v/>
      </c>
      <c r="P525" s="108">
        <f>COUNTIFS($E:$E,$E525,$M:$M,"&gt;"&amp;$M525)+1</f>
        <v/>
      </c>
      <c r="Q525" s="108">
        <f>COUNTIFS($E:$E,$E525,$N:$N,"&gt;"&amp;$N525)+1</f>
        <v/>
      </c>
      <c r="R525" s="95" t="inlineStr">
        <is>
          <t>📈 Good</t>
        </is>
      </c>
      <c r="S525" s="95" t="inlineStr">
        <is>
          <t>⏳ New Fund</t>
        </is>
      </c>
      <c r="T525" s="95" t="inlineStr">
        <is>
          <t>📈 Momentum Only</t>
        </is>
      </c>
      <c r="U525" s="96" t="inlineStr">
        <is>
          <t>MOMENTUM_ONLY</t>
        </is>
      </c>
    </row>
    <row r="526" ht="16" customHeight="1">
      <c r="A526" s="92" t="n">
        <v>522</v>
      </c>
      <c r="B526" s="93" t="inlineStr">
        <is>
          <t>SBI BSE PSU BANK ETF</t>
        </is>
      </c>
      <c r="C526" s="93" t="inlineStr">
        <is>
          <t>SBI Mutual Fund</t>
        </is>
      </c>
      <c r="D526" s="93" t="inlineStr">
        <is>
          <t>Other  Etfs</t>
        </is>
      </c>
      <c r="E526" s="93" t="inlineStr">
        <is>
          <t>Banking/Financial</t>
        </is>
      </c>
      <c r="F526" s="94" t="n">
        <v>3.21</v>
      </c>
      <c r="G526" s="94" t="n">
        <v>8.460000000000001</v>
      </c>
      <c r="H526" s="97" t="n">
        <v>-9.630000000000001</v>
      </c>
      <c r="I526" s="94" t="n">
        <v>22.59</v>
      </c>
      <c r="J526" s="94" t="n">
        <v>0</v>
      </c>
      <c r="K526" s="94" t="n">
        <v>0</v>
      </c>
      <c r="L526" s="17" t="n">
        <v>63.2</v>
      </c>
      <c r="M526" s="18" t="n">
        <v>0</v>
      </c>
      <c r="N526" s="19" t="n">
        <v>34.8</v>
      </c>
      <c r="O526" s="108">
        <f>COUNTIFS($E:$E,$E526,$L:$L,"&gt;"&amp;$L526)+1</f>
        <v/>
      </c>
      <c r="P526" s="108">
        <f>COUNTIFS($E:$E,$E526,$M:$M,"&gt;"&amp;$M526)+1</f>
        <v/>
      </c>
      <c r="Q526" s="108">
        <f>COUNTIFS($E:$E,$E526,$N:$N,"&gt;"&amp;$N526)+1</f>
        <v/>
      </c>
      <c r="R526" s="95" t="inlineStr">
        <is>
          <t>📈 Good</t>
        </is>
      </c>
      <c r="S526" s="95" t="inlineStr">
        <is>
          <t>⏳ New Fund</t>
        </is>
      </c>
      <c r="T526" s="95" t="inlineStr">
        <is>
          <t>📈 Momentum Only</t>
        </is>
      </c>
      <c r="U526" s="96" t="inlineStr">
        <is>
          <t>MOMENTUM_ONLY</t>
        </is>
      </c>
    </row>
    <row r="527" ht="16" customHeight="1">
      <c r="A527" s="92" t="n">
        <v>523</v>
      </c>
      <c r="B527" s="93" t="inlineStr">
        <is>
          <t>ANGEL ONE NIFTY TOTAL MARKET MOMENTUM QUALITY 50 INDEX FUND - REGULAR GROWTH</t>
        </is>
      </c>
      <c r="C527" s="93" t="inlineStr">
        <is>
          <t>Angel One Mutual Fund</t>
        </is>
      </c>
      <c r="D527" s="93" t="inlineStr">
        <is>
          <t>Index Funds</t>
        </is>
      </c>
      <c r="E527" s="93" t="inlineStr">
        <is>
          <t>Index Fund</t>
        </is>
      </c>
      <c r="F527" s="94" t="n">
        <v>4.46</v>
      </c>
      <c r="G527" s="94" t="n">
        <v>2.58</v>
      </c>
      <c r="H527" s="94" t="n">
        <v>5.71</v>
      </c>
      <c r="I527" s="94" t="n">
        <v>0</v>
      </c>
      <c r="J527" s="94" t="n">
        <v>0</v>
      </c>
      <c r="K527" s="94" t="n">
        <v>0</v>
      </c>
      <c r="L527" s="17" t="n">
        <v>63</v>
      </c>
      <c r="M527" s="18" t="n">
        <v>0</v>
      </c>
      <c r="N527" s="19" t="n">
        <v>34.6</v>
      </c>
      <c r="O527" s="108">
        <f>COUNTIFS($E:$E,$E527,$L:$L,"&gt;"&amp;$L527)+1</f>
        <v/>
      </c>
      <c r="P527" s="108">
        <f>COUNTIFS($E:$E,$E527,$M:$M,"&gt;"&amp;$M527)+1</f>
        <v/>
      </c>
      <c r="Q527" s="108">
        <f>COUNTIFS($E:$E,$E527,$N:$N,"&gt;"&amp;$N527)+1</f>
        <v/>
      </c>
      <c r="R527" s="95" t="inlineStr">
        <is>
          <t>📈 Good</t>
        </is>
      </c>
      <c r="S527" s="95" t="inlineStr">
        <is>
          <t>⏳ New Fund</t>
        </is>
      </c>
      <c r="T527" s="95" t="inlineStr">
        <is>
          <t>📈 Momentum Only</t>
        </is>
      </c>
      <c r="U527" s="96" t="inlineStr">
        <is>
          <t>MOMENTUM_ONLY</t>
        </is>
      </c>
    </row>
    <row r="528" ht="16" customHeight="1">
      <c r="A528" s="92" t="n">
        <v>524</v>
      </c>
      <c r="B528" s="93" t="inlineStr">
        <is>
          <t>Aditya Birla Sun Life Crisil-IBX Financial Services 3 to 6 Months Debt Index Fund-Regular Growth</t>
        </is>
      </c>
      <c r="C528" s="93" t="inlineStr">
        <is>
          <t>Aditya Birla Sun Life Mutual Fund</t>
        </is>
      </c>
      <c r="D528" s="93" t="inlineStr">
        <is>
          <t>Index Funds</t>
        </is>
      </c>
      <c r="E528" s="93" t="inlineStr">
        <is>
          <t>Banking/Financial</t>
        </is>
      </c>
      <c r="F528" s="94" t="n">
        <v>0.66</v>
      </c>
      <c r="G528" s="94" t="n">
        <v>2</v>
      </c>
      <c r="H528" s="94" t="n">
        <v>3.67</v>
      </c>
      <c r="I528" s="94" t="n">
        <v>6.75</v>
      </c>
      <c r="J528" s="94" t="n">
        <v>0</v>
      </c>
      <c r="K528" s="94" t="n">
        <v>0</v>
      </c>
      <c r="L528" s="17" t="n">
        <v>62.8</v>
      </c>
      <c r="M528" s="18" t="n">
        <v>0</v>
      </c>
      <c r="N528" s="19" t="n">
        <v>34.6</v>
      </c>
      <c r="O528" s="108">
        <f>COUNTIFS($E:$E,$E528,$L:$L,"&gt;"&amp;$L528)+1</f>
        <v/>
      </c>
      <c r="P528" s="108">
        <f>COUNTIFS($E:$E,$E528,$M:$M,"&gt;"&amp;$M528)+1</f>
        <v/>
      </c>
      <c r="Q528" s="108">
        <f>COUNTIFS($E:$E,$E528,$N:$N,"&gt;"&amp;$N528)+1</f>
        <v/>
      </c>
      <c r="R528" s="95" t="inlineStr">
        <is>
          <t>📈 Good</t>
        </is>
      </c>
      <c r="S528" s="95" t="inlineStr">
        <is>
          <t>⏳ New Fund</t>
        </is>
      </c>
      <c r="T528" s="95" t="inlineStr">
        <is>
          <t>📈 Momentum Only</t>
        </is>
      </c>
      <c r="U528" s="96" t="inlineStr">
        <is>
          <t>MOMENTUM_ONLY</t>
        </is>
      </c>
    </row>
    <row r="529" ht="16" customHeight="1">
      <c r="A529" s="92" t="n">
        <v>525</v>
      </c>
      <c r="B529" s="93" t="inlineStr">
        <is>
          <t>DSP Nifty Midcap 150 Index Fund - Regular - Growth</t>
        </is>
      </c>
      <c r="C529" s="93" t="inlineStr">
        <is>
          <t>DSP Mutual Fund</t>
        </is>
      </c>
      <c r="D529" s="93" t="inlineStr">
        <is>
          <t>Index Funds</t>
        </is>
      </c>
      <c r="E529" s="93" t="inlineStr">
        <is>
          <t>Index Fund</t>
        </is>
      </c>
      <c r="F529" s="94" t="n">
        <v>1.73</v>
      </c>
      <c r="G529" s="94" t="n">
        <v>4.42</v>
      </c>
      <c r="H529" s="94" t="n">
        <v>5.11</v>
      </c>
      <c r="I529" s="94" t="n">
        <v>0</v>
      </c>
      <c r="J529" s="94" t="n">
        <v>0</v>
      </c>
      <c r="K529" s="94" t="n">
        <v>0</v>
      </c>
      <c r="L529" s="17" t="n">
        <v>62.7</v>
      </c>
      <c r="M529" s="18" t="n">
        <v>0</v>
      </c>
      <c r="N529" s="19" t="n">
        <v>34.5</v>
      </c>
      <c r="O529" s="108">
        <f>COUNTIFS($E:$E,$E529,$L:$L,"&gt;"&amp;$L529)+1</f>
        <v/>
      </c>
      <c r="P529" s="108">
        <f>COUNTIFS($E:$E,$E529,$M:$M,"&gt;"&amp;$M529)+1</f>
        <v/>
      </c>
      <c r="Q529" s="108">
        <f>COUNTIFS($E:$E,$E529,$N:$N,"&gt;"&amp;$N529)+1</f>
        <v/>
      </c>
      <c r="R529" s="95" t="inlineStr">
        <is>
          <t>📈 Good</t>
        </is>
      </c>
      <c r="S529" s="95" t="inlineStr">
        <is>
          <t>⏳ New Fund</t>
        </is>
      </c>
      <c r="T529" s="95" t="inlineStr">
        <is>
          <t>📈 Momentum Only</t>
        </is>
      </c>
      <c r="U529" s="96" t="inlineStr">
        <is>
          <t>MOMENTUM_ONLY</t>
        </is>
      </c>
    </row>
    <row r="530" ht="16" customHeight="1">
      <c r="A530" s="92" t="n">
        <v>526</v>
      </c>
      <c r="B530" s="93" t="inlineStr">
        <is>
          <t>Tata Gold ETF Fund of Fund Regular Plan Growth Option</t>
        </is>
      </c>
      <c r="C530" s="93" t="inlineStr">
        <is>
          <t>Tata Mutual Fund</t>
        </is>
      </c>
      <c r="D530" s="93" t="inlineStr">
        <is>
          <t>Fof Domestic</t>
        </is>
      </c>
      <c r="E530" s="93" t="inlineStr">
        <is>
          <t>Gold</t>
        </is>
      </c>
      <c r="F530" s="94" t="n">
        <v>9.02</v>
      </c>
      <c r="G530" s="97" t="n">
        <v>-3.23</v>
      </c>
      <c r="H530" s="94" t="n">
        <v>1.38</v>
      </c>
      <c r="I530" s="94" t="n">
        <v>49.79</v>
      </c>
      <c r="J530" s="94" t="n">
        <v>44.28444129565739</v>
      </c>
      <c r="K530" s="94" t="n">
        <v>0</v>
      </c>
      <c r="L530" s="17" t="n">
        <v>62.5</v>
      </c>
      <c r="M530" s="18" t="n">
        <v>0</v>
      </c>
      <c r="N530" s="19" t="n">
        <v>34.4</v>
      </c>
      <c r="O530" s="108">
        <f>COUNTIFS($E:$E,$E530,$L:$L,"&gt;"&amp;$L530)+1</f>
        <v/>
      </c>
      <c r="P530" s="108">
        <f>COUNTIFS($E:$E,$E530,$M:$M,"&gt;"&amp;$M530)+1</f>
        <v/>
      </c>
      <c r="Q530" s="108">
        <f>COUNTIFS($E:$E,$E530,$N:$N,"&gt;"&amp;$N530)+1</f>
        <v/>
      </c>
      <c r="R530" s="95" t="inlineStr">
        <is>
          <t>📈 Good</t>
        </is>
      </c>
      <c r="S530" s="95" t="inlineStr">
        <is>
          <t>⏳ New Fund</t>
        </is>
      </c>
      <c r="T530" s="95" t="inlineStr">
        <is>
          <t>📈 Momentum Only</t>
        </is>
      </c>
      <c r="U530" s="96" t="inlineStr">
        <is>
          <t>MOMENTUM_ONLY</t>
        </is>
      </c>
    </row>
    <row r="531" ht="16" customHeight="1">
      <c r="A531" s="92" t="n">
        <v>527</v>
      </c>
      <c r="B531" s="93" t="inlineStr">
        <is>
          <t>HDFC NIFTY500 Multicap 50:25:25 index Fund - Regular Plan</t>
        </is>
      </c>
      <c r="C531" s="93" t="inlineStr">
        <is>
          <t>HDFC Mutual Fund</t>
        </is>
      </c>
      <c r="D531" s="93" t="inlineStr">
        <is>
          <t>Index Funds</t>
        </is>
      </c>
      <c r="E531" s="93" t="inlineStr">
        <is>
          <t>Index Fund</t>
        </is>
      </c>
      <c r="F531" s="94" t="n">
        <v>1.02</v>
      </c>
      <c r="G531" s="94" t="n">
        <v>5.51</v>
      </c>
      <c r="H531" s="94" t="n">
        <v>2.52</v>
      </c>
      <c r="I531" s="94" t="n">
        <v>5.55</v>
      </c>
      <c r="J531" s="94" t="n">
        <v>0</v>
      </c>
      <c r="K531" s="94" t="n">
        <v>0</v>
      </c>
      <c r="L531" s="17" t="n">
        <v>62.5</v>
      </c>
      <c r="M531" s="18" t="n">
        <v>0</v>
      </c>
      <c r="N531" s="19" t="n">
        <v>34.4</v>
      </c>
      <c r="O531" s="108">
        <f>COUNTIFS($E:$E,$E531,$L:$L,"&gt;"&amp;$L531)+1</f>
        <v/>
      </c>
      <c r="P531" s="108">
        <f>COUNTIFS($E:$E,$E531,$M:$M,"&gt;"&amp;$M531)+1</f>
        <v/>
      </c>
      <c r="Q531" s="108">
        <f>COUNTIFS($E:$E,$E531,$N:$N,"&gt;"&amp;$N531)+1</f>
        <v/>
      </c>
      <c r="R531" s="95" t="inlineStr">
        <is>
          <t>📈 Good</t>
        </is>
      </c>
      <c r="S531" s="95" t="inlineStr">
        <is>
          <t>⏳ New Fund</t>
        </is>
      </c>
      <c r="T531" s="95" t="inlineStr">
        <is>
          <t>📈 Momentum Only</t>
        </is>
      </c>
      <c r="U531" s="96" t="inlineStr">
        <is>
          <t>MOMENTUM_ONLY</t>
        </is>
      </c>
    </row>
    <row r="532" ht="16" customHeight="1">
      <c r="A532" s="92" t="n">
        <v>528</v>
      </c>
      <c r="B532" s="93" t="inlineStr">
        <is>
          <t>Mirae Asset CRISIL-IBX Financial Services 9-12 Months Debt Index Fund - Regular Plan - Growth</t>
        </is>
      </c>
      <c r="C532" s="93" t="inlineStr">
        <is>
          <t>Mirae Asset Mutual Fund</t>
        </is>
      </c>
      <c r="D532" s="93" t="inlineStr">
        <is>
          <t>Index Funds</t>
        </is>
      </c>
      <c r="E532" s="93" t="inlineStr">
        <is>
          <t>Banking/Financial</t>
        </is>
      </c>
      <c r="F532" s="94" t="n">
        <v>0.6899999999999999</v>
      </c>
      <c r="G532" s="94" t="n">
        <v>2.12</v>
      </c>
      <c r="H532" s="94" t="n">
        <v>3.32</v>
      </c>
      <c r="I532" s="94" t="n">
        <v>6.18</v>
      </c>
      <c r="J532" s="94" t="n">
        <v>0</v>
      </c>
      <c r="K532" s="94" t="n">
        <v>0</v>
      </c>
      <c r="L532" s="17" t="n">
        <v>62.4</v>
      </c>
      <c r="M532" s="18" t="n">
        <v>0</v>
      </c>
      <c r="N532" s="19" t="n">
        <v>34.3</v>
      </c>
      <c r="O532" s="108">
        <f>COUNTIFS($E:$E,$E532,$L:$L,"&gt;"&amp;$L532)+1</f>
        <v/>
      </c>
      <c r="P532" s="108">
        <f>COUNTIFS($E:$E,$E532,$M:$M,"&gt;"&amp;$M532)+1</f>
        <v/>
      </c>
      <c r="Q532" s="108">
        <f>COUNTIFS($E:$E,$E532,$N:$N,"&gt;"&amp;$N532)+1</f>
        <v/>
      </c>
      <c r="R532" s="95" t="inlineStr">
        <is>
          <t>📈 Good</t>
        </is>
      </c>
      <c r="S532" s="95" t="inlineStr">
        <is>
          <t>⏳ New Fund</t>
        </is>
      </c>
      <c r="T532" s="95" t="inlineStr">
        <is>
          <t>📈 Momentum Only</t>
        </is>
      </c>
      <c r="U532" s="96" t="inlineStr">
        <is>
          <t>MOMENTUM_ONLY</t>
        </is>
      </c>
    </row>
    <row r="533" ht="16" customHeight="1">
      <c r="A533" s="92" t="n">
        <v>529</v>
      </c>
      <c r="B533" s="93" t="inlineStr">
        <is>
          <t>Mirae Asset Gold ETF Fund of Fund - Regular Plan - Growth</t>
        </is>
      </c>
      <c r="C533" s="93" t="inlineStr">
        <is>
          <t>Mirae Asset Mutual Fund</t>
        </is>
      </c>
      <c r="D533" s="93" t="inlineStr">
        <is>
          <t>Fof Domestic</t>
        </is>
      </c>
      <c r="E533" s="93" t="inlineStr">
        <is>
          <t>Gold</t>
        </is>
      </c>
      <c r="F533" s="94" t="n">
        <v>9.039999999999999</v>
      </c>
      <c r="G533" s="97" t="n">
        <v>-3.19</v>
      </c>
      <c r="H533" s="94" t="n">
        <v>1.28</v>
      </c>
      <c r="I533" s="94" t="n">
        <v>50.78</v>
      </c>
      <c r="J533" s="94" t="n">
        <v>0</v>
      </c>
      <c r="K533" s="94" t="n">
        <v>0</v>
      </c>
      <c r="L533" s="17" t="n">
        <v>62.4</v>
      </c>
      <c r="M533" s="18" t="n">
        <v>0</v>
      </c>
      <c r="N533" s="19" t="n">
        <v>34.3</v>
      </c>
      <c r="O533" s="108">
        <f>COUNTIFS($E:$E,$E533,$L:$L,"&gt;"&amp;$L533)+1</f>
        <v/>
      </c>
      <c r="P533" s="108">
        <f>COUNTIFS($E:$E,$E533,$M:$M,"&gt;"&amp;$M533)+1</f>
        <v/>
      </c>
      <c r="Q533" s="108">
        <f>COUNTIFS($E:$E,$E533,$N:$N,"&gt;"&amp;$N533)+1</f>
        <v/>
      </c>
      <c r="R533" s="95" t="inlineStr">
        <is>
          <t>📈 Good</t>
        </is>
      </c>
      <c r="S533" s="95" t="inlineStr">
        <is>
          <t>⏳ New Fund</t>
        </is>
      </c>
      <c r="T533" s="95" t="inlineStr">
        <is>
          <t>📈 Momentum Only</t>
        </is>
      </c>
      <c r="U533" s="96" t="inlineStr">
        <is>
          <t>MOMENTUM_ONLY</t>
        </is>
      </c>
    </row>
    <row r="534" ht="16" customHeight="1">
      <c r="A534" s="92" t="n">
        <v>530</v>
      </c>
      <c r="B534" s="93" t="inlineStr">
        <is>
          <t>DSP Gold ETF Fund of Fund - Regular - Growth</t>
        </is>
      </c>
      <c r="C534" s="93" t="inlineStr">
        <is>
          <t>DSP Mutual Fund</t>
        </is>
      </c>
      <c r="D534" s="93" t="inlineStr">
        <is>
          <t>Fof Domestic</t>
        </is>
      </c>
      <c r="E534" s="93" t="inlineStr">
        <is>
          <t>Gold</t>
        </is>
      </c>
      <c r="F534" s="94" t="n">
        <v>9.08</v>
      </c>
      <c r="G534" s="97" t="n">
        <v>-3.34</v>
      </c>
      <c r="H534" s="94" t="n">
        <v>1.33</v>
      </c>
      <c r="I534" s="94" t="n">
        <v>51.4</v>
      </c>
      <c r="J534" s="94" t="n">
        <v>44.93446795017395</v>
      </c>
      <c r="K534" s="94" t="n">
        <v>0</v>
      </c>
      <c r="L534" s="17" t="n">
        <v>62.4</v>
      </c>
      <c r="M534" s="18" t="n">
        <v>0</v>
      </c>
      <c r="N534" s="19" t="n">
        <v>34.3</v>
      </c>
      <c r="O534" s="108">
        <f>COUNTIFS($E:$E,$E534,$L:$L,"&gt;"&amp;$L534)+1</f>
        <v/>
      </c>
      <c r="P534" s="108">
        <f>COUNTIFS($E:$E,$E534,$M:$M,"&gt;"&amp;$M534)+1</f>
        <v/>
      </c>
      <c r="Q534" s="108">
        <f>COUNTIFS($E:$E,$E534,$N:$N,"&gt;"&amp;$N534)+1</f>
        <v/>
      </c>
      <c r="R534" s="95" t="inlineStr">
        <is>
          <t>📈 Good</t>
        </is>
      </c>
      <c r="S534" s="95" t="inlineStr">
        <is>
          <t>⏳ New Fund</t>
        </is>
      </c>
      <c r="T534" s="95" t="inlineStr">
        <is>
          <t>📈 Momentum Only</t>
        </is>
      </c>
      <c r="U534" s="96" t="inlineStr">
        <is>
          <t>MOMENTUM_ONLY</t>
        </is>
      </c>
    </row>
    <row r="535" ht="16" customHeight="1">
      <c r="A535" s="92" t="n">
        <v>531</v>
      </c>
      <c r="B535" s="93" t="inlineStr">
        <is>
          <t>Aditya Birla Sun Life Crisil-IBX Financial Services 9-12 Months Debt Index Fund-Regular Growth</t>
        </is>
      </c>
      <c r="C535" s="93" t="inlineStr">
        <is>
          <t>Aditya Birla Sun Life Mutual Fund</t>
        </is>
      </c>
      <c r="D535" s="93" t="inlineStr">
        <is>
          <t>Index Funds</t>
        </is>
      </c>
      <c r="E535" s="93" t="inlineStr">
        <is>
          <t>Banking/Financial</t>
        </is>
      </c>
      <c r="F535" s="94" t="n">
        <v>0.7</v>
      </c>
      <c r="G535" s="94" t="n">
        <v>2.13</v>
      </c>
      <c r="H535" s="94" t="n">
        <v>3.27</v>
      </c>
      <c r="I535" s="94" t="n">
        <v>6.2</v>
      </c>
      <c r="J535" s="94" t="n">
        <v>0</v>
      </c>
      <c r="K535" s="94" t="n">
        <v>0</v>
      </c>
      <c r="L535" s="17" t="n">
        <v>62.2</v>
      </c>
      <c r="M535" s="18" t="n">
        <v>0</v>
      </c>
      <c r="N535" s="19" t="n">
        <v>34.2</v>
      </c>
      <c r="O535" s="108">
        <f>COUNTIFS($E:$E,$E535,$L:$L,"&gt;"&amp;$L535)+1</f>
        <v/>
      </c>
      <c r="P535" s="108">
        <f>COUNTIFS($E:$E,$E535,$M:$M,"&gt;"&amp;$M535)+1</f>
        <v/>
      </c>
      <c r="Q535" s="108">
        <f>COUNTIFS($E:$E,$E535,$N:$N,"&gt;"&amp;$N535)+1</f>
        <v/>
      </c>
      <c r="R535" s="95" t="inlineStr">
        <is>
          <t>📈 Good</t>
        </is>
      </c>
      <c r="S535" s="95" t="inlineStr">
        <is>
          <t>⏳ New Fund</t>
        </is>
      </c>
      <c r="T535" s="95" t="inlineStr">
        <is>
          <t>📈 Momentum Only</t>
        </is>
      </c>
      <c r="U535" s="96" t="inlineStr">
        <is>
          <t>MOMENTUM_ONLY</t>
        </is>
      </c>
    </row>
    <row r="536" ht="16" customHeight="1">
      <c r="A536" s="92" t="n">
        <v>532</v>
      </c>
      <c r="B536" s="93" t="inlineStr">
        <is>
          <t>Kotak CRISIL-IBX Financial Services 3-6 Months Debt Index Fund-Regular-Growth</t>
        </is>
      </c>
      <c r="C536" s="93" t="inlineStr">
        <is>
          <t>Kotak Mahindra Mutual Fund</t>
        </is>
      </c>
      <c r="D536" s="93" t="inlineStr">
        <is>
          <t>Index Funds</t>
        </is>
      </c>
      <c r="E536" s="93" t="inlineStr">
        <is>
          <t>Banking/Financial</t>
        </is>
      </c>
      <c r="F536" s="94" t="n">
        <v>0.66</v>
      </c>
      <c r="G536" s="94" t="n">
        <v>1.92</v>
      </c>
      <c r="H536" s="94" t="n">
        <v>3.56</v>
      </c>
      <c r="I536" s="94" t="n">
        <v>6.61</v>
      </c>
      <c r="J536" s="94" t="n">
        <v>0</v>
      </c>
      <c r="K536" s="94" t="n">
        <v>0</v>
      </c>
      <c r="L536" s="17" t="n">
        <v>61.9</v>
      </c>
      <c r="M536" s="18" t="n">
        <v>0</v>
      </c>
      <c r="N536" s="19" t="n">
        <v>34.1</v>
      </c>
      <c r="O536" s="108">
        <f>COUNTIFS($E:$E,$E536,$L:$L,"&gt;"&amp;$L536)+1</f>
        <v/>
      </c>
      <c r="P536" s="108">
        <f>COUNTIFS($E:$E,$E536,$M:$M,"&gt;"&amp;$M536)+1</f>
        <v/>
      </c>
      <c r="Q536" s="108">
        <f>COUNTIFS($E:$E,$E536,$N:$N,"&gt;"&amp;$N536)+1</f>
        <v/>
      </c>
      <c r="R536" s="95" t="inlineStr">
        <is>
          <t>📈 Good</t>
        </is>
      </c>
      <c r="S536" s="95" t="inlineStr">
        <is>
          <t>⏳ New Fund</t>
        </is>
      </c>
      <c r="T536" s="95" t="inlineStr">
        <is>
          <t>📈 Momentum Only</t>
        </is>
      </c>
      <c r="U536" s="96" t="inlineStr">
        <is>
          <t>MOMENTUM_ONLY</t>
        </is>
      </c>
    </row>
    <row r="537" ht="16" customHeight="1">
      <c r="A537" s="92" t="n">
        <v>533</v>
      </c>
      <c r="B537" s="93" t="inlineStr">
        <is>
          <t>Nippon India CRISIL - IBX AAA Financial Services - Dec 2026 Index Fund - Regular Plan - Growth Option</t>
        </is>
      </c>
      <c r="C537" s="93" t="inlineStr">
        <is>
          <t>Nippon India Mutual Fund</t>
        </is>
      </c>
      <c r="D537" s="93" t="inlineStr">
        <is>
          <t>Index Funds</t>
        </is>
      </c>
      <c r="E537" s="93" t="inlineStr">
        <is>
          <t>Banking/Financial</t>
        </is>
      </c>
      <c r="F537" s="94" t="n">
        <v>0.65</v>
      </c>
      <c r="G537" s="94" t="n">
        <v>1.97</v>
      </c>
      <c r="H537" s="94" t="n">
        <v>3.56</v>
      </c>
      <c r="I537" s="94" t="n">
        <v>6.51</v>
      </c>
      <c r="J537" s="94" t="n">
        <v>0</v>
      </c>
      <c r="K537" s="94" t="n">
        <v>0</v>
      </c>
      <c r="L537" s="17" t="n">
        <v>61.7</v>
      </c>
      <c r="M537" s="18" t="n">
        <v>0</v>
      </c>
      <c r="N537" s="19" t="n">
        <v>33.9</v>
      </c>
      <c r="O537" s="108">
        <f>COUNTIFS($E:$E,$E537,$L:$L,"&gt;"&amp;$L537)+1</f>
        <v/>
      </c>
      <c r="P537" s="108">
        <f>COUNTIFS($E:$E,$E537,$M:$M,"&gt;"&amp;$M537)+1</f>
        <v/>
      </c>
      <c r="Q537" s="108">
        <f>COUNTIFS($E:$E,$E537,$N:$N,"&gt;"&amp;$N537)+1</f>
        <v/>
      </c>
      <c r="R537" s="95" t="inlineStr">
        <is>
          <t>📈 Good</t>
        </is>
      </c>
      <c r="S537" s="95" t="inlineStr">
        <is>
          <t>⏳ New Fund</t>
        </is>
      </c>
      <c r="T537" s="95" t="inlineStr">
        <is>
          <t>📈 Momentum Only</t>
        </is>
      </c>
      <c r="U537" s="96" t="inlineStr">
        <is>
          <t>MOMENTUM_ONLY</t>
        </is>
      </c>
    </row>
    <row r="538" ht="16" customHeight="1">
      <c r="A538" s="92" t="n">
        <v>534</v>
      </c>
      <c r="B538" s="93" t="inlineStr">
        <is>
          <t>Motilal Oswal Developed Market Ex US ETFs Fund of Funds Regular Plan Growth</t>
        </is>
      </c>
      <c r="C538" s="93" t="inlineStr">
        <is>
          <t>Motilal Oswal Mutual Fund</t>
        </is>
      </c>
      <c r="D538" s="93" t="inlineStr">
        <is>
          <t>Fof Overseas</t>
        </is>
      </c>
      <c r="E538" s="93" t="inlineStr">
        <is>
          <t>Standard Equity/Debt</t>
        </is>
      </c>
      <c r="F538" s="94" t="n">
        <v>4.32</v>
      </c>
      <c r="G538" s="94" t="n">
        <v>6.38</v>
      </c>
      <c r="H538" s="94" t="n">
        <v>11.18</v>
      </c>
      <c r="I538" s="94" t="n">
        <v>33.45</v>
      </c>
      <c r="J538" s="94" t="n">
        <v>27.2949331277565</v>
      </c>
      <c r="K538" s="94" t="n">
        <v>0</v>
      </c>
      <c r="L538" s="17" t="n">
        <v>61.7</v>
      </c>
      <c r="M538" s="18" t="n">
        <v>0</v>
      </c>
      <c r="N538" s="19" t="n">
        <v>33.9</v>
      </c>
      <c r="O538" s="108">
        <f>COUNTIFS($E:$E,$E538,$L:$L,"&gt;"&amp;$L538)+1</f>
        <v/>
      </c>
      <c r="P538" s="108">
        <f>COUNTIFS($E:$E,$E538,$M:$M,"&gt;"&amp;$M538)+1</f>
        <v/>
      </c>
      <c r="Q538" s="108">
        <f>COUNTIFS($E:$E,$E538,$N:$N,"&gt;"&amp;$N538)+1</f>
        <v/>
      </c>
      <c r="R538" s="95" t="inlineStr">
        <is>
          <t>📈 Good</t>
        </is>
      </c>
      <c r="S538" s="95" t="inlineStr">
        <is>
          <t>⏳ New Fund</t>
        </is>
      </c>
      <c r="T538" s="95" t="inlineStr">
        <is>
          <t>📈 Momentum Only</t>
        </is>
      </c>
      <c r="U538" s="96" t="inlineStr">
        <is>
          <t>MOMENTUM_ONLY</t>
        </is>
      </c>
    </row>
    <row r="539" ht="16" customHeight="1">
      <c r="A539" s="92" t="n">
        <v>535</v>
      </c>
      <c r="B539" s="93" t="inlineStr">
        <is>
          <t>Kotak CRISIL - IBX AAA Bond Financial Services Index Dec 2026 Fund - Regular - Growth</t>
        </is>
      </c>
      <c r="C539" s="93" t="inlineStr">
        <is>
          <t>Kotak Mahindra Mutual Fund</t>
        </is>
      </c>
      <c r="D539" s="93" t="inlineStr">
        <is>
          <t>Index Funds</t>
        </is>
      </c>
      <c r="E539" s="93" t="inlineStr">
        <is>
          <t>Banking/Financial</t>
        </is>
      </c>
      <c r="F539" s="94" t="n">
        <v>0.66</v>
      </c>
      <c r="G539" s="94" t="n">
        <v>1.97</v>
      </c>
      <c r="H539" s="94" t="n">
        <v>3.49</v>
      </c>
      <c r="I539" s="94" t="n">
        <v>6.38</v>
      </c>
      <c r="J539" s="94" t="n">
        <v>0</v>
      </c>
      <c r="K539" s="94" t="n">
        <v>0</v>
      </c>
      <c r="L539" s="17" t="n">
        <v>61.5</v>
      </c>
      <c r="M539" s="18" t="n">
        <v>0</v>
      </c>
      <c r="N539" s="19" t="n">
        <v>33.8</v>
      </c>
      <c r="O539" s="108">
        <f>COUNTIFS($E:$E,$E539,$L:$L,"&gt;"&amp;$L539)+1</f>
        <v/>
      </c>
      <c r="P539" s="108">
        <f>COUNTIFS($E:$E,$E539,$M:$M,"&gt;"&amp;$M539)+1</f>
        <v/>
      </c>
      <c r="Q539" s="108">
        <f>COUNTIFS($E:$E,$E539,$N:$N,"&gt;"&amp;$N539)+1</f>
        <v/>
      </c>
      <c r="R539" s="95" t="inlineStr">
        <is>
          <t>📈 Good</t>
        </is>
      </c>
      <c r="S539" s="95" t="inlineStr">
        <is>
          <t>⏳ New Fund</t>
        </is>
      </c>
      <c r="T539" s="95" t="inlineStr">
        <is>
          <t>📈 Momentum Only</t>
        </is>
      </c>
      <c r="U539" s="96" t="inlineStr">
        <is>
          <t>MOMENTUM_ONLY</t>
        </is>
      </c>
    </row>
    <row r="540" ht="16" customHeight="1">
      <c r="A540" s="92" t="n">
        <v>536</v>
      </c>
      <c r="B540" s="93" t="inlineStr">
        <is>
          <t>Mirae Asset Nifty PSU Bank ETF</t>
        </is>
      </c>
      <c r="C540" s="93" t="inlineStr">
        <is>
          <t>Mirae Asset Mutual Fund</t>
        </is>
      </c>
      <c r="D540" s="93" t="inlineStr">
        <is>
          <t>Other  Etfs</t>
        </is>
      </c>
      <c r="E540" s="93" t="inlineStr">
        <is>
          <t>Banking/Financial</t>
        </is>
      </c>
      <c r="F540" s="94" t="n">
        <v>2.8</v>
      </c>
      <c r="G540" s="94" t="n">
        <v>8.539999999999999</v>
      </c>
      <c r="H540" s="97" t="n">
        <v>-10</v>
      </c>
      <c r="I540" s="94" t="n">
        <v>23.3</v>
      </c>
      <c r="J540" s="94" t="n">
        <v>0</v>
      </c>
      <c r="K540" s="94" t="n">
        <v>0</v>
      </c>
      <c r="L540" s="17" t="n">
        <v>61.4</v>
      </c>
      <c r="M540" s="18" t="n">
        <v>0</v>
      </c>
      <c r="N540" s="19" t="n">
        <v>33.8</v>
      </c>
      <c r="O540" s="108">
        <f>COUNTIFS($E:$E,$E540,$L:$L,"&gt;"&amp;$L540)+1</f>
        <v/>
      </c>
      <c r="P540" s="108">
        <f>COUNTIFS($E:$E,$E540,$M:$M,"&gt;"&amp;$M540)+1</f>
        <v/>
      </c>
      <c r="Q540" s="108">
        <f>COUNTIFS($E:$E,$E540,$N:$N,"&gt;"&amp;$N540)+1</f>
        <v/>
      </c>
      <c r="R540" s="95" t="inlineStr">
        <is>
          <t>📈 Good</t>
        </is>
      </c>
      <c r="S540" s="95" t="inlineStr">
        <is>
          <t>⏳ New Fund</t>
        </is>
      </c>
      <c r="T540" s="95" t="inlineStr">
        <is>
          <t>📈 Momentum Only</t>
        </is>
      </c>
      <c r="U540" s="96" t="inlineStr">
        <is>
          <t>MOMENTUM_ONLY</t>
        </is>
      </c>
    </row>
    <row r="541" ht="16" customHeight="1">
      <c r="A541" s="92" t="n">
        <v>537</v>
      </c>
      <c r="B541" s="93" t="inlineStr">
        <is>
          <t>HDFC NIFTY PSU BANK ETF</t>
        </is>
      </c>
      <c r="C541" s="93" t="inlineStr">
        <is>
          <t>HDFC Mutual Fund</t>
        </is>
      </c>
      <c r="D541" s="93" t="inlineStr">
        <is>
          <t>Other  Etfs</t>
        </is>
      </c>
      <c r="E541" s="93" t="inlineStr">
        <is>
          <t>Banking/Financial</t>
        </is>
      </c>
      <c r="F541" s="94" t="n">
        <v>2.8</v>
      </c>
      <c r="G541" s="94" t="n">
        <v>8.529999999999999</v>
      </c>
      <c r="H541" s="97" t="n">
        <v>-10.05</v>
      </c>
      <c r="I541" s="94" t="n">
        <v>23.12</v>
      </c>
      <c r="J541" s="94" t="n">
        <v>12.56109452204166</v>
      </c>
      <c r="K541" s="94" t="n">
        <v>0</v>
      </c>
      <c r="L541" s="17" t="n">
        <v>61.1</v>
      </c>
      <c r="M541" s="18" t="n">
        <v>0</v>
      </c>
      <c r="N541" s="19" t="n">
        <v>33.6</v>
      </c>
      <c r="O541" s="108">
        <f>COUNTIFS($E:$E,$E541,$L:$L,"&gt;"&amp;$L541)+1</f>
        <v/>
      </c>
      <c r="P541" s="108">
        <f>COUNTIFS($E:$E,$E541,$M:$M,"&gt;"&amp;$M541)+1</f>
        <v/>
      </c>
      <c r="Q541" s="108">
        <f>COUNTIFS($E:$E,$E541,$N:$N,"&gt;"&amp;$N541)+1</f>
        <v/>
      </c>
      <c r="R541" s="95" t="inlineStr">
        <is>
          <t>📈 Good</t>
        </is>
      </c>
      <c r="S541" s="95" t="inlineStr">
        <is>
          <t>⏳ New Fund</t>
        </is>
      </c>
      <c r="T541" s="95" t="inlineStr">
        <is>
          <t>📈 Momentum Only</t>
        </is>
      </c>
      <c r="U541" s="96" t="inlineStr">
        <is>
          <t>MOMENTUM_ONLY</t>
        </is>
      </c>
    </row>
    <row r="542" ht="16" customHeight="1">
      <c r="A542" s="92" t="n">
        <v>538</v>
      </c>
      <c r="B542" s="93" t="inlineStr">
        <is>
          <t>HDFC Nifty India Digital Index Fund - Growth Option - Regular</t>
        </is>
      </c>
      <c r="C542" s="93" t="inlineStr">
        <is>
          <t>HDFC Mutual Fund</t>
        </is>
      </c>
      <c r="D542" s="93" t="inlineStr">
        <is>
          <t>Index Funds</t>
        </is>
      </c>
      <c r="E542" s="93" t="inlineStr">
        <is>
          <t>Technology</t>
        </is>
      </c>
      <c r="F542" s="94" t="n">
        <v>4.74</v>
      </c>
      <c r="G542" s="94" t="n">
        <v>9.76</v>
      </c>
      <c r="H542" s="94" t="n">
        <v>2.19</v>
      </c>
      <c r="I542" s="97" t="n">
        <v>-2.32</v>
      </c>
      <c r="J542" s="94" t="n">
        <v>0</v>
      </c>
      <c r="K542" s="94" t="n">
        <v>0</v>
      </c>
      <c r="L542" s="17" t="n">
        <v>61</v>
      </c>
      <c r="M542" s="18" t="n">
        <v>0</v>
      </c>
      <c r="N542" s="19" t="n">
        <v>33.6</v>
      </c>
      <c r="O542" s="108">
        <f>COUNTIFS($E:$E,$E542,$L:$L,"&gt;"&amp;$L542)+1</f>
        <v/>
      </c>
      <c r="P542" s="108">
        <f>COUNTIFS($E:$E,$E542,$M:$M,"&gt;"&amp;$M542)+1</f>
        <v/>
      </c>
      <c r="Q542" s="108">
        <f>COUNTIFS($E:$E,$E542,$N:$N,"&gt;"&amp;$N542)+1</f>
        <v/>
      </c>
      <c r="R542" s="95" t="inlineStr">
        <is>
          <t>📈 Good</t>
        </is>
      </c>
      <c r="S542" s="95" t="inlineStr">
        <is>
          <t>⏳ New Fund</t>
        </is>
      </c>
      <c r="T542" s="95" t="inlineStr">
        <is>
          <t>📈 Momentum Only</t>
        </is>
      </c>
      <c r="U542" s="96" t="inlineStr">
        <is>
          <t>MOMENTUM_ONLY</t>
        </is>
      </c>
    </row>
    <row r="543" ht="16" customHeight="1">
      <c r="A543" s="92" t="n">
        <v>539</v>
      </c>
      <c r="B543" s="93" t="inlineStr">
        <is>
          <t>Kotak Nifty Financial Services Ex-Bank Index Fund - Regular Plan - Growth option</t>
        </is>
      </c>
      <c r="C543" s="93" t="inlineStr">
        <is>
          <t>Kotak Mahindra Mutual Fund</t>
        </is>
      </c>
      <c r="D543" s="93" t="inlineStr">
        <is>
          <t>Index Funds</t>
        </is>
      </c>
      <c r="E543" s="93" t="inlineStr">
        <is>
          <t>Banking/Financial</t>
        </is>
      </c>
      <c r="F543" s="94" t="n">
        <v>1.73</v>
      </c>
      <c r="G543" s="94" t="n">
        <v>3.39</v>
      </c>
      <c r="H543" s="94" t="n">
        <v>0.54</v>
      </c>
      <c r="I543" s="94" t="n">
        <v>10.41</v>
      </c>
      <c r="J543" s="94" t="n">
        <v>13.38871196022997</v>
      </c>
      <c r="K543" s="94" t="n">
        <v>0</v>
      </c>
      <c r="L543" s="17" t="n">
        <v>60.8</v>
      </c>
      <c r="M543" s="18" t="n">
        <v>0</v>
      </c>
      <c r="N543" s="19" t="n">
        <v>33.4</v>
      </c>
      <c r="O543" s="108">
        <f>COUNTIFS($E:$E,$E543,$L:$L,"&gt;"&amp;$L543)+1</f>
        <v/>
      </c>
      <c r="P543" s="108">
        <f>COUNTIFS($E:$E,$E543,$M:$M,"&gt;"&amp;$M543)+1</f>
        <v/>
      </c>
      <c r="Q543" s="108">
        <f>COUNTIFS($E:$E,$E543,$N:$N,"&gt;"&amp;$N543)+1</f>
        <v/>
      </c>
      <c r="R543" s="95" t="inlineStr">
        <is>
          <t>📈 Good</t>
        </is>
      </c>
      <c r="S543" s="95" t="inlineStr">
        <is>
          <t>⏳ New Fund</t>
        </is>
      </c>
      <c r="T543" s="95" t="inlineStr">
        <is>
          <t>📈 Momentum Only</t>
        </is>
      </c>
      <c r="U543" s="96" t="inlineStr">
        <is>
          <t>MOMENTUM_ONLY</t>
        </is>
      </c>
    </row>
    <row r="544" ht="16" customHeight="1">
      <c r="A544" s="92" t="n">
        <v>540</v>
      </c>
      <c r="B544" s="93" t="inlineStr">
        <is>
          <t>DSP Nifty Midcap 150 ETF</t>
        </is>
      </c>
      <c r="C544" s="93" t="inlineStr">
        <is>
          <t>DSP Mutual Fund</t>
        </is>
      </c>
      <c r="D544" s="93" t="inlineStr">
        <is>
          <t>Other  Etfs</t>
        </is>
      </c>
      <c r="E544" s="93" t="inlineStr">
        <is>
          <t>Index Fund</t>
        </is>
      </c>
      <c r="F544" s="94" t="n">
        <v>1.8</v>
      </c>
      <c r="G544" s="94" t="n">
        <v>4.65</v>
      </c>
      <c r="H544" s="94" t="n">
        <v>5.61</v>
      </c>
      <c r="I544" s="94" t="n">
        <v>0</v>
      </c>
      <c r="J544" s="94" t="n">
        <v>0</v>
      </c>
      <c r="K544" s="94" t="n">
        <v>0</v>
      </c>
      <c r="L544" s="17" t="n">
        <v>60.7</v>
      </c>
      <c r="M544" s="18" t="n">
        <v>0</v>
      </c>
      <c r="N544" s="19" t="n">
        <v>33.4</v>
      </c>
      <c r="O544" s="108">
        <f>COUNTIFS($E:$E,$E544,$L:$L,"&gt;"&amp;$L544)+1</f>
        <v/>
      </c>
      <c r="P544" s="108">
        <f>COUNTIFS($E:$E,$E544,$M:$M,"&gt;"&amp;$M544)+1</f>
        <v/>
      </c>
      <c r="Q544" s="108">
        <f>COUNTIFS($E:$E,$E544,$N:$N,"&gt;"&amp;$N544)+1</f>
        <v/>
      </c>
      <c r="R544" s="95" t="inlineStr">
        <is>
          <t>📈 Good</t>
        </is>
      </c>
      <c r="S544" s="95" t="inlineStr">
        <is>
          <t>⏳ New Fund</t>
        </is>
      </c>
      <c r="T544" s="95" t="inlineStr">
        <is>
          <t>📈 Momentum Only</t>
        </is>
      </c>
      <c r="U544" s="96" t="inlineStr">
        <is>
          <t>MOMENTUM_ONLY</t>
        </is>
      </c>
    </row>
    <row r="545" ht="16" customHeight="1">
      <c r="A545" s="92" t="n">
        <v>541</v>
      </c>
      <c r="B545" s="93" t="inlineStr">
        <is>
          <t>ANGEL ONE NIFTY TOTAL MARKET MOMENTUM QUALITY 50 ETF</t>
        </is>
      </c>
      <c r="C545" s="93" t="inlineStr">
        <is>
          <t>Angel One Mutual Fund</t>
        </is>
      </c>
      <c r="D545" s="93" t="inlineStr">
        <is>
          <t>Other  Etfs</t>
        </is>
      </c>
      <c r="E545" s="93" t="inlineStr">
        <is>
          <t>Index Fund</t>
        </is>
      </c>
      <c r="F545" s="94" t="n">
        <v>4.54</v>
      </c>
      <c r="G545" s="94" t="n">
        <v>2.78</v>
      </c>
      <c r="H545" s="94" t="n">
        <v>6.12</v>
      </c>
      <c r="I545" s="94" t="n">
        <v>0</v>
      </c>
      <c r="J545" s="94" t="n">
        <v>0</v>
      </c>
      <c r="K545" s="94" t="n">
        <v>0</v>
      </c>
      <c r="L545" s="17" t="n">
        <v>60.6</v>
      </c>
      <c r="M545" s="18" t="n">
        <v>0</v>
      </c>
      <c r="N545" s="19" t="n">
        <v>33.3</v>
      </c>
      <c r="O545" s="108">
        <f>COUNTIFS($E:$E,$E545,$L:$L,"&gt;"&amp;$L545)+1</f>
        <v/>
      </c>
      <c r="P545" s="108">
        <f>COUNTIFS($E:$E,$E545,$M:$M,"&gt;"&amp;$M545)+1</f>
        <v/>
      </c>
      <c r="Q545" s="108">
        <f>COUNTIFS($E:$E,$E545,$N:$N,"&gt;"&amp;$N545)+1</f>
        <v/>
      </c>
      <c r="R545" s="95" t="inlineStr">
        <is>
          <t>📈 Good</t>
        </is>
      </c>
      <c r="S545" s="95" t="inlineStr">
        <is>
          <t>⏳ New Fund</t>
        </is>
      </c>
      <c r="T545" s="95" t="inlineStr">
        <is>
          <t>📈 Momentum Only</t>
        </is>
      </c>
      <c r="U545" s="96" t="inlineStr">
        <is>
          <t>MOMENTUM_ONLY</t>
        </is>
      </c>
    </row>
    <row r="546" ht="16" customHeight="1">
      <c r="A546" s="92" t="n">
        <v>542</v>
      </c>
      <c r="B546" s="93" t="inlineStr">
        <is>
          <t>Aditya Birla Sun Life Crisil-IBX AAA Financial Services Index-Sep 2027 Fund-Regular Growth</t>
        </is>
      </c>
      <c r="C546" s="93" t="inlineStr">
        <is>
          <t>Aditya Birla Sun Life Mutual Fund</t>
        </is>
      </c>
      <c r="D546" s="93" t="inlineStr">
        <is>
          <t>Index Funds</t>
        </is>
      </c>
      <c r="E546" s="93" t="inlineStr">
        <is>
          <t>Banking/Financial</t>
        </is>
      </c>
      <c r="F546" s="94" t="n">
        <v>0.61</v>
      </c>
      <c r="G546" s="94" t="n">
        <v>2.16</v>
      </c>
      <c r="H546" s="94" t="n">
        <v>3.25</v>
      </c>
      <c r="I546" s="94" t="n">
        <v>6.32</v>
      </c>
      <c r="J546" s="94" t="n">
        <v>0</v>
      </c>
      <c r="K546" s="94" t="n">
        <v>0</v>
      </c>
      <c r="L546" s="17" t="n">
        <v>60.4</v>
      </c>
      <c r="M546" s="18" t="n">
        <v>0</v>
      </c>
      <c r="N546" s="19" t="n">
        <v>33.2</v>
      </c>
      <c r="O546" s="108">
        <f>COUNTIFS($E:$E,$E546,$L:$L,"&gt;"&amp;$L546)+1</f>
        <v/>
      </c>
      <c r="P546" s="108">
        <f>COUNTIFS($E:$E,$E546,$M:$M,"&gt;"&amp;$M546)+1</f>
        <v/>
      </c>
      <c r="Q546" s="108">
        <f>COUNTIFS($E:$E,$E546,$N:$N,"&gt;"&amp;$N546)+1</f>
        <v/>
      </c>
      <c r="R546" s="95" t="inlineStr">
        <is>
          <t>📈 Good</t>
        </is>
      </c>
      <c r="S546" s="95" t="inlineStr">
        <is>
          <t>⏳ New Fund</t>
        </is>
      </c>
      <c r="T546" s="95" t="inlineStr">
        <is>
          <t>📈 Momentum Only</t>
        </is>
      </c>
      <c r="U546" s="96" t="inlineStr">
        <is>
          <t>MOMENTUM_ONLY</t>
        </is>
      </c>
    </row>
    <row r="547" ht="16" customHeight="1">
      <c r="A547" s="92" t="n">
        <v>543</v>
      </c>
      <c r="B547" s="93" t="inlineStr">
        <is>
          <t>Motilal Oswal Nifty Realty ETF</t>
        </is>
      </c>
      <c r="C547" s="93" t="inlineStr">
        <is>
          <t>Motilal Oswal Mutual Fund</t>
        </is>
      </c>
      <c r="D547" s="93" t="inlineStr">
        <is>
          <t>Other  Etfs</t>
        </is>
      </c>
      <c r="E547" s="93" t="inlineStr">
        <is>
          <t>Index Fund</t>
        </is>
      </c>
      <c r="F547" s="97" t="n">
        <v>-2.01</v>
      </c>
      <c r="G547" s="94" t="n">
        <v>18</v>
      </c>
      <c r="H547" s="94" t="n">
        <v>7.14</v>
      </c>
      <c r="I547" s="94" t="n">
        <v>2.18</v>
      </c>
      <c r="J547" s="97" t="n">
        <v>-7.458117589925806</v>
      </c>
      <c r="K547" s="94" t="n">
        <v>0</v>
      </c>
      <c r="L547" s="17" t="n">
        <v>60.3</v>
      </c>
      <c r="M547" s="18" t="n">
        <v>0</v>
      </c>
      <c r="N547" s="19" t="n">
        <v>33.2</v>
      </c>
      <c r="O547" s="108">
        <f>COUNTIFS($E:$E,$E547,$L:$L,"&gt;"&amp;$L547)+1</f>
        <v/>
      </c>
      <c r="P547" s="108">
        <f>COUNTIFS($E:$E,$E547,$M:$M,"&gt;"&amp;$M547)+1</f>
        <v/>
      </c>
      <c r="Q547" s="108">
        <f>COUNTIFS($E:$E,$E547,$N:$N,"&gt;"&amp;$N547)+1</f>
        <v/>
      </c>
      <c r="R547" s="95" t="inlineStr">
        <is>
          <t>📈 Good</t>
        </is>
      </c>
      <c r="S547" s="95" t="inlineStr">
        <is>
          <t>⏳ New Fund</t>
        </is>
      </c>
      <c r="T547" s="95" t="inlineStr">
        <is>
          <t>📈 Momentum Only</t>
        </is>
      </c>
      <c r="U547" s="96" t="inlineStr">
        <is>
          <t>MOMENTUM_ONLY</t>
        </is>
      </c>
    </row>
    <row r="548" ht="16" customHeight="1">
      <c r="A548" s="92" t="n">
        <v>544</v>
      </c>
      <c r="B548" s="93" t="inlineStr">
        <is>
          <t>Axis CRISIL-IBX AAA Bond NBFC - Jun 2027 Index Fund - Regular Plan - Growth Option</t>
        </is>
      </c>
      <c r="C548" s="93" t="inlineStr">
        <is>
          <t>Axis Mutual Fund</t>
        </is>
      </c>
      <c r="D548" s="93" t="inlineStr">
        <is>
          <t>Index Funds</t>
        </is>
      </c>
      <c r="E548" s="93" t="inlineStr">
        <is>
          <t>Index Fund</t>
        </is>
      </c>
      <c r="F548" s="94" t="n">
        <v>0.65</v>
      </c>
      <c r="G548" s="94" t="n">
        <v>2.11</v>
      </c>
      <c r="H548" s="94" t="n">
        <v>3.15</v>
      </c>
      <c r="I548" s="94" t="n">
        <v>6.26</v>
      </c>
      <c r="J548" s="94" t="n">
        <v>0</v>
      </c>
      <c r="K548" s="94" t="n">
        <v>0</v>
      </c>
      <c r="L548" s="17" t="n">
        <v>60.2</v>
      </c>
      <c r="M548" s="18" t="n">
        <v>0</v>
      </c>
      <c r="N548" s="19" t="n">
        <v>33.1</v>
      </c>
      <c r="O548" s="108">
        <f>COUNTIFS($E:$E,$E548,$L:$L,"&gt;"&amp;$L548)+1</f>
        <v/>
      </c>
      <c r="P548" s="108">
        <f>COUNTIFS($E:$E,$E548,$M:$M,"&gt;"&amp;$M548)+1</f>
        <v/>
      </c>
      <c r="Q548" s="108">
        <f>COUNTIFS($E:$E,$E548,$N:$N,"&gt;"&amp;$N548)+1</f>
        <v/>
      </c>
      <c r="R548" s="95" t="inlineStr">
        <is>
          <t>📈 Good</t>
        </is>
      </c>
      <c r="S548" s="95" t="inlineStr">
        <is>
          <t>⏳ New Fund</t>
        </is>
      </c>
      <c r="T548" s="95" t="inlineStr">
        <is>
          <t>📈 Momentum Only</t>
        </is>
      </c>
      <c r="U548" s="96" t="inlineStr">
        <is>
          <t>MOMENTUM_ONLY</t>
        </is>
      </c>
    </row>
    <row r="549" ht="16" customHeight="1">
      <c r="A549" s="92" t="n">
        <v>545</v>
      </c>
      <c r="B549" s="93" t="inlineStr">
        <is>
          <t>ANGEL ONE NIFTY TOTAL MARKET ETF</t>
        </is>
      </c>
      <c r="C549" s="93" t="inlineStr">
        <is>
          <t>Angel One Mutual Fund</t>
        </is>
      </c>
      <c r="D549" s="93" t="inlineStr">
        <is>
          <t>Other  Etfs</t>
        </is>
      </c>
      <c r="E549" s="93" t="inlineStr">
        <is>
          <t>Index Fund</t>
        </is>
      </c>
      <c r="F549" s="94" t="n">
        <v>0.92</v>
      </c>
      <c r="G549" s="94" t="n">
        <v>5.12</v>
      </c>
      <c r="H549" s="94" t="n">
        <v>0.49</v>
      </c>
      <c r="I549" s="94" t="n">
        <v>4.59</v>
      </c>
      <c r="J549" s="94" t="n">
        <v>0</v>
      </c>
      <c r="K549" s="94" t="n">
        <v>0</v>
      </c>
      <c r="L549" s="17" t="n">
        <v>59.8</v>
      </c>
      <c r="M549" s="18" t="n">
        <v>0</v>
      </c>
      <c r="N549" s="19" t="n">
        <v>32.9</v>
      </c>
      <c r="O549" s="108">
        <f>COUNTIFS($E:$E,$E549,$L:$L,"&gt;"&amp;$L549)+1</f>
        <v/>
      </c>
      <c r="P549" s="108">
        <f>COUNTIFS($E:$E,$E549,$M:$M,"&gt;"&amp;$M549)+1</f>
        <v/>
      </c>
      <c r="Q549" s="108">
        <f>COUNTIFS($E:$E,$E549,$N:$N,"&gt;"&amp;$N549)+1</f>
        <v/>
      </c>
      <c r="R549" s="95" t="inlineStr">
        <is>
          <t>➡️ Neutral</t>
        </is>
      </c>
      <c r="S549" s="95" t="inlineStr">
        <is>
          <t>⏳ New Fund</t>
        </is>
      </c>
      <c r="T549" s="95" t="inlineStr">
        <is>
          <t>⏳ New Fund</t>
        </is>
      </c>
      <c r="U549" s="96" t="inlineStr">
        <is>
          <t>MOMENTUM_ONLY</t>
        </is>
      </c>
    </row>
    <row r="550" ht="16" customHeight="1">
      <c r="A550" s="92" t="n">
        <v>546</v>
      </c>
      <c r="B550" s="93" t="inlineStr">
        <is>
          <t>360 ONE Gold ETF</t>
        </is>
      </c>
      <c r="C550" s="93" t="inlineStr">
        <is>
          <t>360 ONE Mutual Fund</t>
        </is>
      </c>
      <c r="D550" s="93" t="inlineStr">
        <is>
          <t>Gold Etf</t>
        </is>
      </c>
      <c r="E550" s="93" t="inlineStr">
        <is>
          <t>Gold</t>
        </is>
      </c>
      <c r="F550" s="94" t="n">
        <v>8.949999999999999</v>
      </c>
      <c r="G550" s="97" t="n">
        <v>-3.08</v>
      </c>
      <c r="H550" s="94" t="n">
        <v>1.37</v>
      </c>
      <c r="I550" s="94" t="n">
        <v>51.35</v>
      </c>
      <c r="J550" s="94" t="n">
        <v>0</v>
      </c>
      <c r="K550" s="94" t="n">
        <v>0</v>
      </c>
      <c r="L550" s="17" t="n">
        <v>59.4</v>
      </c>
      <c r="M550" s="18" t="n">
        <v>0</v>
      </c>
      <c r="N550" s="19" t="n">
        <v>32.7</v>
      </c>
      <c r="O550" s="108">
        <f>COUNTIFS($E:$E,$E550,$L:$L,"&gt;"&amp;$L550)+1</f>
        <v/>
      </c>
      <c r="P550" s="108">
        <f>COUNTIFS($E:$E,$E550,$M:$M,"&gt;"&amp;$M550)+1</f>
        <v/>
      </c>
      <c r="Q550" s="108">
        <f>COUNTIFS($E:$E,$E550,$N:$N,"&gt;"&amp;$N550)+1</f>
        <v/>
      </c>
      <c r="R550" s="95" t="inlineStr">
        <is>
          <t>➡️ Neutral</t>
        </is>
      </c>
      <c r="S550" s="95" t="inlineStr">
        <is>
          <t>⏳ New Fund</t>
        </is>
      </c>
      <c r="T550" s="95" t="inlineStr">
        <is>
          <t>⏳ New Fund</t>
        </is>
      </c>
      <c r="U550" s="96" t="inlineStr">
        <is>
          <t>MOMENTUM_ONLY</t>
        </is>
      </c>
    </row>
    <row r="551" ht="16" customHeight="1">
      <c r="A551" s="92" t="n">
        <v>547</v>
      </c>
      <c r="B551" s="93" t="inlineStr">
        <is>
          <t>Motilal Oswal Diversified Equity Flexicap Passive Fund of funds- Regular Growth</t>
        </is>
      </c>
      <c r="C551" s="93" t="inlineStr">
        <is>
          <t>Motilal Oswal Mutual Fund</t>
        </is>
      </c>
      <c r="D551" s="93" t="inlineStr">
        <is>
          <t>Fof Domestic</t>
        </is>
      </c>
      <c r="E551" s="93" t="inlineStr">
        <is>
          <t>Standard Equity/Debt</t>
        </is>
      </c>
      <c r="F551" s="94" t="n">
        <v>1.38</v>
      </c>
      <c r="G551" s="94" t="n">
        <v>4.72</v>
      </c>
      <c r="H551" s="94" t="n">
        <v>4.83</v>
      </c>
      <c r="I551" s="94" t="n">
        <v>0</v>
      </c>
      <c r="J551" s="94" t="n">
        <v>0</v>
      </c>
      <c r="K551" s="94" t="n">
        <v>0</v>
      </c>
      <c r="L551" s="17" t="n">
        <v>59.4</v>
      </c>
      <c r="M551" s="18" t="n">
        <v>0</v>
      </c>
      <c r="N551" s="19" t="n">
        <v>32.7</v>
      </c>
      <c r="O551" s="108">
        <f>COUNTIFS($E:$E,$E551,$L:$L,"&gt;"&amp;$L551)+1</f>
        <v/>
      </c>
      <c r="P551" s="108">
        <f>COUNTIFS($E:$E,$E551,$M:$M,"&gt;"&amp;$M551)+1</f>
        <v/>
      </c>
      <c r="Q551" s="108">
        <f>COUNTIFS($E:$E,$E551,$N:$N,"&gt;"&amp;$N551)+1</f>
        <v/>
      </c>
      <c r="R551" s="95" t="inlineStr">
        <is>
          <t>➡️ Neutral</t>
        </is>
      </c>
      <c r="S551" s="95" t="inlineStr">
        <is>
          <t>⏳ New Fund</t>
        </is>
      </c>
      <c r="T551" s="95" t="inlineStr">
        <is>
          <t>⏳ New Fund</t>
        </is>
      </c>
      <c r="U551" s="96" t="inlineStr">
        <is>
          <t>MOMENTUM_ONLY</t>
        </is>
      </c>
    </row>
    <row r="552" ht="16" customHeight="1">
      <c r="A552" s="92" t="n">
        <v>548</v>
      </c>
      <c r="B552" s="93" t="inlineStr">
        <is>
          <t>UTI Nifty 5 yr Benchmark G-Sec ETF</t>
        </is>
      </c>
      <c r="C552" s="93" t="inlineStr">
        <is>
          <t>UTI Mutual Fund</t>
        </is>
      </c>
      <c r="D552" s="93" t="inlineStr">
        <is>
          <t>Other  Etfs</t>
        </is>
      </c>
      <c r="E552" s="93" t="inlineStr">
        <is>
          <t>G-SEC</t>
        </is>
      </c>
      <c r="F552" s="94" t="n">
        <v>0.5</v>
      </c>
      <c r="G552" s="94" t="n">
        <v>3.3</v>
      </c>
      <c r="H552" s="94" t="n">
        <v>3.08</v>
      </c>
      <c r="I552" s="94" t="n">
        <v>5.89</v>
      </c>
      <c r="J552" s="94" t="n">
        <v>7.289328453485999</v>
      </c>
      <c r="K552" s="94" t="n">
        <v>0</v>
      </c>
      <c r="L552" s="17" t="n">
        <v>59.2</v>
      </c>
      <c r="M552" s="18" t="n">
        <v>0</v>
      </c>
      <c r="N552" s="19" t="n">
        <v>32.6</v>
      </c>
      <c r="O552" s="108">
        <f>COUNTIFS($E:$E,$E552,$L:$L,"&gt;"&amp;$L552)+1</f>
        <v/>
      </c>
      <c r="P552" s="108">
        <f>COUNTIFS($E:$E,$E552,$M:$M,"&gt;"&amp;$M552)+1</f>
        <v/>
      </c>
      <c r="Q552" s="108">
        <f>COUNTIFS($E:$E,$E552,$N:$N,"&gt;"&amp;$N552)+1</f>
        <v/>
      </c>
      <c r="R552" s="95" t="inlineStr">
        <is>
          <t>➡️ Neutral</t>
        </is>
      </c>
      <c r="S552" s="95" t="inlineStr">
        <is>
          <t>⏳ New Fund</t>
        </is>
      </c>
      <c r="T552" s="95" t="inlineStr">
        <is>
          <t>⏳ New Fund</t>
        </is>
      </c>
      <c r="U552" s="96" t="inlineStr">
        <is>
          <t>MOMENTUM_ONLY</t>
        </is>
      </c>
    </row>
    <row r="553" ht="16" customHeight="1">
      <c r="A553" s="92" t="n">
        <v>549</v>
      </c>
      <c r="B553" s="93" t="inlineStr">
        <is>
          <t>NAVI NIFTY 500 MULTICAP 50-25-25 REGULAR PLAN</t>
        </is>
      </c>
      <c r="C553" s="93" t="inlineStr">
        <is>
          <t>Navi Mutual Fund</t>
        </is>
      </c>
      <c r="D553" s="93" t="inlineStr">
        <is>
          <t>Index Funds</t>
        </is>
      </c>
      <c r="E553" s="93" t="inlineStr">
        <is>
          <t>Index Fund</t>
        </is>
      </c>
      <c r="F553" s="94" t="n">
        <v>0.96</v>
      </c>
      <c r="G553" s="94" t="n">
        <v>5.34</v>
      </c>
      <c r="H553" s="94" t="n">
        <v>2.34</v>
      </c>
      <c r="I553" s="94" t="n">
        <v>5.36</v>
      </c>
      <c r="J553" s="94" t="n">
        <v>1.444566143288317</v>
      </c>
      <c r="K553" s="94" t="n">
        <v>0</v>
      </c>
      <c r="L553" s="17" t="n">
        <v>59.1</v>
      </c>
      <c r="M553" s="18" t="n">
        <v>0</v>
      </c>
      <c r="N553" s="19" t="n">
        <v>32.5</v>
      </c>
      <c r="O553" s="108">
        <f>COUNTIFS($E:$E,$E553,$L:$L,"&gt;"&amp;$L553)+1</f>
        <v/>
      </c>
      <c r="P553" s="108">
        <f>COUNTIFS($E:$E,$E553,$M:$M,"&gt;"&amp;$M553)+1</f>
        <v/>
      </c>
      <c r="Q553" s="108">
        <f>COUNTIFS($E:$E,$E553,$N:$N,"&gt;"&amp;$N553)+1</f>
        <v/>
      </c>
      <c r="R553" s="95" t="inlineStr">
        <is>
          <t>➡️ Neutral</t>
        </is>
      </c>
      <c r="S553" s="95" t="inlineStr">
        <is>
          <t>⏳ New Fund</t>
        </is>
      </c>
      <c r="T553" s="95" t="inlineStr">
        <is>
          <t>⏳ New Fund</t>
        </is>
      </c>
      <c r="U553" s="96" t="inlineStr">
        <is>
          <t>MOMENTUM_ONLY</t>
        </is>
      </c>
    </row>
    <row r="554" ht="16" customHeight="1">
      <c r="A554" s="92" t="n">
        <v>550</v>
      </c>
      <c r="B554" s="93" t="inlineStr">
        <is>
          <t>Kotak CRISIL -IBX AAA Financial Services Index Sep-2027 Fund-REGULAR PLAN-GROWTH</t>
        </is>
      </c>
      <c r="C554" s="93" t="inlineStr">
        <is>
          <t>Kotak Mahindra Mutual Fund</t>
        </is>
      </c>
      <c r="D554" s="93" t="inlineStr">
        <is>
          <t>Index Funds</t>
        </is>
      </c>
      <c r="E554" s="93" t="inlineStr">
        <is>
          <t>Banking/Financial</t>
        </is>
      </c>
      <c r="F554" s="94" t="n">
        <v>0.62</v>
      </c>
      <c r="G554" s="94" t="n">
        <v>2.16</v>
      </c>
      <c r="H554" s="94" t="n">
        <v>3.03</v>
      </c>
      <c r="I554" s="94" t="n">
        <v>6.12</v>
      </c>
      <c r="J554" s="94" t="n">
        <v>0</v>
      </c>
      <c r="K554" s="94" t="n">
        <v>0</v>
      </c>
      <c r="L554" s="17" t="n">
        <v>58.8</v>
      </c>
      <c r="M554" s="18" t="n">
        <v>0</v>
      </c>
      <c r="N554" s="19" t="n">
        <v>32.3</v>
      </c>
      <c r="O554" s="108">
        <f>COUNTIFS($E:$E,$E554,$L:$L,"&gt;"&amp;$L554)+1</f>
        <v/>
      </c>
      <c r="P554" s="108">
        <f>COUNTIFS($E:$E,$E554,$M:$M,"&gt;"&amp;$M554)+1</f>
        <v/>
      </c>
      <c r="Q554" s="108">
        <f>COUNTIFS($E:$E,$E554,$N:$N,"&gt;"&amp;$N554)+1</f>
        <v/>
      </c>
      <c r="R554" s="95" t="inlineStr">
        <is>
          <t>➡️ Neutral</t>
        </is>
      </c>
      <c r="S554" s="95" t="inlineStr">
        <is>
          <t>⏳ New Fund</t>
        </is>
      </c>
      <c r="T554" s="95" t="inlineStr">
        <is>
          <t>⏳ New Fund</t>
        </is>
      </c>
      <c r="U554" s="96" t="inlineStr">
        <is>
          <t>MOMENTUM_ONLY</t>
        </is>
      </c>
    </row>
    <row r="555" ht="16" customHeight="1">
      <c r="A555" s="92" t="n">
        <v>551</v>
      </c>
      <c r="B555" s="93" t="inlineStr">
        <is>
          <t>Baroda BNP Paribas Income Plus Arbitrage Active FOF Regular Growth</t>
        </is>
      </c>
      <c r="C555" s="93" t="inlineStr">
        <is>
          <t>Baroda BNP Paribas Mutual Fund</t>
        </is>
      </c>
      <c r="D555" s="93" t="inlineStr">
        <is>
          <t>Fof Domestic</t>
        </is>
      </c>
      <c r="E555" s="93" t="inlineStr">
        <is>
          <t>Standard Equity/Debt</t>
        </is>
      </c>
      <c r="F555" s="94" t="n">
        <v>0.53</v>
      </c>
      <c r="G555" s="94" t="n">
        <v>2.34</v>
      </c>
      <c r="H555" s="94" t="n">
        <v>3.13</v>
      </c>
      <c r="I555" s="94" t="n">
        <v>6.09</v>
      </c>
      <c r="J555" s="94" t="n">
        <v>0</v>
      </c>
      <c r="K555" s="94" t="n">
        <v>0</v>
      </c>
      <c r="L555" s="17" t="n">
        <v>58.7</v>
      </c>
      <c r="M555" s="18" t="n">
        <v>0</v>
      </c>
      <c r="N555" s="19" t="n">
        <v>32.3</v>
      </c>
      <c r="O555" s="108">
        <f>COUNTIFS($E:$E,$E555,$L:$L,"&gt;"&amp;$L555)+1</f>
        <v/>
      </c>
      <c r="P555" s="108">
        <f>COUNTIFS($E:$E,$E555,$M:$M,"&gt;"&amp;$M555)+1</f>
        <v/>
      </c>
      <c r="Q555" s="108">
        <f>COUNTIFS($E:$E,$E555,$N:$N,"&gt;"&amp;$N555)+1</f>
        <v/>
      </c>
      <c r="R555" s="95" t="inlineStr">
        <is>
          <t>➡️ Neutral</t>
        </is>
      </c>
      <c r="S555" s="95" t="inlineStr">
        <is>
          <t>⏳ New Fund</t>
        </is>
      </c>
      <c r="T555" s="95" t="inlineStr">
        <is>
          <t>⏳ New Fund</t>
        </is>
      </c>
      <c r="U555" s="96" t="inlineStr">
        <is>
          <t>MOMENTUM_ONLY</t>
        </is>
      </c>
    </row>
    <row r="556" ht="16" customHeight="1">
      <c r="A556" s="92" t="n">
        <v>552</v>
      </c>
      <c r="B556" s="93" t="inlineStr">
        <is>
          <t>Aditya Birla Sun Life Crisil IBX Gilt Apr 2033 Index Fund-Regular Growth</t>
        </is>
      </c>
      <c r="C556" s="93" t="inlineStr">
        <is>
          <t>Aditya Birla Sun Life Mutual Fund</t>
        </is>
      </c>
      <c r="D556" s="93" t="inlineStr">
        <is>
          <t>Index Funds</t>
        </is>
      </c>
      <c r="E556" s="93" t="inlineStr">
        <is>
          <t>GILT</t>
        </is>
      </c>
      <c r="F556" s="94" t="n">
        <v>0.5</v>
      </c>
      <c r="G556" s="94" t="n">
        <v>3.55</v>
      </c>
      <c r="H556" s="94" t="n">
        <v>3.44</v>
      </c>
      <c r="I556" s="94" t="n">
        <v>5.67</v>
      </c>
      <c r="J556" s="94" t="n">
        <v>7.26136303441236</v>
      </c>
      <c r="K556" s="94" t="n">
        <v>0</v>
      </c>
      <c r="L556" s="17" t="n">
        <v>58.5</v>
      </c>
      <c r="M556" s="18" t="n">
        <v>0</v>
      </c>
      <c r="N556" s="19" t="n">
        <v>32.2</v>
      </c>
      <c r="O556" s="108">
        <f>COUNTIFS($E:$E,$E556,$L:$L,"&gt;"&amp;$L556)+1</f>
        <v/>
      </c>
      <c r="P556" s="108">
        <f>COUNTIFS($E:$E,$E556,$M:$M,"&gt;"&amp;$M556)+1</f>
        <v/>
      </c>
      <c r="Q556" s="108">
        <f>COUNTIFS($E:$E,$E556,$N:$N,"&gt;"&amp;$N556)+1</f>
        <v/>
      </c>
      <c r="R556" s="95" t="inlineStr">
        <is>
          <t>➡️ Neutral</t>
        </is>
      </c>
      <c r="S556" s="95" t="inlineStr">
        <is>
          <t>⏳ New Fund</t>
        </is>
      </c>
      <c r="T556" s="95" t="inlineStr">
        <is>
          <t>⏳ New Fund</t>
        </is>
      </c>
      <c r="U556" s="96" t="inlineStr">
        <is>
          <t>MOMENTUM_ONLY</t>
        </is>
      </c>
    </row>
    <row r="557" ht="16" customHeight="1">
      <c r="A557" s="92" t="n">
        <v>553</v>
      </c>
      <c r="B557" s="93" t="inlineStr">
        <is>
          <t>Aditya Birla Sun Life Crisil-IBX AAA NBFC-HFC Index-Sep 2026 Fund-Regular Growth</t>
        </is>
      </c>
      <c r="C557" s="93" t="inlineStr">
        <is>
          <t>Aditya Birla Sun Life Mutual Fund</t>
        </is>
      </c>
      <c r="D557" s="93" t="inlineStr">
        <is>
          <t>Index Funds</t>
        </is>
      </c>
      <c r="E557" s="93" t="inlineStr">
        <is>
          <t>Index Fund</t>
        </is>
      </c>
      <c r="F557" s="94" t="n">
        <v>0.55</v>
      </c>
      <c r="G557" s="94" t="n">
        <v>1.75</v>
      </c>
      <c r="H557" s="94" t="n">
        <v>3.47</v>
      </c>
      <c r="I557" s="94" t="n">
        <v>6.59</v>
      </c>
      <c r="J557" s="94" t="n">
        <v>0</v>
      </c>
      <c r="K557" s="94" t="n">
        <v>0</v>
      </c>
      <c r="L557" s="17" t="n">
        <v>58.4</v>
      </c>
      <c r="M557" s="18" t="n">
        <v>0</v>
      </c>
      <c r="N557" s="19" t="n">
        <v>32.1</v>
      </c>
      <c r="O557" s="108">
        <f>COUNTIFS($E:$E,$E557,$L:$L,"&gt;"&amp;$L557)+1</f>
        <v/>
      </c>
      <c r="P557" s="108">
        <f>COUNTIFS($E:$E,$E557,$M:$M,"&gt;"&amp;$M557)+1</f>
        <v/>
      </c>
      <c r="Q557" s="108">
        <f>COUNTIFS($E:$E,$E557,$N:$N,"&gt;"&amp;$N557)+1</f>
        <v/>
      </c>
      <c r="R557" s="95" t="inlineStr">
        <is>
          <t>➡️ Neutral</t>
        </is>
      </c>
      <c r="S557" s="95" t="inlineStr">
        <is>
          <t>⏳ New Fund</t>
        </is>
      </c>
      <c r="T557" s="95" t="inlineStr">
        <is>
          <t>⏳ New Fund</t>
        </is>
      </c>
      <c r="U557" s="96" t="inlineStr">
        <is>
          <t>MOMENTUM_ONLY</t>
        </is>
      </c>
    </row>
    <row r="558" ht="16" customHeight="1">
      <c r="A558" s="92" t="n">
        <v>554</v>
      </c>
      <c r="B558" s="93" t="inlineStr">
        <is>
          <t>Bandhan CRISIL-IBX Financial Services 3-6 Months Debt Index Fund - Regular Plan - Growth</t>
        </is>
      </c>
      <c r="C558" s="93" t="inlineStr">
        <is>
          <t>Bandhan Mutual Fund</t>
        </is>
      </c>
      <c r="D558" s="93" t="inlineStr">
        <is>
          <t>Index Funds</t>
        </is>
      </c>
      <c r="E558" s="93" t="inlineStr">
        <is>
          <t>Banking/Financial</t>
        </is>
      </c>
      <c r="F558" s="94" t="n">
        <v>0.62</v>
      </c>
      <c r="G558" s="94" t="n">
        <v>1.82</v>
      </c>
      <c r="H558" s="94" t="n">
        <v>3.31</v>
      </c>
      <c r="I558" s="94" t="n">
        <v>6.04</v>
      </c>
      <c r="J558" s="94" t="n">
        <v>0</v>
      </c>
      <c r="K558" s="94" t="n">
        <v>0</v>
      </c>
      <c r="L558" s="17" t="n">
        <v>58.2</v>
      </c>
      <c r="M558" s="18" t="n">
        <v>0</v>
      </c>
      <c r="N558" s="19" t="n">
        <v>32</v>
      </c>
      <c r="O558" s="108">
        <f>COUNTIFS($E:$E,$E558,$L:$L,"&gt;"&amp;$L558)+1</f>
        <v/>
      </c>
      <c r="P558" s="108">
        <f>COUNTIFS($E:$E,$E558,$M:$M,"&gt;"&amp;$M558)+1</f>
        <v/>
      </c>
      <c r="Q558" s="108">
        <f>COUNTIFS($E:$E,$E558,$N:$N,"&gt;"&amp;$N558)+1</f>
        <v/>
      </c>
      <c r="R558" s="95" t="inlineStr">
        <is>
          <t>➡️ Neutral</t>
        </is>
      </c>
      <c r="S558" s="95" t="inlineStr">
        <is>
          <t>⏳ New Fund</t>
        </is>
      </c>
      <c r="T558" s="95" t="inlineStr">
        <is>
          <t>⏳ New Fund</t>
        </is>
      </c>
      <c r="U558" s="96" t="inlineStr">
        <is>
          <t>MOMENTUM_ONLY</t>
        </is>
      </c>
    </row>
    <row r="559" ht="16" customHeight="1">
      <c r="A559" s="92" t="n">
        <v>555</v>
      </c>
      <c r="B559" s="93" t="inlineStr">
        <is>
          <t>Tata BSE Quality Index Fund Regular plan Growth Option</t>
        </is>
      </c>
      <c r="C559" s="93" t="inlineStr">
        <is>
          <t>Tata Mutual Fund</t>
        </is>
      </c>
      <c r="D559" s="93" t="inlineStr">
        <is>
          <t>Index Funds</t>
        </is>
      </c>
      <c r="E559" s="93" t="inlineStr">
        <is>
          <t>Index Fund</t>
        </is>
      </c>
      <c r="F559" s="94" t="n">
        <v>0.86</v>
      </c>
      <c r="G559" s="94" t="n">
        <v>1.18</v>
      </c>
      <c r="H559" s="94" t="n">
        <v>2.85</v>
      </c>
      <c r="I559" s="94" t="n">
        <v>7.4</v>
      </c>
      <c r="J559" s="94" t="n">
        <v>0</v>
      </c>
      <c r="K559" s="94" t="n">
        <v>0</v>
      </c>
      <c r="L559" s="17" t="n">
        <v>58.1</v>
      </c>
      <c r="M559" s="18" t="n">
        <v>0</v>
      </c>
      <c r="N559" s="19" t="n">
        <v>32</v>
      </c>
      <c r="O559" s="108">
        <f>COUNTIFS($E:$E,$E559,$L:$L,"&gt;"&amp;$L559)+1</f>
        <v/>
      </c>
      <c r="P559" s="108">
        <f>COUNTIFS($E:$E,$E559,$M:$M,"&gt;"&amp;$M559)+1</f>
        <v/>
      </c>
      <c r="Q559" s="108">
        <f>COUNTIFS($E:$E,$E559,$N:$N,"&gt;"&amp;$N559)+1</f>
        <v/>
      </c>
      <c r="R559" s="95" t="inlineStr">
        <is>
          <t>➡️ Neutral</t>
        </is>
      </c>
      <c r="S559" s="95" t="inlineStr">
        <is>
          <t>⏳ New Fund</t>
        </is>
      </c>
      <c r="T559" s="95" t="inlineStr">
        <is>
          <t>⏳ New Fund</t>
        </is>
      </c>
      <c r="U559" s="96" t="inlineStr">
        <is>
          <t>MOMENTUM_ONLY</t>
        </is>
      </c>
    </row>
    <row r="560" ht="16" customHeight="1">
      <c r="A560" s="92" t="n">
        <v>556</v>
      </c>
      <c r="B560" s="93" t="inlineStr">
        <is>
          <t>Tata BSE Multicap Consumption 50:30:20 Index Fund - Regular Plan Growth Option</t>
        </is>
      </c>
      <c r="C560" s="93" t="inlineStr">
        <is>
          <t>Tata Mutual Fund</t>
        </is>
      </c>
      <c r="D560" s="93" t="inlineStr">
        <is>
          <t>Index Funds</t>
        </is>
      </c>
      <c r="E560" s="93" t="inlineStr">
        <is>
          <t>Index Fund</t>
        </is>
      </c>
      <c r="F560" s="94" t="n">
        <v>2.85</v>
      </c>
      <c r="G560" s="94" t="n">
        <v>8.31</v>
      </c>
      <c r="H560" s="94" t="n">
        <v>1.99</v>
      </c>
      <c r="I560" s="94" t="n">
        <v>0</v>
      </c>
      <c r="J560" s="94" t="n">
        <v>0</v>
      </c>
      <c r="K560" s="94" t="n">
        <v>0</v>
      </c>
      <c r="L560" s="17" t="n">
        <v>58</v>
      </c>
      <c r="M560" s="18" t="n">
        <v>0</v>
      </c>
      <c r="N560" s="19" t="n">
        <v>31.9</v>
      </c>
      <c r="O560" s="108">
        <f>COUNTIFS($E:$E,$E560,$L:$L,"&gt;"&amp;$L560)+1</f>
        <v/>
      </c>
      <c r="P560" s="108">
        <f>COUNTIFS($E:$E,$E560,$M:$M,"&gt;"&amp;$M560)+1</f>
        <v/>
      </c>
      <c r="Q560" s="108">
        <f>COUNTIFS($E:$E,$E560,$N:$N,"&gt;"&amp;$N560)+1</f>
        <v/>
      </c>
      <c r="R560" s="95" t="inlineStr">
        <is>
          <t>➡️ Neutral</t>
        </is>
      </c>
      <c r="S560" s="95" t="inlineStr">
        <is>
          <t>⏳ New Fund</t>
        </is>
      </c>
      <c r="T560" s="95" t="inlineStr">
        <is>
          <t>⏳ New Fund</t>
        </is>
      </c>
      <c r="U560" s="96" t="inlineStr">
        <is>
          <t>MOMENTUM_ONLY</t>
        </is>
      </c>
    </row>
    <row r="561" ht="16" customHeight="1">
      <c r="A561" s="92" t="n">
        <v>557</v>
      </c>
      <c r="B561" s="93" t="inlineStr">
        <is>
          <t>Motilal Oswal Nifty 500 ETF</t>
        </is>
      </c>
      <c r="C561" s="93" t="inlineStr">
        <is>
          <t>Motilal Oswal Mutual Fund</t>
        </is>
      </c>
      <c r="D561" s="93" t="inlineStr">
        <is>
          <t>Other  Etfs</t>
        </is>
      </c>
      <c r="E561" s="93" t="inlineStr">
        <is>
          <t>Index Fund</t>
        </is>
      </c>
      <c r="F561" s="94" t="n">
        <v>0.74</v>
      </c>
      <c r="G561" s="94" t="n">
        <v>4.71</v>
      </c>
      <c r="H561" s="97" t="n">
        <v>-0.21</v>
      </c>
      <c r="I561" s="94" t="n">
        <v>4.26</v>
      </c>
      <c r="J561" s="94" t="n">
        <v>1.700540804855111</v>
      </c>
      <c r="K561" s="94" t="n">
        <v>0</v>
      </c>
      <c r="L561" s="17" t="n">
        <v>57.9</v>
      </c>
      <c r="M561" s="18" t="n">
        <v>0</v>
      </c>
      <c r="N561" s="19" t="n">
        <v>31.9</v>
      </c>
      <c r="O561" s="108">
        <f>COUNTIFS($E:$E,$E561,$L:$L,"&gt;"&amp;$L561)+1</f>
        <v/>
      </c>
      <c r="P561" s="108">
        <f>COUNTIFS($E:$E,$E561,$M:$M,"&gt;"&amp;$M561)+1</f>
        <v/>
      </c>
      <c r="Q561" s="108">
        <f>COUNTIFS($E:$E,$E561,$N:$N,"&gt;"&amp;$N561)+1</f>
        <v/>
      </c>
      <c r="R561" s="95" t="inlineStr">
        <is>
          <t>➡️ Neutral</t>
        </is>
      </c>
      <c r="S561" s="95" t="inlineStr">
        <is>
          <t>⏳ New Fund</t>
        </is>
      </c>
      <c r="T561" s="95" t="inlineStr">
        <is>
          <t>⏳ New Fund</t>
        </is>
      </c>
      <c r="U561" s="96" t="inlineStr">
        <is>
          <t>MOMENTUM_ONLY</t>
        </is>
      </c>
    </row>
    <row r="562" ht="16" customHeight="1">
      <c r="A562" s="92" t="n">
        <v>558</v>
      </c>
      <c r="B562" s="93" t="inlineStr">
        <is>
          <t>Zerodha Gold ETF</t>
        </is>
      </c>
      <c r="C562" s="93" t="inlineStr">
        <is>
          <t>Zerodha Mutual Fund</t>
        </is>
      </c>
      <c r="D562" s="93" t="inlineStr">
        <is>
          <t>Gold Etf</t>
        </is>
      </c>
      <c r="E562" s="93" t="inlineStr">
        <is>
          <t>Gold</t>
        </is>
      </c>
      <c r="F562" s="94" t="n">
        <v>9.109999999999999</v>
      </c>
      <c r="G562" s="97" t="n">
        <v>-3.16</v>
      </c>
      <c r="H562" s="94" t="n">
        <v>1.27</v>
      </c>
      <c r="I562" s="94" t="n">
        <v>52.36</v>
      </c>
      <c r="J562" s="94" t="n">
        <v>46.13350060817676</v>
      </c>
      <c r="K562" s="94" t="n">
        <v>0</v>
      </c>
      <c r="L562" s="17" t="n">
        <v>57.7</v>
      </c>
      <c r="M562" s="18" t="n">
        <v>0</v>
      </c>
      <c r="N562" s="19" t="n">
        <v>31.8</v>
      </c>
      <c r="O562" s="108">
        <f>COUNTIFS($E:$E,$E562,$L:$L,"&gt;"&amp;$L562)+1</f>
        <v/>
      </c>
      <c r="P562" s="108">
        <f>COUNTIFS($E:$E,$E562,$M:$M,"&gt;"&amp;$M562)+1</f>
        <v/>
      </c>
      <c r="Q562" s="108">
        <f>COUNTIFS($E:$E,$E562,$N:$N,"&gt;"&amp;$N562)+1</f>
        <v/>
      </c>
      <c r="R562" s="95" t="inlineStr">
        <is>
          <t>➡️ Neutral</t>
        </is>
      </c>
      <c r="S562" s="95" t="inlineStr">
        <is>
          <t>⏳ New Fund</t>
        </is>
      </c>
      <c r="T562" s="95" t="inlineStr">
        <is>
          <t>⏳ New Fund</t>
        </is>
      </c>
      <c r="U562" s="96" t="inlineStr">
        <is>
          <t>MOMENTUM_ONLY</t>
        </is>
      </c>
    </row>
    <row r="563" ht="16" customHeight="1">
      <c r="A563" s="92" t="n">
        <v>559</v>
      </c>
      <c r="B563" s="93" t="inlineStr">
        <is>
          <t>HDFC NIFTY LargeMidcap 250 Index Fund - Growth Option</t>
        </is>
      </c>
      <c r="C563" s="93" t="inlineStr">
        <is>
          <t>HDFC Mutual Fund</t>
        </is>
      </c>
      <c r="D563" s="93" t="inlineStr">
        <is>
          <t>Index Funds</t>
        </is>
      </c>
      <c r="E563" s="93" t="inlineStr">
        <is>
          <t>Index Fund</t>
        </is>
      </c>
      <c r="F563" s="94" t="n">
        <v>0.96</v>
      </c>
      <c r="G563" s="94" t="n">
        <v>4.11</v>
      </c>
      <c r="H563" s="94" t="n">
        <v>0.62</v>
      </c>
      <c r="I563" s="94" t="n">
        <v>5.78</v>
      </c>
      <c r="J563" s="94" t="n">
        <v>0</v>
      </c>
      <c r="K563" s="94" t="n">
        <v>0</v>
      </c>
      <c r="L563" s="17" t="n">
        <v>57.6</v>
      </c>
      <c r="M563" s="18" t="n">
        <v>0</v>
      </c>
      <c r="N563" s="19" t="n">
        <v>31.7</v>
      </c>
      <c r="O563" s="108">
        <f>COUNTIFS($E:$E,$E563,$L:$L,"&gt;"&amp;$L563)+1</f>
        <v/>
      </c>
      <c r="P563" s="108">
        <f>COUNTIFS($E:$E,$E563,$M:$M,"&gt;"&amp;$M563)+1</f>
        <v/>
      </c>
      <c r="Q563" s="108">
        <f>COUNTIFS($E:$E,$E563,$N:$N,"&gt;"&amp;$N563)+1</f>
        <v/>
      </c>
      <c r="R563" s="95" t="inlineStr">
        <is>
          <t>➡️ Neutral</t>
        </is>
      </c>
      <c r="S563" s="95" t="inlineStr">
        <is>
          <t>⏳ New Fund</t>
        </is>
      </c>
      <c r="T563" s="95" t="inlineStr">
        <is>
          <t>⏳ New Fund</t>
        </is>
      </c>
      <c r="U563" s="96" t="inlineStr">
        <is>
          <t>MOMENTUM_ONLY</t>
        </is>
      </c>
    </row>
    <row r="564" ht="16" customHeight="1">
      <c r="A564" s="92" t="n">
        <v>560</v>
      </c>
      <c r="B564" s="93" t="inlineStr">
        <is>
          <t>DSP Nifty Smallcap250 Quality 50 Index Fund - Regular - Growth</t>
        </is>
      </c>
      <c r="C564" s="93" t="inlineStr">
        <is>
          <t>DSP Mutual Fund</t>
        </is>
      </c>
      <c r="D564" s="93" t="inlineStr">
        <is>
          <t>Index Funds</t>
        </is>
      </c>
      <c r="E564" s="93" t="inlineStr">
        <is>
          <t>Index Fund</t>
        </is>
      </c>
      <c r="F564" s="94" t="n">
        <v>1.66</v>
      </c>
      <c r="G564" s="94" t="n">
        <v>4.64</v>
      </c>
      <c r="H564" s="94" t="n">
        <v>4.38</v>
      </c>
      <c r="I564" s="97" t="n">
        <v>-2.89</v>
      </c>
      <c r="J564" s="97" t="n">
        <v>-5.591313958937016</v>
      </c>
      <c r="K564" s="94" t="n">
        <v>0</v>
      </c>
      <c r="L564" s="17" t="n">
        <v>57.6</v>
      </c>
      <c r="M564" s="18" t="n">
        <v>0</v>
      </c>
      <c r="N564" s="19" t="n">
        <v>31.7</v>
      </c>
      <c r="O564" s="108">
        <f>COUNTIFS($E:$E,$E564,$L:$L,"&gt;"&amp;$L564)+1</f>
        <v/>
      </c>
      <c r="P564" s="108">
        <f>COUNTIFS($E:$E,$E564,$M:$M,"&gt;"&amp;$M564)+1</f>
        <v/>
      </c>
      <c r="Q564" s="108">
        <f>COUNTIFS($E:$E,$E564,$N:$N,"&gt;"&amp;$N564)+1</f>
        <v/>
      </c>
      <c r="R564" s="95" t="inlineStr">
        <is>
          <t>➡️ Neutral</t>
        </is>
      </c>
      <c r="S564" s="95" t="inlineStr">
        <is>
          <t>⏳ New Fund</t>
        </is>
      </c>
      <c r="T564" s="95" t="inlineStr">
        <is>
          <t>⏳ New Fund</t>
        </is>
      </c>
      <c r="U564" s="96" t="inlineStr">
        <is>
          <t>MOMENTUM_ONLY</t>
        </is>
      </c>
    </row>
    <row r="565" ht="16" customHeight="1">
      <c r="A565" s="92" t="n">
        <v>561</v>
      </c>
      <c r="B565" s="93" t="inlineStr">
        <is>
          <t>DSP Nifty500 Flexicap Quality 30 ETF</t>
        </is>
      </c>
      <c r="C565" s="93" t="inlineStr">
        <is>
          <t>DSP Mutual Fund</t>
        </is>
      </c>
      <c r="D565" s="93" t="inlineStr">
        <is>
          <t>Other  Etfs</t>
        </is>
      </c>
      <c r="E565" s="93" t="inlineStr">
        <is>
          <t>Index Fund</t>
        </is>
      </c>
      <c r="F565" s="94" t="n">
        <v>2.91</v>
      </c>
      <c r="G565" s="94" t="n">
        <v>5.58</v>
      </c>
      <c r="H565" s="94" t="n">
        <v>0.66</v>
      </c>
      <c r="I565" s="94" t="n">
        <v>0</v>
      </c>
      <c r="J565" s="94" t="n">
        <v>0</v>
      </c>
      <c r="K565" s="94" t="n">
        <v>0</v>
      </c>
      <c r="L565" s="17" t="n">
        <v>57.5</v>
      </c>
      <c r="M565" s="18" t="n">
        <v>0</v>
      </c>
      <c r="N565" s="19" t="n">
        <v>31.6</v>
      </c>
      <c r="O565" s="108">
        <f>COUNTIFS($E:$E,$E565,$L:$L,"&gt;"&amp;$L565)+1</f>
        <v/>
      </c>
      <c r="P565" s="108">
        <f>COUNTIFS($E:$E,$E565,$M:$M,"&gt;"&amp;$M565)+1</f>
        <v/>
      </c>
      <c r="Q565" s="108">
        <f>COUNTIFS($E:$E,$E565,$N:$N,"&gt;"&amp;$N565)+1</f>
        <v/>
      </c>
      <c r="R565" s="95" t="inlineStr">
        <is>
          <t>➡️ Neutral</t>
        </is>
      </c>
      <c r="S565" s="95" t="inlineStr">
        <is>
          <t>⏳ New Fund</t>
        </is>
      </c>
      <c r="T565" s="95" t="inlineStr">
        <is>
          <t>⏳ New Fund</t>
        </is>
      </c>
      <c r="U565" s="96" t="inlineStr">
        <is>
          <t>MOMENTUM_ONLY</t>
        </is>
      </c>
    </row>
    <row r="566" ht="16" customHeight="1">
      <c r="A566" s="92" t="n">
        <v>562</v>
      </c>
      <c r="B566" s="93" t="inlineStr">
        <is>
          <t>Motilal Oswal Nifty Capital Market ETF</t>
        </is>
      </c>
      <c r="C566" s="93" t="inlineStr">
        <is>
          <t>Motilal Oswal Mutual Fund</t>
        </is>
      </c>
      <c r="D566" s="93" t="inlineStr">
        <is>
          <t>Other  Etfs</t>
        </is>
      </c>
      <c r="E566" s="93" t="inlineStr">
        <is>
          <t>Index Fund</t>
        </is>
      </c>
      <c r="F566" s="97" t="n">
        <v>-1.29</v>
      </c>
      <c r="G566" s="97" t="n">
        <v>-4.4</v>
      </c>
      <c r="H566" s="94" t="n">
        <v>11.96</v>
      </c>
      <c r="I566" s="94" t="n">
        <v>20.81</v>
      </c>
      <c r="J566" s="94" t="n">
        <v>0</v>
      </c>
      <c r="K566" s="94" t="n">
        <v>0</v>
      </c>
      <c r="L566" s="17" t="n">
        <v>57.5</v>
      </c>
      <c r="M566" s="18" t="n">
        <v>0</v>
      </c>
      <c r="N566" s="19" t="n">
        <v>31.6</v>
      </c>
      <c r="O566" s="108">
        <f>COUNTIFS($E:$E,$E566,$L:$L,"&gt;"&amp;$L566)+1</f>
        <v/>
      </c>
      <c r="P566" s="108">
        <f>COUNTIFS($E:$E,$E566,$M:$M,"&gt;"&amp;$M566)+1</f>
        <v/>
      </c>
      <c r="Q566" s="108">
        <f>COUNTIFS($E:$E,$E566,$N:$N,"&gt;"&amp;$N566)+1</f>
        <v/>
      </c>
      <c r="R566" s="95" t="inlineStr">
        <is>
          <t>➡️ Neutral</t>
        </is>
      </c>
      <c r="S566" s="95" t="inlineStr">
        <is>
          <t>⏳ New Fund</t>
        </is>
      </c>
      <c r="T566" s="95" t="inlineStr">
        <is>
          <t>⏳ New Fund</t>
        </is>
      </c>
      <c r="U566" s="96" t="inlineStr">
        <is>
          <t>MOMENTUM_ONLY</t>
        </is>
      </c>
    </row>
    <row r="567" ht="16" customHeight="1">
      <c r="A567" s="92" t="n">
        <v>563</v>
      </c>
      <c r="B567" s="93" t="inlineStr">
        <is>
          <t>ICICI Prudential Nifty LargeMidcap 250 Index Fund - Growth</t>
        </is>
      </c>
      <c r="C567" s="93" t="inlineStr">
        <is>
          <t>ICICI Prudential Mutual Fund</t>
        </is>
      </c>
      <c r="D567" s="93" t="inlineStr">
        <is>
          <t>Index Funds</t>
        </is>
      </c>
      <c r="E567" s="93" t="inlineStr">
        <is>
          <t>Index Fund</t>
        </is>
      </c>
      <c r="F567" s="94" t="n">
        <v>0.96</v>
      </c>
      <c r="G567" s="94" t="n">
        <v>4.08</v>
      </c>
      <c r="H567" s="94" t="n">
        <v>0.63</v>
      </c>
      <c r="I567" s="94" t="n">
        <v>5.76</v>
      </c>
      <c r="J567" s="94" t="n">
        <v>2.190997646563764</v>
      </c>
      <c r="K567" s="94" t="n">
        <v>0</v>
      </c>
      <c r="L567" s="17" t="n">
        <v>57.4</v>
      </c>
      <c r="M567" s="18" t="n">
        <v>0</v>
      </c>
      <c r="N567" s="19" t="n">
        <v>31.5</v>
      </c>
      <c r="O567" s="108">
        <f>COUNTIFS($E:$E,$E567,$L:$L,"&gt;"&amp;$L567)+1</f>
        <v/>
      </c>
      <c r="P567" s="108">
        <f>COUNTIFS($E:$E,$E567,$M:$M,"&gt;"&amp;$M567)+1</f>
        <v/>
      </c>
      <c r="Q567" s="108">
        <f>COUNTIFS($E:$E,$E567,$N:$N,"&gt;"&amp;$N567)+1</f>
        <v/>
      </c>
      <c r="R567" s="95" t="inlineStr">
        <is>
          <t>➡️ Neutral</t>
        </is>
      </c>
      <c r="S567" s="95" t="inlineStr">
        <is>
          <t>⏳ New Fund</t>
        </is>
      </c>
      <c r="T567" s="95" t="inlineStr">
        <is>
          <t>⏳ New Fund</t>
        </is>
      </c>
      <c r="U567" s="96" t="inlineStr">
        <is>
          <t>MOMENTUM_ONLY</t>
        </is>
      </c>
    </row>
    <row r="568" ht="16" customHeight="1">
      <c r="A568" s="92" t="n">
        <v>564</v>
      </c>
      <c r="B568" s="93" t="inlineStr">
        <is>
          <t>Motilal Oswal Nifty Midcap150 Momentum 50 ETF</t>
        </is>
      </c>
      <c r="C568" s="93" t="inlineStr">
        <is>
          <t>Motilal Oswal Mutual Fund</t>
        </is>
      </c>
      <c r="D568" s="93" t="inlineStr">
        <is>
          <t>Other  Etfs</t>
        </is>
      </c>
      <c r="E568" s="93" t="inlineStr">
        <is>
          <t>Index Fund</t>
        </is>
      </c>
      <c r="F568" s="94" t="n">
        <v>3.2</v>
      </c>
      <c r="G568" s="94" t="n">
        <v>3.17</v>
      </c>
      <c r="H568" s="94" t="n">
        <v>1.82</v>
      </c>
      <c r="I568" s="94" t="n">
        <v>5.6</v>
      </c>
      <c r="J568" s="94" t="n">
        <v>0</v>
      </c>
      <c r="K568" s="94" t="n">
        <v>0</v>
      </c>
      <c r="L568" s="17" t="n">
        <v>57.4</v>
      </c>
      <c r="M568" s="18" t="n">
        <v>0</v>
      </c>
      <c r="N568" s="19" t="n">
        <v>31.5</v>
      </c>
      <c r="O568" s="108">
        <f>COUNTIFS($E:$E,$E568,$L:$L,"&gt;"&amp;$L568)+1</f>
        <v/>
      </c>
      <c r="P568" s="108">
        <f>COUNTIFS($E:$E,$E568,$M:$M,"&gt;"&amp;$M568)+1</f>
        <v/>
      </c>
      <c r="Q568" s="108">
        <f>COUNTIFS($E:$E,$E568,$N:$N,"&gt;"&amp;$N568)+1</f>
        <v/>
      </c>
      <c r="R568" s="95" t="inlineStr">
        <is>
          <t>➡️ Neutral</t>
        </is>
      </c>
      <c r="S568" s="95" t="inlineStr">
        <is>
          <t>⏳ New Fund</t>
        </is>
      </c>
      <c r="T568" s="95" t="inlineStr">
        <is>
          <t>⏳ New Fund</t>
        </is>
      </c>
      <c r="U568" s="96" t="inlineStr">
        <is>
          <t>MOMENTUM_ONLY</t>
        </is>
      </c>
    </row>
    <row r="569" ht="16" customHeight="1">
      <c r="A569" s="92" t="n">
        <v>565</v>
      </c>
      <c r="B569" s="93" t="inlineStr">
        <is>
          <t>Axis CRISIL-IBX AAA Bond NBFC-HFC - Jun 2027 Index Fund - Regular Plan - Growth option</t>
        </is>
      </c>
      <c r="C569" s="93" t="inlineStr">
        <is>
          <t>Axis Mutual Fund</t>
        </is>
      </c>
      <c r="D569" s="93" t="inlineStr">
        <is>
          <t>Index Funds</t>
        </is>
      </c>
      <c r="E569" s="93" t="inlineStr">
        <is>
          <t>Index Fund</t>
        </is>
      </c>
      <c r="F569" s="94" t="n">
        <v>0.58</v>
      </c>
      <c r="G569" s="94" t="n">
        <v>1.95</v>
      </c>
      <c r="H569" s="94" t="n">
        <v>3.08</v>
      </c>
      <c r="I569" s="94" t="n">
        <v>6.23</v>
      </c>
      <c r="J569" s="94" t="n">
        <v>0</v>
      </c>
      <c r="K569" s="94" t="n">
        <v>0</v>
      </c>
      <c r="L569" s="17" t="n">
        <v>57.2</v>
      </c>
      <c r="M569" s="18" t="n">
        <v>0</v>
      </c>
      <c r="N569" s="19" t="n">
        <v>31.5</v>
      </c>
      <c r="O569" s="108">
        <f>COUNTIFS($E:$E,$E569,$L:$L,"&gt;"&amp;$L569)+1</f>
        <v/>
      </c>
      <c r="P569" s="108">
        <f>COUNTIFS($E:$E,$E569,$M:$M,"&gt;"&amp;$M569)+1</f>
        <v/>
      </c>
      <c r="Q569" s="108">
        <f>COUNTIFS($E:$E,$E569,$N:$N,"&gt;"&amp;$N569)+1</f>
        <v/>
      </c>
      <c r="R569" s="95" t="inlineStr">
        <is>
          <t>➡️ Neutral</t>
        </is>
      </c>
      <c r="S569" s="95" t="inlineStr">
        <is>
          <t>⏳ New Fund</t>
        </is>
      </c>
      <c r="T569" s="95" t="inlineStr">
        <is>
          <t>⏳ New Fund</t>
        </is>
      </c>
      <c r="U569" s="96" t="inlineStr">
        <is>
          <t>MOMENTUM_ONLY</t>
        </is>
      </c>
    </row>
    <row r="570" ht="16" customHeight="1">
      <c r="A570" s="92" t="n">
        <v>566</v>
      </c>
      <c r="B570" s="93" t="inlineStr">
        <is>
          <t>Kotak Nifty G-Sec July 2033 Index Fund - Regular Plan - Growth</t>
        </is>
      </c>
      <c r="C570" s="93" t="inlineStr">
        <is>
          <t>Kotak Mahindra Mutual Fund</t>
        </is>
      </c>
      <c r="D570" s="93" t="inlineStr">
        <is>
          <t>Index Funds</t>
        </is>
      </c>
      <c r="E570" s="93" t="inlineStr">
        <is>
          <t>G-SEC</t>
        </is>
      </c>
      <c r="F570" s="94" t="n">
        <v>0.54</v>
      </c>
      <c r="G570" s="94" t="n">
        <v>3.66</v>
      </c>
      <c r="H570" s="94" t="n">
        <v>3.15</v>
      </c>
      <c r="I570" s="94" t="n">
        <v>5.51</v>
      </c>
      <c r="J570" s="94" t="n">
        <v>7.196082017954364</v>
      </c>
      <c r="K570" s="94" t="n">
        <v>0</v>
      </c>
      <c r="L570" s="17" t="n">
        <v>57</v>
      </c>
      <c r="M570" s="18" t="n">
        <v>0</v>
      </c>
      <c r="N570" s="19" t="n">
        <v>31.4</v>
      </c>
      <c r="O570" s="108">
        <f>COUNTIFS($E:$E,$E570,$L:$L,"&gt;"&amp;$L570)+1</f>
        <v/>
      </c>
      <c r="P570" s="108">
        <f>COUNTIFS($E:$E,$E570,$M:$M,"&gt;"&amp;$M570)+1</f>
        <v/>
      </c>
      <c r="Q570" s="108">
        <f>COUNTIFS($E:$E,$E570,$N:$N,"&gt;"&amp;$N570)+1</f>
        <v/>
      </c>
      <c r="R570" s="95" t="inlineStr">
        <is>
          <t>➡️ Neutral</t>
        </is>
      </c>
      <c r="S570" s="95" t="inlineStr">
        <is>
          <t>⏳ New Fund</t>
        </is>
      </c>
      <c r="T570" s="95" t="inlineStr">
        <is>
          <t>⏳ New Fund</t>
        </is>
      </c>
      <c r="U570" s="96" t="inlineStr">
        <is>
          <t>MOMENTUM_ONLY</t>
        </is>
      </c>
    </row>
    <row r="571" ht="16" customHeight="1">
      <c r="A571" s="92" t="n">
        <v>567</v>
      </c>
      <c r="B571" s="93" t="inlineStr">
        <is>
          <t>SBI Nifty India Consumption Index Fund- Regular Plan- Growth</t>
        </is>
      </c>
      <c r="C571" s="93" t="inlineStr">
        <is>
          <t>SBI Mutual Fund</t>
        </is>
      </c>
      <c r="D571" s="93" t="inlineStr">
        <is>
          <t>Index Funds</t>
        </is>
      </c>
      <c r="E571" s="93" t="inlineStr">
        <is>
          <t>Index Fund</t>
        </is>
      </c>
      <c r="F571" s="94" t="n">
        <v>2.77</v>
      </c>
      <c r="G571" s="94" t="n">
        <v>6.46</v>
      </c>
      <c r="H571" s="94" t="n">
        <v>0.9399999999999999</v>
      </c>
      <c r="I571" s="94" t="n">
        <v>1.24</v>
      </c>
      <c r="J571" s="94" t="n">
        <v>0</v>
      </c>
      <c r="K571" s="94" t="n">
        <v>0</v>
      </c>
      <c r="L571" s="17" t="n">
        <v>57</v>
      </c>
      <c r="M571" s="18" t="n">
        <v>0</v>
      </c>
      <c r="N571" s="19" t="n">
        <v>31.4</v>
      </c>
      <c r="O571" s="108">
        <f>COUNTIFS($E:$E,$E571,$L:$L,"&gt;"&amp;$L571)+1</f>
        <v/>
      </c>
      <c r="P571" s="108">
        <f>COUNTIFS($E:$E,$E571,$M:$M,"&gt;"&amp;$M571)+1</f>
        <v/>
      </c>
      <c r="Q571" s="108">
        <f>COUNTIFS($E:$E,$E571,$N:$N,"&gt;"&amp;$N571)+1</f>
        <v/>
      </c>
      <c r="R571" s="95" t="inlineStr">
        <is>
          <t>➡️ Neutral</t>
        </is>
      </c>
      <c r="S571" s="95" t="inlineStr">
        <is>
          <t>⏳ New Fund</t>
        </is>
      </c>
      <c r="T571" s="95" t="inlineStr">
        <is>
          <t>⏳ New Fund</t>
        </is>
      </c>
      <c r="U571" s="96" t="inlineStr">
        <is>
          <t>MOMENTUM_ONLY</t>
        </is>
      </c>
    </row>
    <row r="572" ht="16" customHeight="1">
      <c r="A572" s="92" t="n">
        <v>568</v>
      </c>
      <c r="B572" s="93" t="inlineStr">
        <is>
          <t>ADITYA BIRLA SUN LIFE CRISIL BROAD BASED GILT ETF</t>
        </is>
      </c>
      <c r="C572" s="93" t="inlineStr">
        <is>
          <t>Aditya Birla Sun Life Mutual Fund</t>
        </is>
      </c>
      <c r="D572" s="93" t="inlineStr">
        <is>
          <t>Other  Etfs</t>
        </is>
      </c>
      <c r="E572" s="93" t="inlineStr">
        <is>
          <t>GILT</t>
        </is>
      </c>
      <c r="F572" s="94" t="n">
        <v>0.54</v>
      </c>
      <c r="G572" s="94" t="n">
        <v>3.36</v>
      </c>
      <c r="H572" s="94" t="n">
        <v>2.47</v>
      </c>
      <c r="I572" s="94" t="n">
        <v>4.83</v>
      </c>
      <c r="J572" s="94" t="n">
        <v>6.339080304467548</v>
      </c>
      <c r="K572" s="94" t="n">
        <v>0</v>
      </c>
      <c r="L572" s="17" t="n">
        <v>57</v>
      </c>
      <c r="M572" s="18" t="n">
        <v>0</v>
      </c>
      <c r="N572" s="19" t="n">
        <v>31.4</v>
      </c>
      <c r="O572" s="108">
        <f>COUNTIFS($E:$E,$E572,$L:$L,"&gt;"&amp;$L572)+1</f>
        <v/>
      </c>
      <c r="P572" s="108">
        <f>COUNTIFS($E:$E,$E572,$M:$M,"&gt;"&amp;$M572)+1</f>
        <v/>
      </c>
      <c r="Q572" s="108">
        <f>COUNTIFS($E:$E,$E572,$N:$N,"&gt;"&amp;$N572)+1</f>
        <v/>
      </c>
      <c r="R572" s="95" t="inlineStr">
        <is>
          <t>➡️ Neutral</t>
        </is>
      </c>
      <c r="S572" s="95" t="inlineStr">
        <is>
          <t>⏳ New Fund</t>
        </is>
      </c>
      <c r="T572" s="95" t="inlineStr">
        <is>
          <t>⏳ New Fund</t>
        </is>
      </c>
      <c r="U572" s="96" t="inlineStr">
        <is>
          <t>MOMENTUM_ONLY</t>
        </is>
      </c>
    </row>
    <row r="573" ht="16" customHeight="1">
      <c r="A573" s="92" t="n">
        <v>569</v>
      </c>
      <c r="B573" s="93" t="inlineStr">
        <is>
          <t>HDFC NIFTY Reality Index Fund - Regular Plan</t>
        </is>
      </c>
      <c r="C573" s="93" t="inlineStr">
        <is>
          <t>HDFC Mutual Fund</t>
        </is>
      </c>
      <c r="D573" s="93" t="inlineStr">
        <is>
          <t>Index Funds</t>
        </is>
      </c>
      <c r="E573" s="93" t="inlineStr">
        <is>
          <t>Index Fund</t>
        </is>
      </c>
      <c r="F573" s="97" t="n">
        <v>-2.18</v>
      </c>
      <c r="G573" s="94" t="n">
        <v>17.64</v>
      </c>
      <c r="H573" s="94" t="n">
        <v>6.64</v>
      </c>
      <c r="I573" s="94" t="n">
        <v>1.46</v>
      </c>
      <c r="J573" s="97" t="n">
        <v>-8.016305792819999</v>
      </c>
      <c r="K573" s="94" t="n">
        <v>0</v>
      </c>
      <c r="L573" s="17" t="n">
        <v>57</v>
      </c>
      <c r="M573" s="18" t="n">
        <v>0</v>
      </c>
      <c r="N573" s="19" t="n">
        <v>31.3</v>
      </c>
      <c r="O573" s="108">
        <f>COUNTIFS($E:$E,$E573,$L:$L,"&gt;"&amp;$L573)+1</f>
        <v/>
      </c>
      <c r="P573" s="108">
        <f>COUNTIFS($E:$E,$E573,$M:$M,"&gt;"&amp;$M573)+1</f>
        <v/>
      </c>
      <c r="Q573" s="108">
        <f>COUNTIFS($E:$E,$E573,$N:$N,"&gt;"&amp;$N573)+1</f>
        <v/>
      </c>
      <c r="R573" s="95" t="inlineStr">
        <is>
          <t>➡️ Neutral</t>
        </is>
      </c>
      <c r="S573" s="95" t="inlineStr">
        <is>
          <t>⏳ New Fund</t>
        </is>
      </c>
      <c r="T573" s="95" t="inlineStr">
        <is>
          <t>⏳ New Fund</t>
        </is>
      </c>
      <c r="U573" s="96" t="inlineStr">
        <is>
          <t>MOMENTUM_ONLY</t>
        </is>
      </c>
    </row>
    <row r="574" ht="16" customHeight="1">
      <c r="A574" s="92" t="n">
        <v>570</v>
      </c>
      <c r="B574" s="93" t="inlineStr">
        <is>
          <t>Edelweiss CRISIL IBX AAA Financial Services - Jan 2028 Index Fund - Regular - Growth</t>
        </is>
      </c>
      <c r="C574" s="93" t="inlineStr">
        <is>
          <t>Edelweiss Mutual Fund</t>
        </is>
      </c>
      <c r="D574" s="93" t="inlineStr">
        <is>
          <t>Index Funds</t>
        </is>
      </c>
      <c r="E574" s="93" t="inlineStr">
        <is>
          <t>Banking/Financial</t>
        </is>
      </c>
      <c r="F574" s="94" t="n">
        <v>0.6</v>
      </c>
      <c r="G574" s="94" t="n">
        <v>2.22</v>
      </c>
      <c r="H574" s="94" t="n">
        <v>2.9</v>
      </c>
      <c r="I574" s="94" t="n">
        <v>6.09</v>
      </c>
      <c r="J574" s="94" t="n">
        <v>0</v>
      </c>
      <c r="K574" s="94" t="n">
        <v>0</v>
      </c>
      <c r="L574" s="17" t="n">
        <v>56.8</v>
      </c>
      <c r="M574" s="18" t="n">
        <v>0</v>
      </c>
      <c r="N574" s="19" t="n">
        <v>31.3</v>
      </c>
      <c r="O574" s="108">
        <f>COUNTIFS($E:$E,$E574,$L:$L,"&gt;"&amp;$L574)+1</f>
        <v/>
      </c>
      <c r="P574" s="108">
        <f>COUNTIFS($E:$E,$E574,$M:$M,"&gt;"&amp;$M574)+1</f>
        <v/>
      </c>
      <c r="Q574" s="108">
        <f>COUNTIFS($E:$E,$E574,$N:$N,"&gt;"&amp;$N574)+1</f>
        <v/>
      </c>
      <c r="R574" s="95" t="inlineStr">
        <is>
          <t>➡️ Neutral</t>
        </is>
      </c>
      <c r="S574" s="95" t="inlineStr">
        <is>
          <t>⏳ New Fund</t>
        </is>
      </c>
      <c r="T574" s="95" t="inlineStr">
        <is>
          <t>⏳ New Fund</t>
        </is>
      </c>
      <c r="U574" s="96" t="inlineStr">
        <is>
          <t>MOMENTUM_ONLY</t>
        </is>
      </c>
    </row>
    <row r="575" ht="16" customHeight="1">
      <c r="A575" s="92" t="n">
        <v>571</v>
      </c>
      <c r="B575" s="93" t="inlineStr">
        <is>
          <t>Edelweiss Nifty500 Multicap Momentum Quality 50 ETF - Growth</t>
        </is>
      </c>
      <c r="C575" s="93" t="inlineStr">
        <is>
          <t>Edelweiss Mutual Fund</t>
        </is>
      </c>
      <c r="D575" s="93" t="inlineStr">
        <is>
          <t>Other  Etfs</t>
        </is>
      </c>
      <c r="E575" s="93" t="inlineStr">
        <is>
          <t>Index Fund</t>
        </is>
      </c>
      <c r="F575" s="94" t="n">
        <v>3.27</v>
      </c>
      <c r="G575" s="97" t="n">
        <v>-0.5600000000000001</v>
      </c>
      <c r="H575" s="94" t="n">
        <v>1.95</v>
      </c>
      <c r="I575" s="94" t="n">
        <v>4.21</v>
      </c>
      <c r="J575" s="94" t="n">
        <v>0</v>
      </c>
      <c r="K575" s="94" t="n">
        <v>0</v>
      </c>
      <c r="L575" s="17" t="n">
        <v>56.8</v>
      </c>
      <c r="M575" s="18" t="n">
        <v>0</v>
      </c>
      <c r="N575" s="19" t="n">
        <v>31.3</v>
      </c>
      <c r="O575" s="108">
        <f>COUNTIFS($E:$E,$E575,$L:$L,"&gt;"&amp;$L575)+1</f>
        <v/>
      </c>
      <c r="P575" s="108">
        <f>COUNTIFS($E:$E,$E575,$M:$M,"&gt;"&amp;$M575)+1</f>
        <v/>
      </c>
      <c r="Q575" s="108">
        <f>COUNTIFS($E:$E,$E575,$N:$N,"&gt;"&amp;$N575)+1</f>
        <v/>
      </c>
      <c r="R575" s="95" t="inlineStr">
        <is>
          <t>➡️ Neutral</t>
        </is>
      </c>
      <c r="S575" s="95" t="inlineStr">
        <is>
          <t>⏳ New Fund</t>
        </is>
      </c>
      <c r="T575" s="95" t="inlineStr">
        <is>
          <t>⏳ New Fund</t>
        </is>
      </c>
      <c r="U575" s="96" t="inlineStr">
        <is>
          <t>MOMENTUM_ONLY</t>
        </is>
      </c>
    </row>
    <row r="576" ht="16" customHeight="1">
      <c r="A576" s="92" t="n">
        <v>572</v>
      </c>
      <c r="B576" s="93" t="inlineStr">
        <is>
          <t>Nippon India CRISIL - IBX AAA Financial Services - Jan 2028 Index Fund - Regular Plan - Growth Option</t>
        </is>
      </c>
      <c r="C576" s="93" t="inlineStr">
        <is>
          <t>Nippon India Mutual Fund</t>
        </is>
      </c>
      <c r="D576" s="93" t="inlineStr">
        <is>
          <t>Index Funds</t>
        </is>
      </c>
      <c r="E576" s="93" t="inlineStr">
        <is>
          <t>Banking/Financial</t>
        </is>
      </c>
      <c r="F576" s="94" t="n">
        <v>0.6</v>
      </c>
      <c r="G576" s="94" t="n">
        <v>2.27</v>
      </c>
      <c r="H576" s="94" t="n">
        <v>2.91</v>
      </c>
      <c r="I576" s="94" t="n">
        <v>5.97</v>
      </c>
      <c r="J576" s="94" t="n">
        <v>0</v>
      </c>
      <c r="K576" s="94" t="n">
        <v>0</v>
      </c>
      <c r="L576" s="17" t="n">
        <v>56.6</v>
      </c>
      <c r="M576" s="18" t="n">
        <v>0</v>
      </c>
      <c r="N576" s="19" t="n">
        <v>31.1</v>
      </c>
      <c r="O576" s="108">
        <f>COUNTIFS($E:$E,$E576,$L:$L,"&gt;"&amp;$L576)+1</f>
        <v/>
      </c>
      <c r="P576" s="108">
        <f>COUNTIFS($E:$E,$E576,$M:$M,"&gt;"&amp;$M576)+1</f>
        <v/>
      </c>
      <c r="Q576" s="108">
        <f>COUNTIFS($E:$E,$E576,$N:$N,"&gt;"&amp;$N576)+1</f>
        <v/>
      </c>
      <c r="R576" s="95" t="inlineStr">
        <is>
          <t>➡️ Neutral</t>
        </is>
      </c>
      <c r="S576" s="95" t="inlineStr">
        <is>
          <t>⏳ New Fund</t>
        </is>
      </c>
      <c r="T576" s="95" t="inlineStr">
        <is>
          <t>⏳ New Fund</t>
        </is>
      </c>
      <c r="U576" s="96" t="inlineStr">
        <is>
          <t>MOMENTUM_ONLY</t>
        </is>
      </c>
    </row>
    <row r="577" ht="16" customHeight="1">
      <c r="A577" s="92" t="n">
        <v>573</v>
      </c>
      <c r="B577" s="93" t="inlineStr">
        <is>
          <t>Tata Nifty Realty Index Fund - Regular Plan - Growth</t>
        </is>
      </c>
      <c r="C577" s="93" t="inlineStr">
        <is>
          <t>Tata Mutual Fund</t>
        </is>
      </c>
      <c r="D577" s="93" t="inlineStr">
        <is>
          <t>Index Funds</t>
        </is>
      </c>
      <c r="E577" s="93" t="inlineStr">
        <is>
          <t>Index Fund</t>
        </is>
      </c>
      <c r="F577" s="97" t="n">
        <v>-2.21</v>
      </c>
      <c r="G577" s="94" t="n">
        <v>17.58</v>
      </c>
      <c r="H577" s="94" t="n">
        <v>6.49</v>
      </c>
      <c r="I577" s="94" t="n">
        <v>1.52</v>
      </c>
      <c r="J577" s="97" t="n">
        <v>-8.408515679676864</v>
      </c>
      <c r="K577" s="94" t="n">
        <v>0</v>
      </c>
      <c r="L577" s="17" t="n">
        <v>56.6</v>
      </c>
      <c r="M577" s="18" t="n">
        <v>0</v>
      </c>
      <c r="N577" s="19" t="n">
        <v>31.1</v>
      </c>
      <c r="O577" s="108">
        <f>COUNTIFS($E:$E,$E577,$L:$L,"&gt;"&amp;$L577)+1</f>
        <v/>
      </c>
      <c r="P577" s="108">
        <f>COUNTIFS($E:$E,$E577,$M:$M,"&gt;"&amp;$M577)+1</f>
        <v/>
      </c>
      <c r="Q577" s="108">
        <f>COUNTIFS($E:$E,$E577,$N:$N,"&gt;"&amp;$N577)+1</f>
        <v/>
      </c>
      <c r="R577" s="95" t="inlineStr">
        <is>
          <t>➡️ Neutral</t>
        </is>
      </c>
      <c r="S577" s="95" t="inlineStr">
        <is>
          <t>⏳ New Fund</t>
        </is>
      </c>
      <c r="T577" s="95" t="inlineStr">
        <is>
          <t>⏳ New Fund</t>
        </is>
      </c>
      <c r="U577" s="96" t="inlineStr">
        <is>
          <t>MOMENTUM_ONLY</t>
        </is>
      </c>
    </row>
    <row r="578" ht="16" customHeight="1">
      <c r="A578" s="92" t="n">
        <v>574</v>
      </c>
      <c r="B578" s="93" t="inlineStr">
        <is>
          <t>Tata BSE Select Business Groups Index Fund - Regular Growth</t>
        </is>
      </c>
      <c r="C578" s="93" t="inlineStr">
        <is>
          <t>Tata Mutual Fund</t>
        </is>
      </c>
      <c r="D578" s="93" t="inlineStr">
        <is>
          <t>Index Funds</t>
        </is>
      </c>
      <c r="E578" s="93" t="inlineStr">
        <is>
          <t>Index Fund</t>
        </is>
      </c>
      <c r="F578" s="94" t="n">
        <v>1.8</v>
      </c>
      <c r="G578" s="94" t="n">
        <v>2.89</v>
      </c>
      <c r="H578" s="97" t="n">
        <v>-0.72</v>
      </c>
      <c r="I578" s="94" t="n">
        <v>6.88</v>
      </c>
      <c r="J578" s="94" t="n">
        <v>0</v>
      </c>
      <c r="K578" s="94" t="n">
        <v>0</v>
      </c>
      <c r="L578" s="17" t="n">
        <v>56.6</v>
      </c>
      <c r="M578" s="18" t="n">
        <v>0</v>
      </c>
      <c r="N578" s="19" t="n">
        <v>31.1</v>
      </c>
      <c r="O578" s="108">
        <f>COUNTIFS($E:$E,$E578,$L:$L,"&gt;"&amp;$L578)+1</f>
        <v/>
      </c>
      <c r="P578" s="108">
        <f>COUNTIFS($E:$E,$E578,$M:$M,"&gt;"&amp;$M578)+1</f>
        <v/>
      </c>
      <c r="Q578" s="108">
        <f>COUNTIFS($E:$E,$E578,$N:$N,"&gt;"&amp;$N578)+1</f>
        <v/>
      </c>
      <c r="R578" s="95" t="inlineStr">
        <is>
          <t>➡️ Neutral</t>
        </is>
      </c>
      <c r="S578" s="95" t="inlineStr">
        <is>
          <t>⏳ New Fund</t>
        </is>
      </c>
      <c r="T578" s="95" t="inlineStr">
        <is>
          <t>⏳ New Fund</t>
        </is>
      </c>
      <c r="U578" s="96" t="inlineStr">
        <is>
          <t>MOMENTUM_ONLY</t>
        </is>
      </c>
    </row>
    <row r="579" ht="16" customHeight="1">
      <c r="A579" s="92" t="n">
        <v>575</v>
      </c>
      <c r="B579" s="93" t="inlineStr">
        <is>
          <t>Motilal Oswal Nifty Capital Market Index Fund - Regular Plan - Growth</t>
        </is>
      </c>
      <c r="C579" s="93" t="inlineStr">
        <is>
          <t>Motilal Oswal Mutual Fund</t>
        </is>
      </c>
      <c r="D579" s="93" t="inlineStr">
        <is>
          <t>Index Funds</t>
        </is>
      </c>
      <c r="E579" s="93" t="inlineStr">
        <is>
          <t>Index Fund</t>
        </is>
      </c>
      <c r="F579" s="97" t="n">
        <v>-1.34</v>
      </c>
      <c r="G579" s="97" t="n">
        <v>-4.51</v>
      </c>
      <c r="H579" s="94" t="n">
        <v>11.62</v>
      </c>
      <c r="I579" s="94" t="n">
        <v>20.05</v>
      </c>
      <c r="J579" s="94" t="n">
        <v>0</v>
      </c>
      <c r="K579" s="94" t="n">
        <v>0</v>
      </c>
      <c r="L579" s="17" t="n">
        <v>56.5</v>
      </c>
      <c r="M579" s="18" t="n">
        <v>0</v>
      </c>
      <c r="N579" s="19" t="n">
        <v>31.1</v>
      </c>
      <c r="O579" s="108">
        <f>COUNTIFS($E:$E,$E579,$L:$L,"&gt;"&amp;$L579)+1</f>
        <v/>
      </c>
      <c r="P579" s="108">
        <f>COUNTIFS($E:$E,$E579,$M:$M,"&gt;"&amp;$M579)+1</f>
        <v/>
      </c>
      <c r="Q579" s="108">
        <f>COUNTIFS($E:$E,$E579,$N:$N,"&gt;"&amp;$N579)+1</f>
        <v/>
      </c>
      <c r="R579" s="95" t="inlineStr">
        <is>
          <t>➡️ Neutral</t>
        </is>
      </c>
      <c r="S579" s="95" t="inlineStr">
        <is>
          <t>⏳ New Fund</t>
        </is>
      </c>
      <c r="T579" s="95" t="inlineStr">
        <is>
          <t>⏳ New Fund</t>
        </is>
      </c>
      <c r="U579" s="96" t="inlineStr">
        <is>
          <t>MOMENTUM_ONLY</t>
        </is>
      </c>
    </row>
    <row r="580" ht="16" customHeight="1">
      <c r="A580" s="92" t="n">
        <v>576</v>
      </c>
      <c r="B580" s="93" t="inlineStr">
        <is>
          <t>Nippon India Nifty Realty Index Fund-Regular Plan- Growth Option</t>
        </is>
      </c>
      <c r="C580" s="93" t="inlineStr">
        <is>
          <t>Nippon India Mutual Fund</t>
        </is>
      </c>
      <c r="D580" s="93" t="inlineStr">
        <is>
          <t>Index Funds</t>
        </is>
      </c>
      <c r="E580" s="93" t="inlineStr">
        <is>
          <t>Index Fund</t>
        </is>
      </c>
      <c r="F580" s="97" t="n">
        <v>-2.26</v>
      </c>
      <c r="G580" s="94" t="n">
        <v>17.55</v>
      </c>
      <c r="H580" s="94" t="n">
        <v>6.6</v>
      </c>
      <c r="I580" s="94" t="n">
        <v>1.4</v>
      </c>
      <c r="J580" s="94" t="n">
        <v>0</v>
      </c>
      <c r="K580" s="94" t="n">
        <v>0</v>
      </c>
      <c r="L580" s="17" t="n">
        <v>56.3</v>
      </c>
      <c r="M580" s="18" t="n">
        <v>0</v>
      </c>
      <c r="N580" s="19" t="n">
        <v>31</v>
      </c>
      <c r="O580" s="108">
        <f>COUNTIFS($E:$E,$E580,$L:$L,"&gt;"&amp;$L580)+1</f>
        <v/>
      </c>
      <c r="P580" s="108">
        <f>COUNTIFS($E:$E,$E580,$M:$M,"&gt;"&amp;$M580)+1</f>
        <v/>
      </c>
      <c r="Q580" s="108">
        <f>COUNTIFS($E:$E,$E580,$N:$N,"&gt;"&amp;$N580)+1</f>
        <v/>
      </c>
      <c r="R580" s="95" t="inlineStr">
        <is>
          <t>➡️ Neutral</t>
        </is>
      </c>
      <c r="S580" s="95" t="inlineStr">
        <is>
          <t>⏳ New Fund</t>
        </is>
      </c>
      <c r="T580" s="95" t="inlineStr">
        <is>
          <t>⏳ New Fund</t>
        </is>
      </c>
      <c r="U580" s="96" t="inlineStr">
        <is>
          <t>MOMENTUM_ONLY</t>
        </is>
      </c>
    </row>
    <row r="581" ht="16" customHeight="1">
      <c r="A581" s="92" t="n">
        <v>577</v>
      </c>
      <c r="B581" s="93" t="inlineStr">
        <is>
          <t>Tata Nifty Capital Markets Index Fund - Regular Plan Growth Option</t>
        </is>
      </c>
      <c r="C581" s="93" t="inlineStr">
        <is>
          <t>Tata Mutual Fund</t>
        </is>
      </c>
      <c r="D581" s="93" t="inlineStr">
        <is>
          <t>Index Funds</t>
        </is>
      </c>
      <c r="E581" s="93" t="inlineStr">
        <is>
          <t>Index Fund</t>
        </is>
      </c>
      <c r="F581" s="97" t="n">
        <v>-1.35</v>
      </c>
      <c r="G581" s="97" t="n">
        <v>-4.58</v>
      </c>
      <c r="H581" s="94" t="n">
        <v>11.53</v>
      </c>
      <c r="I581" s="94" t="n">
        <v>19.77</v>
      </c>
      <c r="J581" s="94" t="n">
        <v>0</v>
      </c>
      <c r="K581" s="94" t="n">
        <v>0</v>
      </c>
      <c r="L581" s="17" t="n">
        <v>56.2</v>
      </c>
      <c r="M581" s="18" t="n">
        <v>0</v>
      </c>
      <c r="N581" s="19" t="n">
        <v>30.9</v>
      </c>
      <c r="O581" s="108">
        <f>COUNTIFS($E:$E,$E581,$L:$L,"&gt;"&amp;$L581)+1</f>
        <v/>
      </c>
      <c r="P581" s="108">
        <f>COUNTIFS($E:$E,$E581,$M:$M,"&gt;"&amp;$M581)+1</f>
        <v/>
      </c>
      <c r="Q581" s="108">
        <f>COUNTIFS($E:$E,$E581,$N:$N,"&gt;"&amp;$N581)+1</f>
        <v/>
      </c>
      <c r="R581" s="95" t="inlineStr">
        <is>
          <t>➡️ Neutral</t>
        </is>
      </c>
      <c r="S581" s="95" t="inlineStr">
        <is>
          <t>⏳ New Fund</t>
        </is>
      </c>
      <c r="T581" s="95" t="inlineStr">
        <is>
          <t>⏳ New Fund</t>
        </is>
      </c>
      <c r="U581" s="96" t="inlineStr">
        <is>
          <t>MOMENTUM_ONLY</t>
        </is>
      </c>
    </row>
    <row r="582" ht="16" customHeight="1">
      <c r="A582" s="92" t="n">
        <v>578</v>
      </c>
      <c r="B582" s="93" t="inlineStr">
        <is>
          <t>Mirae Asset Nifty LargeMidcap 250 Index Fund - Regular Plan - Growth</t>
        </is>
      </c>
      <c r="C582" s="93" t="inlineStr">
        <is>
          <t>Mirae Asset Mutual Fund</t>
        </is>
      </c>
      <c r="D582" s="93" t="inlineStr">
        <is>
          <t>Index Funds</t>
        </is>
      </c>
      <c r="E582" s="93" t="inlineStr">
        <is>
          <t>Index Fund</t>
        </is>
      </c>
      <c r="F582" s="94" t="n">
        <v>0.9399999999999999</v>
      </c>
      <c r="G582" s="94" t="n">
        <v>4.09</v>
      </c>
      <c r="H582" s="94" t="n">
        <v>0.58</v>
      </c>
      <c r="I582" s="94" t="n">
        <v>5.57</v>
      </c>
      <c r="J582" s="94" t="n">
        <v>0</v>
      </c>
      <c r="K582" s="94" t="n">
        <v>0</v>
      </c>
      <c r="L582" s="17" t="n">
        <v>55.8</v>
      </c>
      <c r="M582" s="18" t="n">
        <v>0</v>
      </c>
      <c r="N582" s="19" t="n">
        <v>30.7</v>
      </c>
      <c r="O582" s="108">
        <f>COUNTIFS($E:$E,$E582,$L:$L,"&gt;"&amp;$L582)+1</f>
        <v/>
      </c>
      <c r="P582" s="108">
        <f>COUNTIFS($E:$E,$E582,$M:$M,"&gt;"&amp;$M582)+1</f>
        <v/>
      </c>
      <c r="Q582" s="108">
        <f>COUNTIFS($E:$E,$E582,$N:$N,"&gt;"&amp;$N582)+1</f>
        <v/>
      </c>
      <c r="R582" s="95" t="inlineStr">
        <is>
          <t>➡️ Neutral</t>
        </is>
      </c>
      <c r="S582" s="95" t="inlineStr">
        <is>
          <t>⏳ New Fund</t>
        </is>
      </c>
      <c r="T582" s="95" t="inlineStr">
        <is>
          <t>⏳ New Fund</t>
        </is>
      </c>
      <c r="U582" s="96" t="inlineStr">
        <is>
          <t>MOMENTUM_ONLY</t>
        </is>
      </c>
    </row>
    <row r="583" ht="16" customHeight="1">
      <c r="A583" s="92" t="n">
        <v>579</v>
      </c>
      <c r="B583" s="93" t="inlineStr">
        <is>
          <t>Kotak Nifty AAA Bond Financial Services Mar 2028 Index Fund - Regular Plan - Growth</t>
        </is>
      </c>
      <c r="C583" s="93" t="inlineStr">
        <is>
          <t>Kotak Mahindra Mutual Fund</t>
        </is>
      </c>
      <c r="D583" s="93" t="inlineStr">
        <is>
          <t>Index Funds</t>
        </is>
      </c>
      <c r="E583" s="93" t="inlineStr">
        <is>
          <t>Banking/Financial</t>
        </is>
      </c>
      <c r="F583" s="94" t="n">
        <v>0.62</v>
      </c>
      <c r="G583" s="94" t="n">
        <v>2.31</v>
      </c>
      <c r="H583" s="94" t="n">
        <v>2.81</v>
      </c>
      <c r="I583" s="94" t="n">
        <v>5.83</v>
      </c>
      <c r="J583" s="94" t="n">
        <v>0</v>
      </c>
      <c r="K583" s="94" t="n">
        <v>0</v>
      </c>
      <c r="L583" s="17" t="n">
        <v>55.8</v>
      </c>
      <c r="M583" s="18" t="n">
        <v>0</v>
      </c>
      <c r="N583" s="19" t="n">
        <v>30.7</v>
      </c>
      <c r="O583" s="108">
        <f>COUNTIFS($E:$E,$E583,$L:$L,"&gt;"&amp;$L583)+1</f>
        <v/>
      </c>
      <c r="P583" s="108">
        <f>COUNTIFS($E:$E,$E583,$M:$M,"&gt;"&amp;$M583)+1</f>
        <v/>
      </c>
      <c r="Q583" s="108">
        <f>COUNTIFS($E:$E,$E583,$N:$N,"&gt;"&amp;$N583)+1</f>
        <v/>
      </c>
      <c r="R583" s="95" t="inlineStr">
        <is>
          <t>➡️ Neutral</t>
        </is>
      </c>
      <c r="S583" s="95" t="inlineStr">
        <is>
          <t>⏳ New Fund</t>
        </is>
      </c>
      <c r="T583" s="95" t="inlineStr">
        <is>
          <t>⏳ New Fund</t>
        </is>
      </c>
      <c r="U583" s="96" t="inlineStr">
        <is>
          <t>MOMENTUM_ONLY</t>
        </is>
      </c>
    </row>
    <row r="584" ht="16" customHeight="1">
      <c r="A584" s="92" t="n">
        <v>580</v>
      </c>
      <c r="B584" s="93" t="inlineStr">
        <is>
          <t>Axis CRISIL-IBX AAA Bond Financial Services - Sep 2027 Index Fund - Regular Plan - Growth Option</t>
        </is>
      </c>
      <c r="C584" s="93" t="inlineStr">
        <is>
          <t>Axis Mutual Fund</t>
        </is>
      </c>
      <c r="D584" s="93" t="inlineStr">
        <is>
          <t>Index Funds</t>
        </is>
      </c>
      <c r="E584" s="93" t="inlineStr">
        <is>
          <t>Banking/Financial</t>
        </is>
      </c>
      <c r="F584" s="94" t="n">
        <v>0.57</v>
      </c>
      <c r="G584" s="94" t="n">
        <v>2.09</v>
      </c>
      <c r="H584" s="94" t="n">
        <v>2.97</v>
      </c>
      <c r="I584" s="94" t="n">
        <v>6</v>
      </c>
      <c r="J584" s="94" t="n">
        <v>0</v>
      </c>
      <c r="K584" s="94" t="n">
        <v>0</v>
      </c>
      <c r="L584" s="17" t="n">
        <v>55.6</v>
      </c>
      <c r="M584" s="18" t="n">
        <v>0</v>
      </c>
      <c r="N584" s="19" t="n">
        <v>30.6</v>
      </c>
      <c r="O584" s="108">
        <f>COUNTIFS($E:$E,$E584,$L:$L,"&gt;"&amp;$L584)+1</f>
        <v/>
      </c>
      <c r="P584" s="108">
        <f>COUNTIFS($E:$E,$E584,$M:$M,"&gt;"&amp;$M584)+1</f>
        <v/>
      </c>
      <c r="Q584" s="108">
        <f>COUNTIFS($E:$E,$E584,$N:$N,"&gt;"&amp;$N584)+1</f>
        <v/>
      </c>
      <c r="R584" s="95" t="inlineStr">
        <is>
          <t>➡️ Neutral</t>
        </is>
      </c>
      <c r="S584" s="95" t="inlineStr">
        <is>
          <t>⏳ New Fund</t>
        </is>
      </c>
      <c r="T584" s="95" t="inlineStr">
        <is>
          <t>⏳ New Fund</t>
        </is>
      </c>
      <c r="U584" s="96" t="inlineStr">
        <is>
          <t>MOMENTUM_ONLY</t>
        </is>
      </c>
    </row>
    <row r="585" ht="16" customHeight="1">
      <c r="A585" s="92" t="n">
        <v>581</v>
      </c>
      <c r="B585" s="93" t="inlineStr">
        <is>
          <t>HDFC Nifty100 Quality 30 Index Fund - Regular Plan</t>
        </is>
      </c>
      <c r="C585" s="93" t="inlineStr">
        <is>
          <t>HDFC Mutual Fund</t>
        </is>
      </c>
      <c r="D585" s="93" t="inlineStr">
        <is>
          <t>Index Funds</t>
        </is>
      </c>
      <c r="E585" s="93" t="inlineStr">
        <is>
          <t>Index Fund</t>
        </is>
      </c>
      <c r="F585" s="94" t="n">
        <v>3.03</v>
      </c>
      <c r="G585" s="94" t="n">
        <v>3.44</v>
      </c>
      <c r="H585" s="94" t="n">
        <v>0.83</v>
      </c>
      <c r="I585" s="94" t="n">
        <v>4.36</v>
      </c>
      <c r="J585" s="94" t="n">
        <v>0</v>
      </c>
      <c r="K585" s="94" t="n">
        <v>0</v>
      </c>
      <c r="L585" s="17" t="n">
        <v>55.6</v>
      </c>
      <c r="M585" s="18" t="n">
        <v>0</v>
      </c>
      <c r="N585" s="19" t="n">
        <v>30.6</v>
      </c>
      <c r="O585" s="108">
        <f>COUNTIFS($E:$E,$E585,$L:$L,"&gt;"&amp;$L585)+1</f>
        <v/>
      </c>
      <c r="P585" s="108">
        <f>COUNTIFS($E:$E,$E585,$M:$M,"&gt;"&amp;$M585)+1</f>
        <v/>
      </c>
      <c r="Q585" s="108">
        <f>COUNTIFS($E:$E,$E585,$N:$N,"&gt;"&amp;$N585)+1</f>
        <v/>
      </c>
      <c r="R585" s="95" t="inlineStr">
        <is>
          <t>➡️ Neutral</t>
        </is>
      </c>
      <c r="S585" s="95" t="inlineStr">
        <is>
          <t>⏳ New Fund</t>
        </is>
      </c>
      <c r="T585" s="95" t="inlineStr">
        <is>
          <t>⏳ New Fund</t>
        </is>
      </c>
      <c r="U585" s="96" t="inlineStr">
        <is>
          <t>MOMENTUM_ONLY</t>
        </is>
      </c>
    </row>
    <row r="586" ht="16" customHeight="1">
      <c r="A586" s="92" t="n">
        <v>582</v>
      </c>
      <c r="B586" s="93" t="inlineStr">
        <is>
          <t>HDFC Nifty India Consumption Index  Fund - Regular Growth Plan</t>
        </is>
      </c>
      <c r="C586" s="93" t="inlineStr">
        <is>
          <t>HDFC Mutual Fund</t>
        </is>
      </c>
      <c r="D586" s="93" t="inlineStr">
        <is>
          <t>Index Funds</t>
        </is>
      </c>
      <c r="E586" s="93" t="inlineStr">
        <is>
          <t>Index Fund</t>
        </is>
      </c>
      <c r="F586" s="94" t="n">
        <v>2.76</v>
      </c>
      <c r="G586" s="94" t="n">
        <v>6.46</v>
      </c>
      <c r="H586" s="94" t="n">
        <v>0.92</v>
      </c>
      <c r="I586" s="94" t="n">
        <v>0</v>
      </c>
      <c r="J586" s="94" t="n">
        <v>0</v>
      </c>
      <c r="K586" s="94" t="n">
        <v>0</v>
      </c>
      <c r="L586" s="17" t="n">
        <v>55.1</v>
      </c>
      <c r="M586" s="18" t="n">
        <v>0</v>
      </c>
      <c r="N586" s="19" t="n">
        <v>30.3</v>
      </c>
      <c r="O586" s="108">
        <f>COUNTIFS($E:$E,$E586,$L:$L,"&gt;"&amp;$L586)+1</f>
        <v/>
      </c>
      <c r="P586" s="108">
        <f>COUNTIFS($E:$E,$E586,$M:$M,"&gt;"&amp;$M586)+1</f>
        <v/>
      </c>
      <c r="Q586" s="108">
        <f>COUNTIFS($E:$E,$E586,$N:$N,"&gt;"&amp;$N586)+1</f>
        <v/>
      </c>
      <c r="R586" s="95" t="inlineStr">
        <is>
          <t>➡️ Neutral</t>
        </is>
      </c>
      <c r="S586" s="95" t="inlineStr">
        <is>
          <t>⏳ New Fund</t>
        </is>
      </c>
      <c r="T586" s="95" t="inlineStr">
        <is>
          <t>⏳ New Fund</t>
        </is>
      </c>
      <c r="U586" s="96" t="inlineStr">
        <is>
          <t>MOMENTUM_ONLY</t>
        </is>
      </c>
    </row>
    <row r="587" ht="16" customHeight="1">
      <c r="A587" s="92" t="n">
        <v>583</v>
      </c>
      <c r="B587" s="93" t="inlineStr">
        <is>
          <t>UTI Nifty Alpha Low-Volatility 30 Index Fund - Regular Plan - Growth Option</t>
        </is>
      </c>
      <c r="C587" s="93" t="inlineStr">
        <is>
          <t>UTI Mutual Fund</t>
        </is>
      </c>
      <c r="D587" s="93" t="inlineStr">
        <is>
          <t>Index Funds</t>
        </is>
      </c>
      <c r="E587" s="93" t="inlineStr">
        <is>
          <t>Index Fund</t>
        </is>
      </c>
      <c r="F587" s="94" t="n">
        <v>1.9</v>
      </c>
      <c r="G587" s="94" t="n">
        <v>6.31</v>
      </c>
      <c r="H587" s="97" t="n">
        <v>-1.21</v>
      </c>
      <c r="I587" s="94" t="n">
        <v>3.75</v>
      </c>
      <c r="J587" s="94" t="n">
        <v>0</v>
      </c>
      <c r="K587" s="94" t="n">
        <v>0</v>
      </c>
      <c r="L587" s="17" t="n">
        <v>55</v>
      </c>
      <c r="M587" s="18" t="n">
        <v>0</v>
      </c>
      <c r="N587" s="19" t="n">
        <v>30.2</v>
      </c>
      <c r="O587" s="108">
        <f>COUNTIFS($E:$E,$E587,$L:$L,"&gt;"&amp;$L587)+1</f>
        <v/>
      </c>
      <c r="P587" s="108">
        <f>COUNTIFS($E:$E,$E587,$M:$M,"&gt;"&amp;$M587)+1</f>
        <v/>
      </c>
      <c r="Q587" s="108">
        <f>COUNTIFS($E:$E,$E587,$N:$N,"&gt;"&amp;$N587)+1</f>
        <v/>
      </c>
      <c r="R587" s="95" t="inlineStr">
        <is>
          <t>➡️ Neutral</t>
        </is>
      </c>
      <c r="S587" s="95" t="inlineStr">
        <is>
          <t>⏳ New Fund</t>
        </is>
      </c>
      <c r="T587" s="95" t="inlineStr">
        <is>
          <t>⏳ New Fund</t>
        </is>
      </c>
      <c r="U587" s="96" t="inlineStr">
        <is>
          <t>MOMENTUM_ONLY</t>
        </is>
      </c>
    </row>
    <row r="588" ht="16" customHeight="1">
      <c r="A588" s="92" t="n">
        <v>584</v>
      </c>
      <c r="B588" s="93" t="inlineStr">
        <is>
          <t>ICICI Prudential BSE Liquid Rate ETF - Growth</t>
        </is>
      </c>
      <c r="C588" s="93" t="inlineStr">
        <is>
          <t>ICICI Prudential Mutual Fund</t>
        </is>
      </c>
      <c r="D588" s="93" t="inlineStr">
        <is>
          <t>Other  Etfs</t>
        </is>
      </c>
      <c r="E588" s="93" t="inlineStr">
        <is>
          <t>Index Fund</t>
        </is>
      </c>
      <c r="F588" s="94" t="n">
        <v>0.43</v>
      </c>
      <c r="G588" s="94" t="n">
        <v>1.24</v>
      </c>
      <c r="H588" s="94" t="n">
        <v>2.44</v>
      </c>
      <c r="I588" s="94" t="n">
        <v>5.07</v>
      </c>
      <c r="J588" s="94" t="n">
        <v>0</v>
      </c>
      <c r="K588" s="94" t="n">
        <v>0</v>
      </c>
      <c r="L588" s="17" t="n">
        <v>54.6</v>
      </c>
      <c r="M588" s="18" t="n">
        <v>0</v>
      </c>
      <c r="N588" s="19" t="n">
        <v>30.1</v>
      </c>
      <c r="O588" s="108">
        <f>COUNTIFS($E:$E,$E588,$L:$L,"&gt;"&amp;$L588)+1</f>
        <v/>
      </c>
      <c r="P588" s="108">
        <f>COUNTIFS($E:$E,$E588,$M:$M,"&gt;"&amp;$M588)+1</f>
        <v/>
      </c>
      <c r="Q588" s="108">
        <f>COUNTIFS($E:$E,$E588,$N:$N,"&gt;"&amp;$N588)+1</f>
        <v/>
      </c>
      <c r="R588" s="95" t="inlineStr">
        <is>
          <t>➡️ Neutral</t>
        </is>
      </c>
      <c r="S588" s="95" t="inlineStr">
        <is>
          <t>⏳ New Fund</t>
        </is>
      </c>
      <c r="T588" s="95" t="inlineStr">
        <is>
          <t>⏳ New Fund</t>
        </is>
      </c>
      <c r="U588" s="96" t="inlineStr">
        <is>
          <t>MOMENTUM_ONLY</t>
        </is>
      </c>
    </row>
    <row r="589" ht="16" customHeight="1">
      <c r="A589" s="92" t="n">
        <v>585</v>
      </c>
      <c r="B589" s="93" t="inlineStr">
        <is>
          <t>ANGEL ONE NIFTY 1D RATE LIQUID ETF - GROWTH</t>
        </is>
      </c>
      <c r="C589" s="93" t="inlineStr">
        <is>
          <t>Angel One Mutual Fund</t>
        </is>
      </c>
      <c r="D589" s="93" t="inlineStr">
        <is>
          <t>Other  Etfs</t>
        </is>
      </c>
      <c r="E589" s="93" t="inlineStr">
        <is>
          <t>Index Fund</t>
        </is>
      </c>
      <c r="F589" s="94" t="n">
        <v>0.43</v>
      </c>
      <c r="G589" s="94" t="n">
        <v>1.23</v>
      </c>
      <c r="H589" s="94" t="n">
        <v>2.45</v>
      </c>
      <c r="I589" s="94" t="n">
        <v>5.06</v>
      </c>
      <c r="J589" s="94" t="n">
        <v>0</v>
      </c>
      <c r="K589" s="94" t="n">
        <v>0</v>
      </c>
      <c r="L589" s="17" t="n">
        <v>54.5</v>
      </c>
      <c r="M589" s="18" t="n">
        <v>0</v>
      </c>
      <c r="N589" s="19" t="n">
        <v>30</v>
      </c>
      <c r="O589" s="108">
        <f>COUNTIFS($E:$E,$E589,$L:$L,"&gt;"&amp;$L589)+1</f>
        <v/>
      </c>
      <c r="P589" s="108">
        <f>COUNTIFS($E:$E,$E589,$M:$M,"&gt;"&amp;$M589)+1</f>
        <v/>
      </c>
      <c r="Q589" s="108">
        <f>COUNTIFS($E:$E,$E589,$N:$N,"&gt;"&amp;$N589)+1</f>
        <v/>
      </c>
      <c r="R589" s="95" t="inlineStr">
        <is>
          <t>➡️ Neutral</t>
        </is>
      </c>
      <c r="S589" s="95" t="inlineStr">
        <is>
          <t>⏳ New Fund</t>
        </is>
      </c>
      <c r="T589" s="95" t="inlineStr">
        <is>
          <t>⏳ New Fund</t>
        </is>
      </c>
      <c r="U589" s="96" t="inlineStr">
        <is>
          <t>MOMENTUM_ONLY</t>
        </is>
      </c>
    </row>
    <row r="590" ht="16" customHeight="1">
      <c r="A590" s="92" t="n">
        <v>586</v>
      </c>
      <c r="B590" s="93" t="inlineStr">
        <is>
          <t>SBI Nifty 1D Rate Liquid ETF - Growth</t>
        </is>
      </c>
      <c r="C590" s="93" t="inlineStr">
        <is>
          <t>SBI Mutual Fund</t>
        </is>
      </c>
      <c r="D590" s="93" t="inlineStr">
        <is>
          <t>Other  Etfs</t>
        </is>
      </c>
      <c r="E590" s="93" t="inlineStr">
        <is>
          <t>Index Fund</t>
        </is>
      </c>
      <c r="F590" s="94" t="n">
        <v>0.43</v>
      </c>
      <c r="G590" s="94" t="n">
        <v>1.24</v>
      </c>
      <c r="H590" s="94" t="n">
        <v>2.44</v>
      </c>
      <c r="I590" s="94" t="n">
        <v>5.06</v>
      </c>
      <c r="J590" s="94" t="n">
        <v>0</v>
      </c>
      <c r="K590" s="94" t="n">
        <v>0</v>
      </c>
      <c r="L590" s="17" t="n">
        <v>54.4</v>
      </c>
      <c r="M590" s="18" t="n">
        <v>0</v>
      </c>
      <c r="N590" s="19" t="n">
        <v>29.9</v>
      </c>
      <c r="O590" s="108">
        <f>COUNTIFS($E:$E,$E590,$L:$L,"&gt;"&amp;$L590)+1</f>
        <v/>
      </c>
      <c r="P590" s="108">
        <f>COUNTIFS($E:$E,$E590,$M:$M,"&gt;"&amp;$M590)+1</f>
        <v/>
      </c>
      <c r="Q590" s="108">
        <f>COUNTIFS($E:$E,$E590,$N:$N,"&gt;"&amp;$N590)+1</f>
        <v/>
      </c>
      <c r="R590" s="95" t="inlineStr">
        <is>
          <t>➡️ Neutral</t>
        </is>
      </c>
      <c r="S590" s="95" t="inlineStr">
        <is>
          <t>⏳ New Fund</t>
        </is>
      </c>
      <c r="T590" s="95" t="inlineStr">
        <is>
          <t>⏳ New Fund</t>
        </is>
      </c>
      <c r="U590" s="96" t="inlineStr">
        <is>
          <t>MOMENTUM_ONLY</t>
        </is>
      </c>
    </row>
    <row r="591" ht="16" customHeight="1">
      <c r="A591" s="92" t="n">
        <v>587</v>
      </c>
      <c r="B591" s="93" t="inlineStr">
        <is>
          <t>Bandhan Nifty Alpha Low Volatility 30 Index Fund - Regular Plan - Growth</t>
        </is>
      </c>
      <c r="C591" s="93" t="inlineStr">
        <is>
          <t>Bandhan Mutual Fund</t>
        </is>
      </c>
      <c r="D591" s="93" t="inlineStr">
        <is>
          <t>Index Funds</t>
        </is>
      </c>
      <c r="E591" s="93" t="inlineStr">
        <is>
          <t>Index Fund</t>
        </is>
      </c>
      <c r="F591" s="94" t="n">
        <v>1.91</v>
      </c>
      <c r="G591" s="94" t="n">
        <v>6.28</v>
      </c>
      <c r="H591" s="97" t="n">
        <v>-1.31</v>
      </c>
      <c r="I591" s="94" t="n">
        <v>3.53</v>
      </c>
      <c r="J591" s="94" t="n">
        <v>0</v>
      </c>
      <c r="K591" s="94" t="n">
        <v>0</v>
      </c>
      <c r="L591" s="17" t="n">
        <v>54.4</v>
      </c>
      <c r="M591" s="18" t="n">
        <v>0</v>
      </c>
      <c r="N591" s="19" t="n">
        <v>29.9</v>
      </c>
      <c r="O591" s="108">
        <f>COUNTIFS($E:$E,$E591,$L:$L,"&gt;"&amp;$L591)+1</f>
        <v/>
      </c>
      <c r="P591" s="108">
        <f>COUNTIFS($E:$E,$E591,$M:$M,"&gt;"&amp;$M591)+1</f>
        <v/>
      </c>
      <c r="Q591" s="108">
        <f>COUNTIFS($E:$E,$E591,$N:$N,"&gt;"&amp;$N591)+1</f>
        <v/>
      </c>
      <c r="R591" s="95" t="inlineStr">
        <is>
          <t>➡️ Neutral</t>
        </is>
      </c>
      <c r="S591" s="95" t="inlineStr">
        <is>
          <t>⏳ New Fund</t>
        </is>
      </c>
      <c r="T591" s="95" t="inlineStr">
        <is>
          <t>⏳ New Fund</t>
        </is>
      </c>
      <c r="U591" s="96" t="inlineStr">
        <is>
          <t>MOMENTUM_ONLY</t>
        </is>
      </c>
    </row>
    <row r="592" ht="16" customHeight="1">
      <c r="A592" s="92" t="n">
        <v>588</v>
      </c>
      <c r="B592" s="93" t="inlineStr">
        <is>
          <t>Motilal Oswal BSE 1000 Index Fund - Regular Plan - Growth</t>
        </is>
      </c>
      <c r="C592" s="93" t="inlineStr">
        <is>
          <t>Motilal Oswal Mutual Fund</t>
        </is>
      </c>
      <c r="D592" s="93" t="inlineStr">
        <is>
          <t>Index Funds</t>
        </is>
      </c>
      <c r="E592" s="93" t="inlineStr">
        <is>
          <t>Index Fund</t>
        </is>
      </c>
      <c r="F592" s="94" t="n">
        <v>1</v>
      </c>
      <c r="G592" s="94" t="n">
        <v>5.29</v>
      </c>
      <c r="H592" s="94" t="n">
        <v>0.28</v>
      </c>
      <c r="I592" s="94" t="n">
        <v>3.76</v>
      </c>
      <c r="J592" s="94" t="n">
        <v>0</v>
      </c>
      <c r="K592" s="94" t="n">
        <v>0</v>
      </c>
      <c r="L592" s="17" t="n">
        <v>54.2</v>
      </c>
      <c r="M592" s="18" t="n">
        <v>0</v>
      </c>
      <c r="N592" s="19" t="n">
        <v>29.8</v>
      </c>
      <c r="O592" s="108">
        <f>COUNTIFS($E:$E,$E592,$L:$L,"&gt;"&amp;$L592)+1</f>
        <v/>
      </c>
      <c r="P592" s="108">
        <f>COUNTIFS($E:$E,$E592,$M:$M,"&gt;"&amp;$M592)+1</f>
        <v/>
      </c>
      <c r="Q592" s="108">
        <f>COUNTIFS($E:$E,$E592,$N:$N,"&gt;"&amp;$N592)+1</f>
        <v/>
      </c>
      <c r="R592" s="95" t="inlineStr">
        <is>
          <t>➡️ Neutral</t>
        </is>
      </c>
      <c r="S592" s="95" t="inlineStr">
        <is>
          <t>⏳ New Fund</t>
        </is>
      </c>
      <c r="T592" s="95" t="inlineStr">
        <is>
          <t>⏳ New Fund</t>
        </is>
      </c>
      <c r="U592" s="96" t="inlineStr">
        <is>
          <t>MOMENTUM_ONLY</t>
        </is>
      </c>
    </row>
    <row r="593" ht="16" customHeight="1">
      <c r="A593" s="92" t="n">
        <v>589</v>
      </c>
      <c r="B593" s="93" t="inlineStr">
        <is>
          <t>Edelweiss Nifty Alpha Low Volatility 30 Index Fund - Regular Plan - Growth</t>
        </is>
      </c>
      <c r="C593" s="93" t="inlineStr">
        <is>
          <t>Edelweiss Mutual Fund</t>
        </is>
      </c>
      <c r="D593" s="93" t="inlineStr">
        <is>
          <t>Index Funds</t>
        </is>
      </c>
      <c r="E593" s="93" t="inlineStr">
        <is>
          <t>Index Fund</t>
        </is>
      </c>
      <c r="F593" s="94" t="n">
        <v>1.9</v>
      </c>
      <c r="G593" s="94" t="n">
        <v>6.28</v>
      </c>
      <c r="H593" s="97" t="n">
        <v>-1.33</v>
      </c>
      <c r="I593" s="94" t="n">
        <v>3.52</v>
      </c>
      <c r="J593" s="97" t="n">
        <v>-4.386193465587828</v>
      </c>
      <c r="K593" s="94" t="n">
        <v>0</v>
      </c>
      <c r="L593" s="17" t="n">
        <v>54</v>
      </c>
      <c r="M593" s="18" t="n">
        <v>0</v>
      </c>
      <c r="N593" s="19" t="n">
        <v>29.7</v>
      </c>
      <c r="O593" s="108">
        <f>COUNTIFS($E:$E,$E593,$L:$L,"&gt;"&amp;$L593)+1</f>
        <v/>
      </c>
      <c r="P593" s="108">
        <f>COUNTIFS($E:$E,$E593,$M:$M,"&gt;"&amp;$M593)+1</f>
        <v/>
      </c>
      <c r="Q593" s="108">
        <f>COUNTIFS($E:$E,$E593,$N:$N,"&gt;"&amp;$N593)+1</f>
        <v/>
      </c>
      <c r="R593" s="95" t="inlineStr">
        <is>
          <t>➡️ Neutral</t>
        </is>
      </c>
      <c r="S593" s="95" t="inlineStr">
        <is>
          <t>⏳ New Fund</t>
        </is>
      </c>
      <c r="T593" s="95" t="inlineStr">
        <is>
          <t>⏳ New Fund</t>
        </is>
      </c>
      <c r="U593" s="96" t="inlineStr">
        <is>
          <t>MOMENTUM_ONLY</t>
        </is>
      </c>
    </row>
    <row r="594" ht="16" customHeight="1">
      <c r="A594" s="92" t="n">
        <v>590</v>
      </c>
      <c r="B594" s="93" t="inlineStr">
        <is>
          <t>The Wealth Company Gold ETF</t>
        </is>
      </c>
      <c r="C594" s="93" t="inlineStr">
        <is>
          <t>The Wealth Company Mutual Fund</t>
        </is>
      </c>
      <c r="D594" s="93" t="inlineStr">
        <is>
          <t>Gold Etf</t>
        </is>
      </c>
      <c r="E594" s="93" t="inlineStr">
        <is>
          <t>Gold</t>
        </is>
      </c>
      <c r="F594" s="94" t="n">
        <v>8.789999999999999</v>
      </c>
      <c r="G594" s="97" t="n">
        <v>-2.97</v>
      </c>
      <c r="H594" s="94" t="n">
        <v>1.42</v>
      </c>
      <c r="I594" s="94" t="n">
        <v>0</v>
      </c>
      <c r="J594" s="94" t="n">
        <v>0</v>
      </c>
      <c r="K594" s="94" t="n">
        <v>0</v>
      </c>
      <c r="L594" s="17" t="n">
        <v>53.7</v>
      </c>
      <c r="M594" s="18" t="n">
        <v>0</v>
      </c>
      <c r="N594" s="19" t="n">
        <v>29.5</v>
      </c>
      <c r="O594" s="108">
        <f>COUNTIFS($E:$E,$E594,$L:$L,"&gt;"&amp;$L594)+1</f>
        <v/>
      </c>
      <c r="P594" s="108">
        <f>COUNTIFS($E:$E,$E594,$M:$M,"&gt;"&amp;$M594)+1</f>
        <v/>
      </c>
      <c r="Q594" s="108">
        <f>COUNTIFS($E:$E,$E594,$N:$N,"&gt;"&amp;$N594)+1</f>
        <v/>
      </c>
      <c r="R594" s="95" t="inlineStr">
        <is>
          <t>➡️ Neutral</t>
        </is>
      </c>
      <c r="S594" s="95" t="inlineStr">
        <is>
          <t>⏳ New Fund</t>
        </is>
      </c>
      <c r="T594" s="95" t="inlineStr">
        <is>
          <t>⏳ New Fund</t>
        </is>
      </c>
      <c r="U594" s="96" t="inlineStr">
        <is>
          <t>MOMENTUM_ONLY</t>
        </is>
      </c>
    </row>
    <row r="595" ht="16" customHeight="1">
      <c r="A595" s="92" t="n">
        <v>591</v>
      </c>
      <c r="B595" s="93" t="inlineStr">
        <is>
          <t>Zerodha Nifty 1D Rate Liquid ETF - Growth Option</t>
        </is>
      </c>
      <c r="C595" s="93" t="inlineStr">
        <is>
          <t>Zerodha Mutual Fund</t>
        </is>
      </c>
      <c r="D595" s="93" t="inlineStr">
        <is>
          <t>Other  Etfs</t>
        </is>
      </c>
      <c r="E595" s="93" t="inlineStr">
        <is>
          <t>Index Fund</t>
        </is>
      </c>
      <c r="F595" s="94" t="n">
        <v>0.42</v>
      </c>
      <c r="G595" s="94" t="n">
        <v>1.22</v>
      </c>
      <c r="H595" s="94" t="n">
        <v>2.42</v>
      </c>
      <c r="I595" s="94" t="n">
        <v>5.03</v>
      </c>
      <c r="J595" s="94" t="n">
        <v>5.49881515922348</v>
      </c>
      <c r="K595" s="94" t="n">
        <v>0</v>
      </c>
      <c r="L595" s="17" t="n">
        <v>53.4</v>
      </c>
      <c r="M595" s="18" t="n">
        <v>0</v>
      </c>
      <c r="N595" s="19" t="n">
        <v>29.4</v>
      </c>
      <c r="O595" s="108">
        <f>COUNTIFS($E:$E,$E595,$L:$L,"&gt;"&amp;$L595)+1</f>
        <v/>
      </c>
      <c r="P595" s="108">
        <f>COUNTIFS($E:$E,$E595,$M:$M,"&gt;"&amp;$M595)+1</f>
        <v/>
      </c>
      <c r="Q595" s="108">
        <f>COUNTIFS($E:$E,$E595,$N:$N,"&gt;"&amp;$N595)+1</f>
        <v/>
      </c>
      <c r="R595" s="95" t="inlineStr">
        <is>
          <t>➡️ Neutral</t>
        </is>
      </c>
      <c r="S595" s="95" t="inlineStr">
        <is>
          <t>⏳ New Fund</t>
        </is>
      </c>
      <c r="T595" s="95" t="inlineStr">
        <is>
          <t>⏳ New Fund</t>
        </is>
      </c>
      <c r="U595" s="96" t="inlineStr">
        <is>
          <t>MOMENTUM_ONLY</t>
        </is>
      </c>
    </row>
    <row r="596" ht="16" customHeight="1">
      <c r="A596" s="92" t="n">
        <v>592</v>
      </c>
      <c r="B596" s="93" t="inlineStr">
        <is>
          <t>HDFC NIFTY 1D RATE LIQUID ETF GROWTH</t>
        </is>
      </c>
      <c r="C596" s="93" t="inlineStr">
        <is>
          <t>HDFC Mutual Fund</t>
        </is>
      </c>
      <c r="D596" s="93" t="inlineStr">
        <is>
          <t>Other  Etfs</t>
        </is>
      </c>
      <c r="E596" s="93" t="inlineStr">
        <is>
          <t>Index Fund</t>
        </is>
      </c>
      <c r="F596" s="94" t="n">
        <v>0.42</v>
      </c>
      <c r="G596" s="94" t="n">
        <v>1.23</v>
      </c>
      <c r="H596" s="94" t="n">
        <v>2.42</v>
      </c>
      <c r="I596" s="94" t="n">
        <v>4.92</v>
      </c>
      <c r="J596" s="94" t="n">
        <v>0</v>
      </c>
      <c r="K596" s="94" t="n">
        <v>0</v>
      </c>
      <c r="L596" s="17" t="n">
        <v>53.2</v>
      </c>
      <c r="M596" s="18" t="n">
        <v>0</v>
      </c>
      <c r="N596" s="19" t="n">
        <v>29.3</v>
      </c>
      <c r="O596" s="108">
        <f>COUNTIFS($E:$E,$E596,$L:$L,"&gt;"&amp;$L596)+1</f>
        <v/>
      </c>
      <c r="P596" s="108">
        <f>COUNTIFS($E:$E,$E596,$M:$M,"&gt;"&amp;$M596)+1</f>
        <v/>
      </c>
      <c r="Q596" s="108">
        <f>COUNTIFS($E:$E,$E596,$N:$N,"&gt;"&amp;$N596)+1</f>
        <v/>
      </c>
      <c r="R596" s="95" t="inlineStr">
        <is>
          <t>➡️ Neutral</t>
        </is>
      </c>
      <c r="S596" s="95" t="inlineStr">
        <is>
          <t>⏳ New Fund</t>
        </is>
      </c>
      <c r="T596" s="95" t="inlineStr">
        <is>
          <t>⏳ New Fund</t>
        </is>
      </c>
      <c r="U596" s="96" t="inlineStr">
        <is>
          <t>MOMENTUM_ONLY</t>
        </is>
      </c>
    </row>
    <row r="597" ht="16" customHeight="1">
      <c r="A597" s="92" t="n">
        <v>593</v>
      </c>
      <c r="B597" s="93" t="inlineStr">
        <is>
          <t>DSP BSE Liquid Rate ETF</t>
        </is>
      </c>
      <c r="C597" s="93" t="inlineStr">
        <is>
          <t>DSP Mutual Fund</t>
        </is>
      </c>
      <c r="D597" s="93" t="inlineStr">
        <is>
          <t>Other  Etfs</t>
        </is>
      </c>
      <c r="E597" s="93" t="inlineStr">
        <is>
          <t>Index Fund</t>
        </is>
      </c>
      <c r="F597" s="94" t="n">
        <v>0.42</v>
      </c>
      <c r="G597" s="94" t="n">
        <v>1.22</v>
      </c>
      <c r="H597" s="94" t="n">
        <v>2.41</v>
      </c>
      <c r="I597" s="94" t="n">
        <v>5</v>
      </c>
      <c r="J597" s="94" t="n">
        <v>5.470374987481685</v>
      </c>
      <c r="K597" s="94" t="n">
        <v>0</v>
      </c>
      <c r="L597" s="17" t="n">
        <v>53.1</v>
      </c>
      <c r="M597" s="18" t="n">
        <v>0</v>
      </c>
      <c r="N597" s="19" t="n">
        <v>29.2</v>
      </c>
      <c r="O597" s="108">
        <f>COUNTIFS($E:$E,$E597,$L:$L,"&gt;"&amp;$L597)+1</f>
        <v/>
      </c>
      <c r="P597" s="108">
        <f>COUNTIFS($E:$E,$E597,$M:$M,"&gt;"&amp;$M597)+1</f>
        <v/>
      </c>
      <c r="Q597" s="108">
        <f>COUNTIFS($E:$E,$E597,$N:$N,"&gt;"&amp;$N597)+1</f>
        <v/>
      </c>
      <c r="R597" s="95" t="inlineStr">
        <is>
          <t>➡️ Neutral</t>
        </is>
      </c>
      <c r="S597" s="95" t="inlineStr">
        <is>
          <t>⏳ New Fund</t>
        </is>
      </c>
      <c r="T597" s="95" t="inlineStr">
        <is>
          <t>⏳ New Fund</t>
        </is>
      </c>
      <c r="U597" s="96" t="inlineStr">
        <is>
          <t>MOMENTUM_ONLY</t>
        </is>
      </c>
    </row>
    <row r="598" ht="16" customHeight="1">
      <c r="A598" s="92" t="n">
        <v>594</v>
      </c>
      <c r="B598" s="93" t="inlineStr">
        <is>
          <t>Mirae Asset Nifty Total Market Index Fund - Regular Plan - Growth</t>
        </is>
      </c>
      <c r="C598" s="93" t="inlineStr">
        <is>
          <t>Mirae Asset Mutual Fund</t>
        </is>
      </c>
      <c r="D598" s="93" t="inlineStr">
        <is>
          <t>Index Funds</t>
        </is>
      </c>
      <c r="E598" s="93" t="inlineStr">
        <is>
          <t>Index Fund</t>
        </is>
      </c>
      <c r="F598" s="94" t="n">
        <v>0.86</v>
      </c>
      <c r="G598" s="94" t="n">
        <v>4.94</v>
      </c>
      <c r="H598" s="94" t="n">
        <v>0.14</v>
      </c>
      <c r="I598" s="94" t="n">
        <v>3.83</v>
      </c>
      <c r="J598" s="94" t="n">
        <v>0</v>
      </c>
      <c r="K598" s="94" t="n">
        <v>0</v>
      </c>
      <c r="L598" s="17" t="n">
        <v>52.9</v>
      </c>
      <c r="M598" s="18" t="n">
        <v>0</v>
      </c>
      <c r="N598" s="19" t="n">
        <v>29.1</v>
      </c>
      <c r="O598" s="108">
        <f>COUNTIFS($E:$E,$E598,$L:$L,"&gt;"&amp;$L598)+1</f>
        <v/>
      </c>
      <c r="P598" s="108">
        <f>COUNTIFS($E:$E,$E598,$M:$M,"&gt;"&amp;$M598)+1</f>
        <v/>
      </c>
      <c r="Q598" s="108">
        <f>COUNTIFS($E:$E,$E598,$N:$N,"&gt;"&amp;$N598)+1</f>
        <v/>
      </c>
      <c r="R598" s="95" t="inlineStr">
        <is>
          <t>➡️ Neutral</t>
        </is>
      </c>
      <c r="S598" s="95" t="inlineStr">
        <is>
          <t>⏳ New Fund</t>
        </is>
      </c>
      <c r="T598" s="95" t="inlineStr">
        <is>
          <t>⏳ New Fund</t>
        </is>
      </c>
      <c r="U598" s="96" t="inlineStr">
        <is>
          <t>MOMENTUM_ONLY</t>
        </is>
      </c>
    </row>
    <row r="599" ht="16" customHeight="1">
      <c r="A599" s="92" t="n">
        <v>595</v>
      </c>
      <c r="B599" s="93" t="inlineStr">
        <is>
          <t>DSP Nifty500 Flexicap Quality 30 Index Fund - Regular - Growth</t>
        </is>
      </c>
      <c r="C599" s="93" t="inlineStr">
        <is>
          <t>DSP Mutual Fund</t>
        </is>
      </c>
      <c r="D599" s="93" t="inlineStr">
        <is>
          <t>Index Funds</t>
        </is>
      </c>
      <c r="E599" s="93" t="inlineStr">
        <is>
          <t>Index Fund</t>
        </is>
      </c>
      <c r="F599" s="94" t="n">
        <v>2.85</v>
      </c>
      <c r="G599" s="94" t="n">
        <v>5.3</v>
      </c>
      <c r="H599" s="94" t="n">
        <v>0.17</v>
      </c>
      <c r="I599" s="94" t="n">
        <v>0</v>
      </c>
      <c r="J599" s="94" t="n">
        <v>0</v>
      </c>
      <c r="K599" s="94" t="n">
        <v>0</v>
      </c>
      <c r="L599" s="17" t="n">
        <v>52.8</v>
      </c>
      <c r="M599" s="18" t="n">
        <v>0</v>
      </c>
      <c r="N599" s="19" t="n">
        <v>29.1</v>
      </c>
      <c r="O599" s="108">
        <f>COUNTIFS($E:$E,$E599,$L:$L,"&gt;"&amp;$L599)+1</f>
        <v/>
      </c>
      <c r="P599" s="108">
        <f>COUNTIFS($E:$E,$E599,$M:$M,"&gt;"&amp;$M599)+1</f>
        <v/>
      </c>
      <c r="Q599" s="108">
        <f>COUNTIFS($E:$E,$E599,$N:$N,"&gt;"&amp;$N599)+1</f>
        <v/>
      </c>
      <c r="R599" s="95" t="inlineStr">
        <is>
          <t>➡️ Neutral</t>
        </is>
      </c>
      <c r="S599" s="95" t="inlineStr">
        <is>
          <t>⏳ New Fund</t>
        </is>
      </c>
      <c r="T599" s="95" t="inlineStr">
        <is>
          <t>⏳ New Fund</t>
        </is>
      </c>
      <c r="U599" s="96" t="inlineStr">
        <is>
          <t>MOMENTUM_ONLY</t>
        </is>
      </c>
    </row>
    <row r="600" ht="16" customHeight="1">
      <c r="A600" s="92" t="n">
        <v>596</v>
      </c>
      <c r="B600" s="93" t="inlineStr">
        <is>
          <t>Baroda BNP Paribas Multi Asset Active FOF Regular ICDW Payout</t>
        </is>
      </c>
      <c r="C600" s="93" t="inlineStr">
        <is>
          <t>Baroda BNP Paribas Mutual Fund</t>
        </is>
      </c>
      <c r="D600" s="93" t="inlineStr">
        <is>
          <t>Fof Domestic</t>
        </is>
      </c>
      <c r="E600" s="93" t="inlineStr">
        <is>
          <t>Standard Equity/Debt</t>
        </is>
      </c>
      <c r="F600" s="94" t="n">
        <v>2.31</v>
      </c>
      <c r="G600" s="94" t="n">
        <v>1.37</v>
      </c>
      <c r="H600" s="94" t="n">
        <v>1.43</v>
      </c>
      <c r="I600" s="94" t="n">
        <v>13.14</v>
      </c>
      <c r="J600" s="94" t="n">
        <v>0</v>
      </c>
      <c r="K600" s="94" t="n">
        <v>0</v>
      </c>
      <c r="L600" s="17" t="n">
        <v>52.8</v>
      </c>
      <c r="M600" s="18" t="n">
        <v>0</v>
      </c>
      <c r="N600" s="19" t="n">
        <v>29</v>
      </c>
      <c r="O600" s="108">
        <f>COUNTIFS($E:$E,$E600,$L:$L,"&gt;"&amp;$L600)+1</f>
        <v/>
      </c>
      <c r="P600" s="108">
        <f>COUNTIFS($E:$E,$E600,$M:$M,"&gt;"&amp;$M600)+1</f>
        <v/>
      </c>
      <c r="Q600" s="108">
        <f>COUNTIFS($E:$E,$E600,$N:$N,"&gt;"&amp;$N600)+1</f>
        <v/>
      </c>
      <c r="R600" s="95" t="inlineStr">
        <is>
          <t>➡️ Neutral</t>
        </is>
      </c>
      <c r="S600" s="95" t="inlineStr">
        <is>
          <t>⏳ New Fund</t>
        </is>
      </c>
      <c r="T600" s="95" t="inlineStr">
        <is>
          <t>⏳ New Fund</t>
        </is>
      </c>
      <c r="U600" s="96" t="inlineStr">
        <is>
          <t>MOMENTUM_ONLY</t>
        </is>
      </c>
    </row>
    <row r="601" ht="16" customHeight="1">
      <c r="A601" s="92" t="n">
        <v>597</v>
      </c>
      <c r="B601" s="93" t="inlineStr">
        <is>
          <t>Baroda BNP Paribas Multi Asset Active FOF Regular Growth</t>
        </is>
      </c>
      <c r="C601" s="93" t="inlineStr">
        <is>
          <t>Baroda BNP Paribas Mutual Fund</t>
        </is>
      </c>
      <c r="D601" s="93" t="inlineStr">
        <is>
          <t>Fof Domestic</t>
        </is>
      </c>
      <c r="E601" s="93" t="inlineStr">
        <is>
          <t>Standard Equity/Debt</t>
        </is>
      </c>
      <c r="F601" s="94" t="n">
        <v>2.31</v>
      </c>
      <c r="G601" s="94" t="n">
        <v>1.37</v>
      </c>
      <c r="H601" s="94" t="n">
        <v>1.43</v>
      </c>
      <c r="I601" s="94" t="n">
        <v>13.14</v>
      </c>
      <c r="J601" s="94" t="n">
        <v>0</v>
      </c>
      <c r="K601" s="94" t="n">
        <v>0</v>
      </c>
      <c r="L601" s="17" t="n">
        <v>52.8</v>
      </c>
      <c r="M601" s="18" t="n">
        <v>0</v>
      </c>
      <c r="N601" s="19" t="n">
        <v>29</v>
      </c>
      <c r="O601" s="108">
        <f>COUNTIFS($E:$E,$E601,$L:$L,"&gt;"&amp;$L601)+1</f>
        <v/>
      </c>
      <c r="P601" s="108">
        <f>COUNTIFS($E:$E,$E601,$M:$M,"&gt;"&amp;$M601)+1</f>
        <v/>
      </c>
      <c r="Q601" s="108">
        <f>COUNTIFS($E:$E,$E601,$N:$N,"&gt;"&amp;$N601)+1</f>
        <v/>
      </c>
      <c r="R601" s="95" t="inlineStr">
        <is>
          <t>➡️ Neutral</t>
        </is>
      </c>
      <c r="S601" s="95" t="inlineStr">
        <is>
          <t>⏳ New Fund</t>
        </is>
      </c>
      <c r="T601" s="95" t="inlineStr">
        <is>
          <t>⏳ New Fund</t>
        </is>
      </c>
      <c r="U601" s="96" t="inlineStr">
        <is>
          <t>MOMENTUM_ONLY</t>
        </is>
      </c>
    </row>
    <row r="602" ht="16" customHeight="1">
      <c r="A602" s="92" t="n">
        <v>598</v>
      </c>
      <c r="B602" s="93" t="inlineStr">
        <is>
          <t>Tata Nifty500 Multicap Infrastructure 50:30:20 Index Fund - Regular Plan - Growth</t>
        </is>
      </c>
      <c r="C602" s="93" t="inlineStr">
        <is>
          <t>Tata Mutual Fund</t>
        </is>
      </c>
      <c r="D602" s="93" t="inlineStr">
        <is>
          <t>Index Funds</t>
        </is>
      </c>
      <c r="E602" s="93" t="inlineStr">
        <is>
          <t>Infrastructure</t>
        </is>
      </c>
      <c r="F602" s="94" t="n">
        <v>0.48</v>
      </c>
      <c r="G602" s="94" t="n">
        <v>3.5</v>
      </c>
      <c r="H602" s="94" t="n">
        <v>1.84</v>
      </c>
      <c r="I602" s="94" t="n">
        <v>6.36</v>
      </c>
      <c r="J602" s="94" t="n">
        <v>0.5484957619953601</v>
      </c>
      <c r="K602" s="94" t="n">
        <v>0</v>
      </c>
      <c r="L602" s="17" t="n">
        <v>52.7</v>
      </c>
      <c r="M602" s="18" t="n">
        <v>0</v>
      </c>
      <c r="N602" s="19" t="n">
        <v>29</v>
      </c>
      <c r="O602" s="108">
        <f>COUNTIFS($E:$E,$E602,$L:$L,"&gt;"&amp;$L602)+1</f>
        <v/>
      </c>
      <c r="P602" s="108">
        <f>COUNTIFS($E:$E,$E602,$M:$M,"&gt;"&amp;$M602)+1</f>
        <v/>
      </c>
      <c r="Q602" s="108">
        <f>COUNTIFS($E:$E,$E602,$N:$N,"&gt;"&amp;$N602)+1</f>
        <v/>
      </c>
      <c r="R602" s="95" t="inlineStr">
        <is>
          <t>➡️ Neutral</t>
        </is>
      </c>
      <c r="S602" s="95" t="inlineStr">
        <is>
          <t>⏳ New Fund</t>
        </is>
      </c>
      <c r="T602" s="95" t="inlineStr">
        <is>
          <t>⏳ New Fund</t>
        </is>
      </c>
      <c r="U602" s="96" t="inlineStr">
        <is>
          <t>MOMENTUM_ONLY</t>
        </is>
      </c>
    </row>
    <row r="603" ht="16" customHeight="1">
      <c r="A603" s="92" t="n">
        <v>599</v>
      </c>
      <c r="B603" s="93" t="inlineStr">
        <is>
          <t>Bajaj Finserv Nifty 1D Rate Liquid ETF</t>
        </is>
      </c>
      <c r="C603" s="93" t="inlineStr">
        <is>
          <t>Bajaj Finserv Mutual Fund</t>
        </is>
      </c>
      <c r="D603" s="93" t="inlineStr">
        <is>
          <t>Other  Etfs</t>
        </is>
      </c>
      <c r="E603" s="93" t="inlineStr">
        <is>
          <t>Index Fund</t>
        </is>
      </c>
      <c r="F603" s="94" t="n">
        <v>0.42</v>
      </c>
      <c r="G603" s="94" t="n">
        <v>1.2</v>
      </c>
      <c r="H603" s="94" t="n">
        <v>2.38</v>
      </c>
      <c r="I603" s="94" t="n">
        <v>4.91</v>
      </c>
      <c r="J603" s="94" t="n">
        <v>4.642247682281742</v>
      </c>
      <c r="K603" s="94" t="n">
        <v>0</v>
      </c>
      <c r="L603" s="17" t="n">
        <v>52.7</v>
      </c>
      <c r="M603" s="18" t="n">
        <v>0</v>
      </c>
      <c r="N603" s="19" t="n">
        <v>29</v>
      </c>
      <c r="O603" s="108">
        <f>COUNTIFS($E:$E,$E603,$L:$L,"&gt;"&amp;$L603)+1</f>
        <v/>
      </c>
      <c r="P603" s="108">
        <f>COUNTIFS($E:$E,$E603,$M:$M,"&gt;"&amp;$M603)+1</f>
        <v/>
      </c>
      <c r="Q603" s="108">
        <f>COUNTIFS($E:$E,$E603,$N:$N,"&gt;"&amp;$N603)+1</f>
        <v/>
      </c>
      <c r="R603" s="95" t="inlineStr">
        <is>
          <t>➡️ Neutral</t>
        </is>
      </c>
      <c r="S603" s="95" t="inlineStr">
        <is>
          <t>⏳ New Fund</t>
        </is>
      </c>
      <c r="T603" s="95" t="inlineStr">
        <is>
          <t>⏳ New Fund</t>
        </is>
      </c>
      <c r="U603" s="96" t="inlineStr">
        <is>
          <t>MOMENTUM_ONLY</t>
        </is>
      </c>
    </row>
    <row r="604" ht="16" customHeight="1">
      <c r="A604" s="92" t="n">
        <v>600</v>
      </c>
      <c r="B604" s="93" t="inlineStr">
        <is>
          <t>ANGEL ONE NIFTY TOTAL MARKET INDEX FUND REGULAR PLAN GROWTH OPTION</t>
        </is>
      </c>
      <c r="C604" s="93" t="inlineStr">
        <is>
          <t>Angel One Mutual Fund</t>
        </is>
      </c>
      <c r="D604" s="93" t="inlineStr">
        <is>
          <t>Index Funds</t>
        </is>
      </c>
      <c r="E604" s="93" t="inlineStr">
        <is>
          <t>Index Fund</t>
        </is>
      </c>
      <c r="F604" s="94" t="n">
        <v>0.86</v>
      </c>
      <c r="G604" s="94" t="n">
        <v>4.92</v>
      </c>
      <c r="H604" s="94" t="n">
        <v>0.12</v>
      </c>
      <c r="I604" s="94" t="n">
        <v>3.78</v>
      </c>
      <c r="J604" s="94" t="n">
        <v>0</v>
      </c>
      <c r="K604" s="94" t="n">
        <v>0</v>
      </c>
      <c r="L604" s="17" t="n">
        <v>52.6</v>
      </c>
      <c r="M604" s="18" t="n">
        <v>0</v>
      </c>
      <c r="N604" s="19" t="n">
        <v>29</v>
      </c>
      <c r="O604" s="108">
        <f>COUNTIFS($E:$E,$E604,$L:$L,"&gt;"&amp;$L604)+1</f>
        <v/>
      </c>
      <c r="P604" s="108">
        <f>COUNTIFS($E:$E,$E604,$M:$M,"&gt;"&amp;$M604)+1</f>
        <v/>
      </c>
      <c r="Q604" s="108">
        <f>COUNTIFS($E:$E,$E604,$N:$N,"&gt;"&amp;$N604)+1</f>
        <v/>
      </c>
      <c r="R604" s="95" t="inlineStr">
        <is>
          <t>➡️ Neutral</t>
        </is>
      </c>
      <c r="S604" s="95" t="inlineStr">
        <is>
          <t>⏳ New Fund</t>
        </is>
      </c>
      <c r="T604" s="95" t="inlineStr">
        <is>
          <t>⏳ New Fund</t>
        </is>
      </c>
      <c r="U604" s="96" t="inlineStr">
        <is>
          <t>MOMENTUM_ONLY</t>
        </is>
      </c>
    </row>
    <row r="605" ht="16" customHeight="1">
      <c r="A605" s="92" t="n">
        <v>601</v>
      </c>
      <c r="B605" s="93" t="inlineStr">
        <is>
          <t>Nippon India Income Plus Arbitrage Active Fund of Fund -Regular Plan- Growth Option</t>
        </is>
      </c>
      <c r="C605" s="93" t="inlineStr">
        <is>
          <t>Nippon India Mutual Fund</t>
        </is>
      </c>
      <c r="D605" s="93" t="inlineStr">
        <is>
          <t>Fof Domestic</t>
        </is>
      </c>
      <c r="E605" s="93" t="inlineStr">
        <is>
          <t>Standard Equity/Debt</t>
        </is>
      </c>
      <c r="F605" s="94" t="n">
        <v>0.48</v>
      </c>
      <c r="G605" s="94" t="n">
        <v>2.23</v>
      </c>
      <c r="H605" s="94" t="n">
        <v>2.94</v>
      </c>
      <c r="I605" s="94" t="n">
        <v>5.77</v>
      </c>
      <c r="J605" s="94" t="n">
        <v>0</v>
      </c>
      <c r="K605" s="94" t="n">
        <v>0</v>
      </c>
      <c r="L605" s="17" t="n">
        <v>52.5</v>
      </c>
      <c r="M605" s="18" t="n">
        <v>0</v>
      </c>
      <c r="N605" s="19" t="n">
        <v>28.9</v>
      </c>
      <c r="O605" s="108">
        <f>COUNTIFS($E:$E,$E605,$L:$L,"&gt;"&amp;$L605)+1</f>
        <v/>
      </c>
      <c r="P605" s="108">
        <f>COUNTIFS($E:$E,$E605,$M:$M,"&gt;"&amp;$M605)+1</f>
        <v/>
      </c>
      <c r="Q605" s="108">
        <f>COUNTIFS($E:$E,$E605,$N:$N,"&gt;"&amp;$N605)+1</f>
        <v/>
      </c>
      <c r="R605" s="95" t="inlineStr">
        <is>
          <t>➡️ Neutral</t>
        </is>
      </c>
      <c r="S605" s="95" t="inlineStr">
        <is>
          <t>⏳ New Fund</t>
        </is>
      </c>
      <c r="T605" s="95" t="inlineStr">
        <is>
          <t>⏳ New Fund</t>
        </is>
      </c>
      <c r="U605" s="96" t="inlineStr">
        <is>
          <t>MOMENTUM_ONLY</t>
        </is>
      </c>
    </row>
    <row r="606" ht="16" customHeight="1">
      <c r="A606" s="92" t="n">
        <v>602</v>
      </c>
      <c r="B606" s="93" t="inlineStr">
        <is>
          <t>Kotak Nifty200 Quality 30 ETF</t>
        </is>
      </c>
      <c r="C606" s="93" t="inlineStr">
        <is>
          <t>Kotak Mahindra Mutual Fund</t>
        </is>
      </c>
      <c r="D606" s="93" t="inlineStr">
        <is>
          <t>Other  Etfs</t>
        </is>
      </c>
      <c r="E606" s="93" t="inlineStr">
        <is>
          <t>Index Fund</t>
        </is>
      </c>
      <c r="F606" s="94" t="n">
        <v>2.43</v>
      </c>
      <c r="G606" s="94" t="n">
        <v>2.6</v>
      </c>
      <c r="H606" s="94" t="n">
        <v>0.51</v>
      </c>
      <c r="I606" s="94" t="n">
        <v>3.48</v>
      </c>
      <c r="J606" s="94" t="n">
        <v>0</v>
      </c>
      <c r="K606" s="94" t="n">
        <v>0</v>
      </c>
      <c r="L606" s="17" t="n">
        <v>52.4</v>
      </c>
      <c r="M606" s="18" t="n">
        <v>0</v>
      </c>
      <c r="N606" s="19" t="n">
        <v>28.8</v>
      </c>
      <c r="O606" s="108">
        <f>COUNTIFS($E:$E,$E606,$L:$L,"&gt;"&amp;$L606)+1</f>
        <v/>
      </c>
      <c r="P606" s="108">
        <f>COUNTIFS($E:$E,$E606,$M:$M,"&gt;"&amp;$M606)+1</f>
        <v/>
      </c>
      <c r="Q606" s="108">
        <f>COUNTIFS($E:$E,$E606,$N:$N,"&gt;"&amp;$N606)+1</f>
        <v/>
      </c>
      <c r="R606" s="95" t="inlineStr">
        <is>
          <t>➡️ Neutral</t>
        </is>
      </c>
      <c r="S606" s="95" t="inlineStr">
        <is>
          <t>⏳ New Fund</t>
        </is>
      </c>
      <c r="T606" s="95" t="inlineStr">
        <is>
          <t>⏳ New Fund</t>
        </is>
      </c>
      <c r="U606" s="96" t="inlineStr">
        <is>
          <t>MOMENTUM_ONLY</t>
        </is>
      </c>
    </row>
    <row r="607" ht="16" customHeight="1">
      <c r="A607" s="92" t="n">
        <v>603</v>
      </c>
      <c r="B607" s="93" t="inlineStr">
        <is>
          <t>Union Gold ETF Fund of Fund - Regular Plan - Growth Option</t>
        </is>
      </c>
      <c r="C607" s="93" t="inlineStr">
        <is>
          <t>Union Mutual Fund</t>
        </is>
      </c>
      <c r="D607" s="93" t="inlineStr">
        <is>
          <t>Fof Domestic</t>
        </is>
      </c>
      <c r="E607" s="93" t="inlineStr">
        <is>
          <t>Gold</t>
        </is>
      </c>
      <c r="F607" s="94" t="n">
        <v>8.48</v>
      </c>
      <c r="G607" s="97" t="n">
        <v>-3.33</v>
      </c>
      <c r="H607" s="94" t="n">
        <v>0.11</v>
      </c>
      <c r="I607" s="94" t="n">
        <v>49.98</v>
      </c>
      <c r="J607" s="94" t="n">
        <v>0</v>
      </c>
      <c r="K607" s="94" t="n">
        <v>0</v>
      </c>
      <c r="L607" s="17" t="n">
        <v>52.3</v>
      </c>
      <c r="M607" s="18" t="n">
        <v>0</v>
      </c>
      <c r="N607" s="19" t="n">
        <v>28.8</v>
      </c>
      <c r="O607" s="108">
        <f>COUNTIFS($E:$E,$E607,$L:$L,"&gt;"&amp;$L607)+1</f>
        <v/>
      </c>
      <c r="P607" s="108">
        <f>COUNTIFS($E:$E,$E607,$M:$M,"&gt;"&amp;$M607)+1</f>
        <v/>
      </c>
      <c r="Q607" s="108">
        <f>COUNTIFS($E:$E,$E607,$N:$N,"&gt;"&amp;$N607)+1</f>
        <v/>
      </c>
      <c r="R607" s="95" t="inlineStr">
        <is>
          <t>➡️ Neutral</t>
        </is>
      </c>
      <c r="S607" s="95" t="inlineStr">
        <is>
          <t>⏳ New Fund</t>
        </is>
      </c>
      <c r="T607" s="95" t="inlineStr">
        <is>
          <t>⏳ New Fund</t>
        </is>
      </c>
      <c r="U607" s="96" t="inlineStr">
        <is>
          <t>MOMENTUM_ONLY</t>
        </is>
      </c>
    </row>
    <row r="608" ht="16" customHeight="1">
      <c r="A608" s="92" t="n">
        <v>604</v>
      </c>
      <c r="B608" s="93" t="inlineStr">
        <is>
          <t>Kotak Nifty Midcap 150 Momentum 50 Index Fund-Regular Plan-Growth</t>
        </is>
      </c>
      <c r="C608" s="93" t="inlineStr">
        <is>
          <t>Kotak Mahindra Mutual Fund</t>
        </is>
      </c>
      <c r="D608" s="93" t="inlineStr">
        <is>
          <t>Index Funds</t>
        </is>
      </c>
      <c r="E608" s="93" t="inlineStr">
        <is>
          <t>Index Fund</t>
        </is>
      </c>
      <c r="F608" s="94" t="n">
        <v>3.17</v>
      </c>
      <c r="G608" s="94" t="n">
        <v>3.12</v>
      </c>
      <c r="H608" s="94" t="n">
        <v>1.64</v>
      </c>
      <c r="I608" s="94" t="n">
        <v>5.33</v>
      </c>
      <c r="J608" s="94" t="n">
        <v>0</v>
      </c>
      <c r="K608" s="94" t="n">
        <v>0</v>
      </c>
      <c r="L608" s="17" t="n">
        <v>51.8</v>
      </c>
      <c r="M608" s="18" t="n">
        <v>0</v>
      </c>
      <c r="N608" s="19" t="n">
        <v>28.5</v>
      </c>
      <c r="O608" s="108">
        <f>COUNTIFS($E:$E,$E608,$L:$L,"&gt;"&amp;$L608)+1</f>
        <v/>
      </c>
      <c r="P608" s="108">
        <f>COUNTIFS($E:$E,$E608,$M:$M,"&gt;"&amp;$M608)+1</f>
        <v/>
      </c>
      <c r="Q608" s="108">
        <f>COUNTIFS($E:$E,$E608,$N:$N,"&gt;"&amp;$N608)+1</f>
        <v/>
      </c>
      <c r="R608" s="95" t="inlineStr">
        <is>
          <t>➡️ Neutral</t>
        </is>
      </c>
      <c r="S608" s="95" t="inlineStr">
        <is>
          <t>⏳ New Fund</t>
        </is>
      </c>
      <c r="T608" s="95" t="inlineStr">
        <is>
          <t>⏳ New Fund</t>
        </is>
      </c>
      <c r="U608" s="96" t="inlineStr">
        <is>
          <t>MOMENTUM_ONLY</t>
        </is>
      </c>
    </row>
    <row r="609" ht="16" customHeight="1">
      <c r="A609" s="92" t="n">
        <v>605</v>
      </c>
      <c r="B609" s="93" t="inlineStr">
        <is>
          <t>Bandhan Nifty Total Market Index Fund - Regular Plan - Growth</t>
        </is>
      </c>
      <c r="C609" s="93" t="inlineStr">
        <is>
          <t>Bandhan Mutual Fund</t>
        </is>
      </c>
      <c r="D609" s="93" t="inlineStr">
        <is>
          <t>Index Funds</t>
        </is>
      </c>
      <c r="E609" s="93" t="inlineStr">
        <is>
          <t>Index Fund</t>
        </is>
      </c>
      <c r="F609" s="94" t="n">
        <v>0.83</v>
      </c>
      <c r="G609" s="94" t="n">
        <v>4.8</v>
      </c>
      <c r="H609" s="97" t="n">
        <v>-0.04</v>
      </c>
      <c r="I609" s="94" t="n">
        <v>3.56</v>
      </c>
      <c r="J609" s="94" t="n">
        <v>0.8265837961398015</v>
      </c>
      <c r="K609" s="94" t="n">
        <v>0</v>
      </c>
      <c r="L609" s="17" t="n">
        <v>51.6</v>
      </c>
      <c r="M609" s="18" t="n">
        <v>0</v>
      </c>
      <c r="N609" s="19" t="n">
        <v>28.4</v>
      </c>
      <c r="O609" s="108">
        <f>COUNTIFS($E:$E,$E609,$L:$L,"&gt;"&amp;$L609)+1</f>
        <v/>
      </c>
      <c r="P609" s="108">
        <f>COUNTIFS($E:$E,$E609,$M:$M,"&gt;"&amp;$M609)+1</f>
        <v/>
      </c>
      <c r="Q609" s="108">
        <f>COUNTIFS($E:$E,$E609,$N:$N,"&gt;"&amp;$N609)+1</f>
        <v/>
      </c>
      <c r="R609" s="95" t="inlineStr">
        <is>
          <t>➡️ Neutral</t>
        </is>
      </c>
      <c r="S609" s="95" t="inlineStr">
        <is>
          <t>⏳ New Fund</t>
        </is>
      </c>
      <c r="T609" s="95" t="inlineStr">
        <is>
          <t>⏳ New Fund</t>
        </is>
      </c>
      <c r="U609" s="96" t="inlineStr">
        <is>
          <t>MOMENTUM_ONLY</t>
        </is>
      </c>
    </row>
    <row r="610" ht="16" customHeight="1">
      <c r="A610" s="92" t="n">
        <v>606</v>
      </c>
      <c r="B610" s="93" t="inlineStr">
        <is>
          <t>MOTILAL OSWAL NIFTY 50 EQUAL WEIGHT ETF</t>
        </is>
      </c>
      <c r="C610" s="93" t="inlineStr">
        <is>
          <t>Motilal Oswal Mutual Fund</t>
        </is>
      </c>
      <c r="D610" s="93" t="inlineStr">
        <is>
          <t>Other  Etfs</t>
        </is>
      </c>
      <c r="E610" s="93" t="inlineStr">
        <is>
          <t>Index Fund</t>
        </is>
      </c>
      <c r="F610" s="94" t="n">
        <v>0.65</v>
      </c>
      <c r="G610" s="94" t="n">
        <v>2.81</v>
      </c>
      <c r="H610" s="97" t="n">
        <v>-1.24</v>
      </c>
      <c r="I610" s="94" t="n">
        <v>7.01</v>
      </c>
      <c r="J610" s="94" t="n">
        <v>0</v>
      </c>
      <c r="K610" s="94" t="n">
        <v>0</v>
      </c>
      <c r="L610" s="17" t="n">
        <v>51.5</v>
      </c>
      <c r="M610" s="18" t="n">
        <v>0</v>
      </c>
      <c r="N610" s="19" t="n">
        <v>28.3</v>
      </c>
      <c r="O610" s="108">
        <f>COUNTIFS($E:$E,$E610,$L:$L,"&gt;"&amp;$L610)+1</f>
        <v/>
      </c>
      <c r="P610" s="108">
        <f>COUNTIFS($E:$E,$E610,$M:$M,"&gt;"&amp;$M610)+1</f>
        <v/>
      </c>
      <c r="Q610" s="108">
        <f>COUNTIFS($E:$E,$E610,$N:$N,"&gt;"&amp;$N610)+1</f>
        <v/>
      </c>
      <c r="R610" s="95" t="inlineStr">
        <is>
          <t>➡️ Neutral</t>
        </is>
      </c>
      <c r="S610" s="95" t="inlineStr">
        <is>
          <t>⏳ New Fund</t>
        </is>
      </c>
      <c r="T610" s="95" t="inlineStr">
        <is>
          <t>⏳ New Fund</t>
        </is>
      </c>
      <c r="U610" s="96" t="inlineStr">
        <is>
          <t>MOMENTUM_ONLY</t>
        </is>
      </c>
    </row>
    <row r="611" ht="16" customHeight="1">
      <c r="A611" s="92" t="n">
        <v>607</v>
      </c>
      <c r="B611" s="93" t="inlineStr">
        <is>
          <t>Shriram Nifty 1D Rate Liquid ETF - Growth</t>
        </is>
      </c>
      <c r="C611" s="93" t="inlineStr">
        <is>
          <t>Shriram Mutual Fund</t>
        </is>
      </c>
      <c r="D611" s="93" t="inlineStr">
        <is>
          <t>Other  Etfs</t>
        </is>
      </c>
      <c r="E611" s="93" t="inlineStr">
        <is>
          <t>Index Fund</t>
        </is>
      </c>
      <c r="F611" s="94" t="n">
        <v>0.4</v>
      </c>
      <c r="G611" s="94" t="n">
        <v>1.17</v>
      </c>
      <c r="H611" s="94" t="n">
        <v>2.31</v>
      </c>
      <c r="I611" s="94" t="n">
        <v>4.82</v>
      </c>
      <c r="J611" s="94" t="n">
        <v>5.318564365452683</v>
      </c>
      <c r="K611" s="94" t="n">
        <v>0</v>
      </c>
      <c r="L611" s="17" t="n">
        <v>51.4</v>
      </c>
      <c r="M611" s="18" t="n">
        <v>0</v>
      </c>
      <c r="N611" s="19" t="n">
        <v>28.3</v>
      </c>
      <c r="O611" s="108">
        <f>COUNTIFS($E:$E,$E611,$L:$L,"&gt;"&amp;$L611)+1</f>
        <v/>
      </c>
      <c r="P611" s="108">
        <f>COUNTIFS($E:$E,$E611,$M:$M,"&gt;"&amp;$M611)+1</f>
        <v/>
      </c>
      <c r="Q611" s="108">
        <f>COUNTIFS($E:$E,$E611,$N:$N,"&gt;"&amp;$N611)+1</f>
        <v/>
      </c>
      <c r="R611" s="95" t="inlineStr">
        <is>
          <t>➡️ Neutral</t>
        </is>
      </c>
      <c r="S611" s="95" t="inlineStr">
        <is>
          <t>⏳ New Fund</t>
        </is>
      </c>
      <c r="T611" s="95" t="inlineStr">
        <is>
          <t>⏳ New Fund</t>
        </is>
      </c>
      <c r="U611" s="96" t="inlineStr">
        <is>
          <t>MOMENTUM_ONLY</t>
        </is>
      </c>
    </row>
    <row r="612" ht="16" customHeight="1">
      <c r="A612" s="92" t="n">
        <v>608</v>
      </c>
      <c r="B612" s="93" t="inlineStr">
        <is>
          <t>Nippon India Nifty 1D Rate Liquid ETF-Growth</t>
        </is>
      </c>
      <c r="C612" s="93" t="inlineStr">
        <is>
          <t>Nippon India Mutual Fund</t>
        </is>
      </c>
      <c r="D612" s="93" t="inlineStr">
        <is>
          <t>Other  Etfs</t>
        </is>
      </c>
      <c r="E612" s="93" t="inlineStr">
        <is>
          <t>Index Fund</t>
        </is>
      </c>
      <c r="F612" s="94" t="n">
        <v>0.4</v>
      </c>
      <c r="G612" s="94" t="n">
        <v>1.17</v>
      </c>
      <c r="H612" s="94" t="n">
        <v>2.31</v>
      </c>
      <c r="I612" s="94" t="n">
        <v>4.8</v>
      </c>
      <c r="J612" s="94" t="n">
        <v>0</v>
      </c>
      <c r="K612" s="94" t="n">
        <v>0</v>
      </c>
      <c r="L612" s="17" t="n">
        <v>51.3</v>
      </c>
      <c r="M612" s="18" t="n">
        <v>0</v>
      </c>
      <c r="N612" s="19" t="n">
        <v>28.2</v>
      </c>
      <c r="O612" s="108">
        <f>COUNTIFS($E:$E,$E612,$L:$L,"&gt;"&amp;$L612)+1</f>
        <v/>
      </c>
      <c r="P612" s="108">
        <f>COUNTIFS($E:$E,$E612,$M:$M,"&gt;"&amp;$M612)+1</f>
        <v/>
      </c>
      <c r="Q612" s="108">
        <f>COUNTIFS($E:$E,$E612,$N:$N,"&gt;"&amp;$N612)+1</f>
        <v/>
      </c>
      <c r="R612" s="95" t="inlineStr">
        <is>
          <t>➡️ Neutral</t>
        </is>
      </c>
      <c r="S612" s="95" t="inlineStr">
        <is>
          <t>⏳ New Fund</t>
        </is>
      </c>
      <c r="T612" s="95" t="inlineStr">
        <is>
          <t>⏳ New Fund</t>
        </is>
      </c>
      <c r="U612" s="96" t="inlineStr">
        <is>
          <t>MOMENTUM_ONLY</t>
        </is>
      </c>
    </row>
    <row r="613" ht="16" customHeight="1">
      <c r="A613" s="92" t="n">
        <v>609</v>
      </c>
      <c r="B613" s="93" t="inlineStr">
        <is>
          <t>Mirae Asset Nifty 50 Equal Weight ETF</t>
        </is>
      </c>
      <c r="C613" s="93" t="inlineStr">
        <is>
          <t>Mirae Asset Mutual Fund</t>
        </is>
      </c>
      <c r="D613" s="93" t="inlineStr">
        <is>
          <t>Other  Etfs</t>
        </is>
      </c>
      <c r="E613" s="93" t="inlineStr">
        <is>
          <t>Index Fund</t>
        </is>
      </c>
      <c r="F613" s="94" t="n">
        <v>0.68</v>
      </c>
      <c r="G613" s="94" t="n">
        <v>2.9</v>
      </c>
      <c r="H613" s="97" t="n">
        <v>-1.46</v>
      </c>
      <c r="I613" s="94" t="n">
        <v>6.8</v>
      </c>
      <c r="J613" s="94" t="n">
        <v>0</v>
      </c>
      <c r="K613" s="94" t="n">
        <v>0</v>
      </c>
      <c r="L613" s="17" t="n">
        <v>51.2</v>
      </c>
      <c r="M613" s="18" t="n">
        <v>0</v>
      </c>
      <c r="N613" s="19" t="n">
        <v>28.2</v>
      </c>
      <c r="O613" s="108">
        <f>COUNTIFS($E:$E,$E613,$L:$L,"&gt;"&amp;$L613)+1</f>
        <v/>
      </c>
      <c r="P613" s="108">
        <f>COUNTIFS($E:$E,$E613,$M:$M,"&gt;"&amp;$M613)+1</f>
        <v/>
      </c>
      <c r="Q613" s="108">
        <f>COUNTIFS($E:$E,$E613,$N:$N,"&gt;"&amp;$N613)+1</f>
        <v/>
      </c>
      <c r="R613" s="95" t="inlineStr">
        <is>
          <t>➡️ Neutral</t>
        </is>
      </c>
      <c r="S613" s="95" t="inlineStr">
        <is>
          <t>⏳ New Fund</t>
        </is>
      </c>
      <c r="T613" s="95" t="inlineStr">
        <is>
          <t>⏳ New Fund</t>
        </is>
      </c>
      <c r="U613" s="96" t="inlineStr">
        <is>
          <t>MOMENTUM_ONLY</t>
        </is>
      </c>
    </row>
    <row r="614" ht="16" customHeight="1">
      <c r="A614" s="92" t="n">
        <v>610</v>
      </c>
      <c r="B614" s="93" t="inlineStr">
        <is>
          <t>Mirae Asset Nifty India Infrastructure &amp; Logistics ETF</t>
        </is>
      </c>
      <c r="C614" s="93" t="inlineStr">
        <is>
          <t>Mirae Asset Mutual Fund</t>
        </is>
      </c>
      <c r="D614" s="93" t="inlineStr">
        <is>
          <t>Other  Etfs</t>
        </is>
      </c>
      <c r="E614" s="93" t="inlineStr">
        <is>
          <t>Infrastructure</t>
        </is>
      </c>
      <c r="F614" s="94" t="n">
        <v>0.09</v>
      </c>
      <c r="G614" s="94" t="n">
        <v>3.68</v>
      </c>
      <c r="H614" s="94" t="n">
        <v>5.13</v>
      </c>
      <c r="I614" s="94" t="n">
        <v>0</v>
      </c>
      <c r="J614" s="94" t="n">
        <v>0</v>
      </c>
      <c r="K614" s="94" t="n">
        <v>0</v>
      </c>
      <c r="L614" s="17" t="n">
        <v>51</v>
      </c>
      <c r="M614" s="18" t="n">
        <v>0</v>
      </c>
      <c r="N614" s="19" t="n">
        <v>28.1</v>
      </c>
      <c r="O614" s="108">
        <f>COUNTIFS($E:$E,$E614,$L:$L,"&gt;"&amp;$L614)+1</f>
        <v/>
      </c>
      <c r="P614" s="108">
        <f>COUNTIFS($E:$E,$E614,$M:$M,"&gt;"&amp;$M614)+1</f>
        <v/>
      </c>
      <c r="Q614" s="108">
        <f>COUNTIFS($E:$E,$E614,$N:$N,"&gt;"&amp;$N614)+1</f>
        <v/>
      </c>
      <c r="R614" s="95" t="inlineStr">
        <is>
          <t>➡️ Neutral</t>
        </is>
      </c>
      <c r="S614" s="95" t="inlineStr">
        <is>
          <t>⏳ New Fund</t>
        </is>
      </c>
      <c r="T614" s="95" t="inlineStr">
        <is>
          <t>⏳ New Fund</t>
        </is>
      </c>
      <c r="U614" s="96" t="inlineStr">
        <is>
          <t>MOMENTUM_ONLY</t>
        </is>
      </c>
    </row>
    <row r="615" ht="16" customHeight="1">
      <c r="A615" s="92" t="n">
        <v>611</v>
      </c>
      <c r="B615" s="93" t="inlineStr">
        <is>
          <t>Aditya Birla Sun Life Crisil 10 Year Gilt ETF</t>
        </is>
      </c>
      <c r="C615" s="93" t="inlineStr">
        <is>
          <t>Aditya Birla Sun Life Mutual Fund</t>
        </is>
      </c>
      <c r="D615" s="93" t="inlineStr">
        <is>
          <t>Other  Etfs</t>
        </is>
      </c>
      <c r="E615" s="93" t="inlineStr">
        <is>
          <t>GILT</t>
        </is>
      </c>
      <c r="F615" s="94" t="n">
        <v>0.24</v>
      </c>
      <c r="G615" s="94" t="n">
        <v>3.51</v>
      </c>
      <c r="H615" s="94" t="n">
        <v>2.25</v>
      </c>
      <c r="I615" s="94" t="n">
        <v>3.33</v>
      </c>
      <c r="J615" s="94" t="n">
        <v>6.160256216721716</v>
      </c>
      <c r="K615" s="94" t="n">
        <v>0</v>
      </c>
      <c r="L615" s="17" t="n">
        <v>50.9</v>
      </c>
      <c r="M615" s="18" t="n">
        <v>0</v>
      </c>
      <c r="N615" s="19" t="n">
        <v>28</v>
      </c>
      <c r="O615" s="108">
        <f>COUNTIFS($E:$E,$E615,$L:$L,"&gt;"&amp;$L615)+1</f>
        <v/>
      </c>
      <c r="P615" s="108">
        <f>COUNTIFS($E:$E,$E615,$M:$M,"&gt;"&amp;$M615)+1</f>
        <v/>
      </c>
      <c r="Q615" s="108">
        <f>COUNTIFS($E:$E,$E615,$N:$N,"&gt;"&amp;$N615)+1</f>
        <v/>
      </c>
      <c r="R615" s="95" t="inlineStr">
        <is>
          <t>➡️ Neutral</t>
        </is>
      </c>
      <c r="S615" s="95" t="inlineStr">
        <is>
          <t>⏳ New Fund</t>
        </is>
      </c>
      <c r="T615" s="95" t="inlineStr">
        <is>
          <t>⏳ New Fund</t>
        </is>
      </c>
      <c r="U615" s="96" t="inlineStr">
        <is>
          <t>MOMENTUM_ONLY</t>
        </is>
      </c>
    </row>
    <row r="616" ht="16" customHeight="1">
      <c r="A616" s="92" t="n">
        <v>612</v>
      </c>
      <c r="B616" s="93" t="inlineStr">
        <is>
          <t>SBI Nifty50 Equal Weight ETF</t>
        </is>
      </c>
      <c r="C616" s="93" t="inlineStr">
        <is>
          <t>SBI Mutual Fund</t>
        </is>
      </c>
      <c r="D616" s="93" t="inlineStr">
        <is>
          <t>Other  Etfs</t>
        </is>
      </c>
      <c r="E616" s="93" t="inlineStr">
        <is>
          <t>Index Fund</t>
        </is>
      </c>
      <c r="F616" s="94" t="n">
        <v>0.64</v>
      </c>
      <c r="G616" s="94" t="n">
        <v>2.77</v>
      </c>
      <c r="H616" s="97" t="n">
        <v>-1.31</v>
      </c>
      <c r="I616" s="94" t="n">
        <v>6.86</v>
      </c>
      <c r="J616" s="94" t="n">
        <v>3.440804327886005</v>
      </c>
      <c r="K616" s="94" t="n">
        <v>0</v>
      </c>
      <c r="L616" s="17" t="n">
        <v>50.8</v>
      </c>
      <c r="M616" s="18" t="n">
        <v>0</v>
      </c>
      <c r="N616" s="19" t="n">
        <v>28</v>
      </c>
      <c r="O616" s="108">
        <f>COUNTIFS($E:$E,$E616,$L:$L,"&gt;"&amp;$L616)+1</f>
        <v/>
      </c>
      <c r="P616" s="108">
        <f>COUNTIFS($E:$E,$E616,$M:$M,"&gt;"&amp;$M616)+1</f>
        <v/>
      </c>
      <c r="Q616" s="108">
        <f>COUNTIFS($E:$E,$E616,$N:$N,"&gt;"&amp;$N616)+1</f>
        <v/>
      </c>
      <c r="R616" s="95" t="inlineStr">
        <is>
          <t>➡️ Neutral</t>
        </is>
      </c>
      <c r="S616" s="95" t="inlineStr">
        <is>
          <t>⏳ New Fund</t>
        </is>
      </c>
      <c r="T616" s="95" t="inlineStr">
        <is>
          <t>⏳ New Fund</t>
        </is>
      </c>
      <c r="U616" s="96" t="inlineStr">
        <is>
          <t>MOMENTUM_ONLY</t>
        </is>
      </c>
    </row>
    <row r="617" ht="16" customHeight="1">
      <c r="A617" s="92" t="n">
        <v>613</v>
      </c>
      <c r="B617" s="93" t="inlineStr">
        <is>
          <t>SBI Silver ETF Fund of Fund- Regular Plan - Growth</t>
        </is>
      </c>
      <c r="C617" s="93" t="inlineStr">
        <is>
          <t>SBI Mutual Fund</t>
        </is>
      </c>
      <c r="D617" s="93" t="inlineStr">
        <is>
          <t>Fof Domestic</t>
        </is>
      </c>
      <c r="E617" s="93" t="inlineStr">
        <is>
          <t>Silver</t>
        </is>
      </c>
      <c r="F617" s="94" t="n">
        <v>8.17</v>
      </c>
      <c r="G617" s="97" t="n">
        <v>-12.54</v>
      </c>
      <c r="H617" s="97" t="n">
        <v>-0.96</v>
      </c>
      <c r="I617" s="94" t="n">
        <v>100.5</v>
      </c>
      <c r="J617" s="94" t="n">
        <v>65.80711685570073</v>
      </c>
      <c r="K617" s="94" t="n">
        <v>0</v>
      </c>
      <c r="L617" s="17" t="n">
        <v>50.5</v>
      </c>
      <c r="M617" s="18" t="n">
        <v>0</v>
      </c>
      <c r="N617" s="19" t="n">
        <v>27.8</v>
      </c>
      <c r="O617" s="108">
        <f>COUNTIFS($E:$E,$E617,$L:$L,"&gt;"&amp;$L617)+1</f>
        <v/>
      </c>
      <c r="P617" s="108">
        <f>COUNTIFS($E:$E,$E617,$M:$M,"&gt;"&amp;$M617)+1</f>
        <v/>
      </c>
      <c r="Q617" s="108">
        <f>COUNTIFS($E:$E,$E617,$N:$N,"&gt;"&amp;$N617)+1</f>
        <v/>
      </c>
      <c r="R617" s="95" t="inlineStr">
        <is>
          <t>➡️ Neutral</t>
        </is>
      </c>
      <c r="S617" s="95" t="inlineStr">
        <is>
          <t>⏳ New Fund</t>
        </is>
      </c>
      <c r="T617" s="95" t="inlineStr">
        <is>
          <t>⏳ New Fund</t>
        </is>
      </c>
      <c r="U617" s="96" t="inlineStr">
        <is>
          <t>MOMENTUM_ONLY</t>
        </is>
      </c>
    </row>
    <row r="618" ht="16" customHeight="1">
      <c r="A618" s="92" t="n">
        <v>614</v>
      </c>
      <c r="B618" s="93" t="inlineStr">
        <is>
          <t>SBI Nifty 500 Index Fund- Regular Plan- Growth</t>
        </is>
      </c>
      <c r="C618" s="93" t="inlineStr">
        <is>
          <t>SBI Mutual Fund</t>
        </is>
      </c>
      <c r="D618" s="93" t="inlineStr">
        <is>
          <t>Index Funds</t>
        </is>
      </c>
      <c r="E618" s="93" t="inlineStr">
        <is>
          <t>Index Fund</t>
        </is>
      </c>
      <c r="F618" s="94" t="n">
        <v>0.68</v>
      </c>
      <c r="G618" s="94" t="n">
        <v>4.55</v>
      </c>
      <c r="H618" s="97" t="n">
        <v>-0.53</v>
      </c>
      <c r="I618" s="94" t="n">
        <v>3.56</v>
      </c>
      <c r="J618" s="94" t="n">
        <v>0</v>
      </c>
      <c r="K618" s="94" t="n">
        <v>0</v>
      </c>
      <c r="L618" s="17" t="n">
        <v>50.2</v>
      </c>
      <c r="M618" s="18" t="n">
        <v>0</v>
      </c>
      <c r="N618" s="19" t="n">
        <v>27.6</v>
      </c>
      <c r="O618" s="108">
        <f>COUNTIFS($E:$E,$E618,$L:$L,"&gt;"&amp;$L618)+1</f>
        <v/>
      </c>
      <c r="P618" s="108">
        <f>COUNTIFS($E:$E,$E618,$M:$M,"&gt;"&amp;$M618)+1</f>
        <v/>
      </c>
      <c r="Q618" s="108">
        <f>COUNTIFS($E:$E,$E618,$N:$N,"&gt;"&amp;$N618)+1</f>
        <v/>
      </c>
      <c r="R618" s="95" t="inlineStr">
        <is>
          <t>➡️ Neutral</t>
        </is>
      </c>
      <c r="S618" s="95" t="inlineStr">
        <is>
          <t>⏳ New Fund</t>
        </is>
      </c>
      <c r="T618" s="95" t="inlineStr">
        <is>
          <t>⏳ New Fund</t>
        </is>
      </c>
      <c r="U618" s="96" t="inlineStr">
        <is>
          <t>MOMENTUM_ONLY</t>
        </is>
      </c>
    </row>
    <row r="619" ht="16" customHeight="1">
      <c r="A619" s="92" t="n">
        <v>615</v>
      </c>
      <c r="B619" s="93" t="inlineStr">
        <is>
          <t>Kotak MSCI India ETF</t>
        </is>
      </c>
      <c r="C619" s="93" t="inlineStr">
        <is>
          <t>Kotak Mahindra Mutual Fund</t>
        </is>
      </c>
      <c r="D619" s="93" t="inlineStr">
        <is>
          <t>Other  Etfs</t>
        </is>
      </c>
      <c r="E619" s="93" t="inlineStr">
        <is>
          <t>Standard Equity/Debt</t>
        </is>
      </c>
      <c r="F619" s="94" t="n">
        <v>0.51</v>
      </c>
      <c r="G619" s="94" t="n">
        <v>3.88</v>
      </c>
      <c r="H619" s="97" t="n">
        <v>-2.34</v>
      </c>
      <c r="I619" s="94" t="n">
        <v>3.18</v>
      </c>
      <c r="J619" s="94" t="n">
        <v>0</v>
      </c>
      <c r="K619" s="94" t="n">
        <v>0</v>
      </c>
      <c r="L619" s="37" t="n">
        <v>49.6</v>
      </c>
      <c r="M619" s="18" t="n">
        <v>0</v>
      </c>
      <c r="N619" s="19" t="n">
        <v>27.3</v>
      </c>
      <c r="O619" s="108">
        <f>COUNTIFS($E:$E,$E619,$L:$L,"&gt;"&amp;$L619)+1</f>
        <v/>
      </c>
      <c r="P619" s="108">
        <f>COUNTIFS($E:$E,$E619,$M:$M,"&gt;"&amp;$M619)+1</f>
        <v/>
      </c>
      <c r="Q619" s="108">
        <f>COUNTIFS($E:$E,$E619,$N:$N,"&gt;"&amp;$N619)+1</f>
        <v/>
      </c>
      <c r="R619" s="95" t="inlineStr">
        <is>
          <t>➡️ Neutral</t>
        </is>
      </c>
      <c r="S619" s="95" t="inlineStr">
        <is>
          <t>⏳ New Fund</t>
        </is>
      </c>
      <c r="T619" s="95" t="inlineStr">
        <is>
          <t>⏳ New Fund</t>
        </is>
      </c>
      <c r="U619" s="96" t="inlineStr">
        <is>
          <t>MOMENTUM_ONLY</t>
        </is>
      </c>
    </row>
    <row r="620" ht="16" customHeight="1">
      <c r="A620" s="92" t="n">
        <v>616</v>
      </c>
      <c r="B620" s="93" t="inlineStr">
        <is>
          <t>Edelweiss Nifty LargeMidcap 250 ETF - Growth</t>
        </is>
      </c>
      <c r="C620" s="93" t="inlineStr">
        <is>
          <t>Edelweiss Mutual Fund</t>
        </is>
      </c>
      <c r="D620" s="93" t="inlineStr">
        <is>
          <t>Other  Etfs</t>
        </is>
      </c>
      <c r="E620" s="93" t="inlineStr">
        <is>
          <t>Index Fund</t>
        </is>
      </c>
      <c r="F620" s="94" t="n">
        <v>0.9399999999999999</v>
      </c>
      <c r="G620" s="94" t="n">
        <v>4.04</v>
      </c>
      <c r="H620" s="94" t="n">
        <v>0.49</v>
      </c>
      <c r="I620" s="94" t="n">
        <v>0</v>
      </c>
      <c r="J620" s="94" t="n">
        <v>0</v>
      </c>
      <c r="K620" s="94" t="n">
        <v>0</v>
      </c>
      <c r="L620" s="37" t="n">
        <v>49.6</v>
      </c>
      <c r="M620" s="18" t="n">
        <v>0</v>
      </c>
      <c r="N620" s="19" t="n">
        <v>27.3</v>
      </c>
      <c r="O620" s="108">
        <f>COUNTIFS($E:$E,$E620,$L:$L,"&gt;"&amp;$L620)+1</f>
        <v/>
      </c>
      <c r="P620" s="108">
        <f>COUNTIFS($E:$E,$E620,$M:$M,"&gt;"&amp;$M620)+1</f>
        <v/>
      </c>
      <c r="Q620" s="108">
        <f>COUNTIFS($E:$E,$E620,$N:$N,"&gt;"&amp;$N620)+1</f>
        <v/>
      </c>
      <c r="R620" s="95" t="inlineStr">
        <is>
          <t>➡️ Neutral</t>
        </is>
      </c>
      <c r="S620" s="95" t="inlineStr">
        <is>
          <t>⏳ New Fund</t>
        </is>
      </c>
      <c r="T620" s="95" t="inlineStr">
        <is>
          <t>⏳ New Fund</t>
        </is>
      </c>
      <c r="U620" s="96" t="inlineStr">
        <is>
          <t>MOMENTUM_ONLY</t>
        </is>
      </c>
    </row>
    <row r="621" ht="16" customHeight="1">
      <c r="A621" s="92" t="n">
        <v>617</v>
      </c>
      <c r="B621" s="93" t="inlineStr">
        <is>
          <t>Kotak Nifty 200 Momentum 30 ETF</t>
        </is>
      </c>
      <c r="C621" s="93" t="inlineStr">
        <is>
          <t>Kotak Mahindra Mutual Fund</t>
        </is>
      </c>
      <c r="D621" s="93" t="inlineStr">
        <is>
          <t>Other  Etfs</t>
        </is>
      </c>
      <c r="E621" s="93" t="inlineStr">
        <is>
          <t>Index Fund</t>
        </is>
      </c>
      <c r="F621" s="94" t="n">
        <v>3.05</v>
      </c>
      <c r="G621" s="94" t="n">
        <v>3.77</v>
      </c>
      <c r="H621" s="97" t="n">
        <v>-1.95</v>
      </c>
      <c r="I621" s="94" t="n">
        <v>0</v>
      </c>
      <c r="J621" s="94" t="n">
        <v>0</v>
      </c>
      <c r="K621" s="94" t="n">
        <v>0</v>
      </c>
      <c r="L621" s="37" t="n">
        <v>49.5</v>
      </c>
      <c r="M621" s="18" t="n">
        <v>0</v>
      </c>
      <c r="N621" s="19" t="n">
        <v>27.2</v>
      </c>
      <c r="O621" s="108">
        <f>COUNTIFS($E:$E,$E621,$L:$L,"&gt;"&amp;$L621)+1</f>
        <v/>
      </c>
      <c r="P621" s="108">
        <f>COUNTIFS($E:$E,$E621,$M:$M,"&gt;"&amp;$M621)+1</f>
        <v/>
      </c>
      <c r="Q621" s="108">
        <f>COUNTIFS($E:$E,$E621,$N:$N,"&gt;"&amp;$N621)+1</f>
        <v/>
      </c>
      <c r="R621" s="95" t="inlineStr">
        <is>
          <t>➡️ Neutral</t>
        </is>
      </c>
      <c r="S621" s="95" t="inlineStr">
        <is>
          <t>⏳ New Fund</t>
        </is>
      </c>
      <c r="T621" s="95" t="inlineStr">
        <is>
          <t>⏳ New Fund</t>
        </is>
      </c>
      <c r="U621" s="96" t="inlineStr">
        <is>
          <t>MOMENTUM_ONLY</t>
        </is>
      </c>
    </row>
    <row r="622" ht="16" customHeight="1">
      <c r="A622" s="92" t="n">
        <v>618</v>
      </c>
      <c r="B622" s="93" t="inlineStr">
        <is>
          <t>SBI Nifty200 Momentum 30 Index Fund- Regular Plan- Growth</t>
        </is>
      </c>
      <c r="C622" s="93" t="inlineStr">
        <is>
          <t>SBI Mutual Fund</t>
        </is>
      </c>
      <c r="D622" s="93" t="inlineStr">
        <is>
          <t>Index Funds</t>
        </is>
      </c>
      <c r="E622" s="93" t="inlineStr">
        <is>
          <t>Index Fund</t>
        </is>
      </c>
      <c r="F622" s="94" t="n">
        <v>3</v>
      </c>
      <c r="G622" s="94" t="n">
        <v>3.64</v>
      </c>
      <c r="H622" s="97" t="n">
        <v>-2.2</v>
      </c>
      <c r="I622" s="94" t="n">
        <v>2.33</v>
      </c>
      <c r="J622" s="94" t="n">
        <v>0</v>
      </c>
      <c r="K622" s="94" t="n">
        <v>0</v>
      </c>
      <c r="L622" s="37" t="n">
        <v>49.4</v>
      </c>
      <c r="M622" s="18" t="n">
        <v>0</v>
      </c>
      <c r="N622" s="19" t="n">
        <v>27.2</v>
      </c>
      <c r="O622" s="108">
        <f>COUNTIFS($E:$E,$E622,$L:$L,"&gt;"&amp;$L622)+1</f>
        <v/>
      </c>
      <c r="P622" s="108">
        <f>COUNTIFS($E:$E,$E622,$M:$M,"&gt;"&amp;$M622)+1</f>
        <v/>
      </c>
      <c r="Q622" s="108">
        <f>COUNTIFS($E:$E,$E622,$N:$N,"&gt;"&amp;$N622)+1</f>
        <v/>
      </c>
      <c r="R622" s="95" t="inlineStr">
        <is>
          <t>➡️ Neutral</t>
        </is>
      </c>
      <c r="S622" s="95" t="inlineStr">
        <is>
          <t>⏳ New Fund</t>
        </is>
      </c>
      <c r="T622" s="95" t="inlineStr">
        <is>
          <t>⏳ New Fund</t>
        </is>
      </c>
      <c r="U622" s="96" t="inlineStr">
        <is>
          <t>MOMENTUM_ONLY</t>
        </is>
      </c>
    </row>
    <row r="623" ht="16" customHeight="1">
      <c r="A623" s="92" t="n">
        <v>619</v>
      </c>
      <c r="B623" s="93" t="inlineStr">
        <is>
          <t>HDFC NIFTY200 Momentum 30 Index Fund - Regular Plan</t>
        </is>
      </c>
      <c r="C623" s="93" t="inlineStr">
        <is>
          <t>HDFC Mutual Fund</t>
        </is>
      </c>
      <c r="D623" s="93" t="inlineStr">
        <is>
          <t>Index Funds</t>
        </is>
      </c>
      <c r="E623" s="93" t="inlineStr">
        <is>
          <t>Index Fund</t>
        </is>
      </c>
      <c r="F623" s="94" t="n">
        <v>3</v>
      </c>
      <c r="G623" s="94" t="n">
        <v>3.66</v>
      </c>
      <c r="H623" s="97" t="n">
        <v>-2.23</v>
      </c>
      <c r="I623" s="94" t="n">
        <v>2.26</v>
      </c>
      <c r="J623" s="97" t="n">
        <v>-7.431106736658021</v>
      </c>
      <c r="K623" s="94" t="n">
        <v>0</v>
      </c>
      <c r="L623" s="37" t="n">
        <v>49.4</v>
      </c>
      <c r="M623" s="18" t="n">
        <v>0</v>
      </c>
      <c r="N623" s="19" t="n">
        <v>27.2</v>
      </c>
      <c r="O623" s="108">
        <f>COUNTIFS($E:$E,$E623,$L:$L,"&gt;"&amp;$L623)+1</f>
        <v/>
      </c>
      <c r="P623" s="108">
        <f>COUNTIFS($E:$E,$E623,$M:$M,"&gt;"&amp;$M623)+1</f>
        <v/>
      </c>
      <c r="Q623" s="108">
        <f>COUNTIFS($E:$E,$E623,$N:$N,"&gt;"&amp;$N623)+1</f>
        <v/>
      </c>
      <c r="R623" s="95" t="inlineStr">
        <is>
          <t>➡️ Neutral</t>
        </is>
      </c>
      <c r="S623" s="95" t="inlineStr">
        <is>
          <t>⏳ New Fund</t>
        </is>
      </c>
      <c r="T623" s="95" t="inlineStr">
        <is>
          <t>⏳ New Fund</t>
        </is>
      </c>
      <c r="U623" s="96" t="inlineStr">
        <is>
          <t>MOMENTUM_ONLY</t>
        </is>
      </c>
    </row>
    <row r="624" ht="16" customHeight="1">
      <c r="A624" s="92" t="n">
        <v>620</v>
      </c>
      <c r="B624" s="93" t="inlineStr">
        <is>
          <t>Nippon India Nifty 500 Quality 50 Index Fund - Regular Plan - Growth Option</t>
        </is>
      </c>
      <c r="C624" s="93" t="inlineStr">
        <is>
          <t>Nippon India Mutual Fund</t>
        </is>
      </c>
      <c r="D624" s="93" t="inlineStr">
        <is>
          <t>Index Funds</t>
        </is>
      </c>
      <c r="E624" s="93" t="inlineStr">
        <is>
          <t>Index Fund</t>
        </is>
      </c>
      <c r="F624" s="94" t="n">
        <v>0.39</v>
      </c>
      <c r="G624" s="94" t="n">
        <v>1.38</v>
      </c>
      <c r="H624" s="94" t="n">
        <v>5.54</v>
      </c>
      <c r="I624" s="94" t="n">
        <v>5.3</v>
      </c>
      <c r="J624" s="94" t="n">
        <v>0</v>
      </c>
      <c r="K624" s="94" t="n">
        <v>0</v>
      </c>
      <c r="L624" s="37" t="n">
        <v>49.4</v>
      </c>
      <c r="M624" s="18" t="n">
        <v>0</v>
      </c>
      <c r="N624" s="19" t="n">
        <v>27.2</v>
      </c>
      <c r="O624" s="108">
        <f>COUNTIFS($E:$E,$E624,$L:$L,"&gt;"&amp;$L624)+1</f>
        <v/>
      </c>
      <c r="P624" s="108">
        <f>COUNTIFS($E:$E,$E624,$M:$M,"&gt;"&amp;$M624)+1</f>
        <v/>
      </c>
      <c r="Q624" s="108">
        <f>COUNTIFS($E:$E,$E624,$N:$N,"&gt;"&amp;$N624)+1</f>
        <v/>
      </c>
      <c r="R624" s="95" t="inlineStr">
        <is>
          <t>➡️ Neutral</t>
        </is>
      </c>
      <c r="S624" s="95" t="inlineStr">
        <is>
          <t>⏳ New Fund</t>
        </is>
      </c>
      <c r="T624" s="95" t="inlineStr">
        <is>
          <t>⏳ New Fund</t>
        </is>
      </c>
      <c r="U624" s="96" t="inlineStr">
        <is>
          <t>MOMENTUM_ONLY</t>
        </is>
      </c>
    </row>
    <row r="625" ht="16" customHeight="1">
      <c r="A625" s="92" t="n">
        <v>621</v>
      </c>
      <c r="B625" s="93" t="inlineStr">
        <is>
          <t>Edelweiss Gold ETF</t>
        </is>
      </c>
      <c r="C625" s="93" t="inlineStr">
        <is>
          <t>Edelweiss Mutual Fund</t>
        </is>
      </c>
      <c r="D625" s="93" t="inlineStr">
        <is>
          <t>Gold Etf</t>
        </is>
      </c>
      <c r="E625" s="93" t="inlineStr">
        <is>
          <t>Gold</t>
        </is>
      </c>
      <c r="F625" s="94" t="n">
        <v>8.94</v>
      </c>
      <c r="G625" s="97" t="n">
        <v>-3.11</v>
      </c>
      <c r="H625" s="94" t="n">
        <v>1.32</v>
      </c>
      <c r="I625" s="94" t="n">
        <v>51.88</v>
      </c>
      <c r="J625" s="94" t="n">
        <v>45.72576985557495</v>
      </c>
      <c r="K625" s="94" t="n">
        <v>0</v>
      </c>
      <c r="L625" s="37" t="n">
        <v>49.2</v>
      </c>
      <c r="M625" s="18" t="n">
        <v>0</v>
      </c>
      <c r="N625" s="19" t="n">
        <v>27</v>
      </c>
      <c r="O625" s="108">
        <f>COUNTIFS($E:$E,$E625,$L:$L,"&gt;"&amp;$L625)+1</f>
        <v/>
      </c>
      <c r="P625" s="108">
        <f>COUNTIFS($E:$E,$E625,$M:$M,"&gt;"&amp;$M625)+1</f>
        <v/>
      </c>
      <c r="Q625" s="108">
        <f>COUNTIFS($E:$E,$E625,$N:$N,"&gt;"&amp;$N625)+1</f>
        <v/>
      </c>
      <c r="R625" s="95" t="inlineStr">
        <is>
          <t>➡️ Neutral</t>
        </is>
      </c>
      <c r="S625" s="95" t="inlineStr">
        <is>
          <t>⏳ New Fund</t>
        </is>
      </c>
      <c r="T625" s="95" t="inlineStr">
        <is>
          <t>⏳ New Fund</t>
        </is>
      </c>
      <c r="U625" s="96" t="inlineStr">
        <is>
          <t>MOMENTUM_ONLY</t>
        </is>
      </c>
    </row>
    <row r="626" ht="16" customHeight="1">
      <c r="A626" s="92" t="n">
        <v>622</v>
      </c>
      <c r="B626" s="93" t="inlineStr">
        <is>
          <t>Kotak CRISIL-IBX Financial Services 9 to 12 Months Debt Index Fund - Regular - Growth</t>
        </is>
      </c>
      <c r="C626" s="93" t="inlineStr">
        <is>
          <t>Kotak Mahindra Mutual Fund</t>
        </is>
      </c>
      <c r="D626" s="93" t="inlineStr">
        <is>
          <t>Index Funds</t>
        </is>
      </c>
      <c r="E626" s="93" t="inlineStr">
        <is>
          <t>Banking/Financial</t>
        </is>
      </c>
      <c r="F626" s="94" t="n">
        <v>0.68</v>
      </c>
      <c r="G626" s="94" t="n">
        <v>2.14</v>
      </c>
      <c r="H626" s="94" t="n">
        <v>3.31</v>
      </c>
      <c r="I626" s="94" t="n">
        <v>0</v>
      </c>
      <c r="J626" s="94" t="n">
        <v>0</v>
      </c>
      <c r="K626" s="94" t="n">
        <v>0</v>
      </c>
      <c r="L626" s="37" t="n">
        <v>49.1</v>
      </c>
      <c r="M626" s="18" t="n">
        <v>0</v>
      </c>
      <c r="N626" s="19" t="n">
        <v>27</v>
      </c>
      <c r="O626" s="108">
        <f>COUNTIFS($E:$E,$E626,$L:$L,"&gt;"&amp;$L626)+1</f>
        <v/>
      </c>
      <c r="P626" s="108">
        <f>COUNTIFS($E:$E,$E626,$M:$M,"&gt;"&amp;$M626)+1</f>
        <v/>
      </c>
      <c r="Q626" s="108">
        <f>COUNTIFS($E:$E,$E626,$N:$N,"&gt;"&amp;$N626)+1</f>
        <v/>
      </c>
      <c r="R626" s="95" t="inlineStr">
        <is>
          <t>➡️ Neutral</t>
        </is>
      </c>
      <c r="S626" s="95" t="inlineStr">
        <is>
          <t>⏳ New Fund</t>
        </is>
      </c>
      <c r="T626" s="95" t="inlineStr">
        <is>
          <t>⏳ New Fund</t>
        </is>
      </c>
      <c r="U626" s="96" t="inlineStr">
        <is>
          <t>MOMENTUM_ONLY</t>
        </is>
      </c>
    </row>
    <row r="627" ht="16" customHeight="1">
      <c r="A627" s="92" t="n">
        <v>623</v>
      </c>
      <c r="B627" s="93" t="inlineStr">
        <is>
          <t>DSP Silver ETF Fund of Fund - Regular - Growth</t>
        </is>
      </c>
      <c r="C627" s="93" t="inlineStr">
        <is>
          <t>DSP Mutual Fund</t>
        </is>
      </c>
      <c r="D627" s="93" t="inlineStr">
        <is>
          <t>Fof Domestic</t>
        </is>
      </c>
      <c r="E627" s="93" t="inlineStr">
        <is>
          <t>Silver</t>
        </is>
      </c>
      <c r="F627" s="94" t="n">
        <v>8.279999999999999</v>
      </c>
      <c r="G627" s="97" t="n">
        <v>-12.64</v>
      </c>
      <c r="H627" s="97" t="n">
        <v>-1.07</v>
      </c>
      <c r="I627" s="94" t="n">
        <v>98.14</v>
      </c>
      <c r="J627" s="94" t="n">
        <v>0</v>
      </c>
      <c r="K627" s="94" t="n">
        <v>0</v>
      </c>
      <c r="L627" s="37" t="n">
        <v>48.8</v>
      </c>
      <c r="M627" s="18" t="n">
        <v>0</v>
      </c>
      <c r="N627" s="19" t="n">
        <v>26.8</v>
      </c>
      <c r="O627" s="108">
        <f>COUNTIFS($E:$E,$E627,$L:$L,"&gt;"&amp;$L627)+1</f>
        <v/>
      </c>
      <c r="P627" s="108">
        <f>COUNTIFS($E:$E,$E627,$M:$M,"&gt;"&amp;$M627)+1</f>
        <v/>
      </c>
      <c r="Q627" s="108">
        <f>COUNTIFS($E:$E,$E627,$N:$N,"&gt;"&amp;$N627)+1</f>
        <v/>
      </c>
      <c r="R627" s="95" t="inlineStr">
        <is>
          <t>➡️ Neutral</t>
        </is>
      </c>
      <c r="S627" s="95" t="inlineStr">
        <is>
          <t>⏳ New Fund</t>
        </is>
      </c>
      <c r="T627" s="95" t="inlineStr">
        <is>
          <t>⏳ New Fund</t>
        </is>
      </c>
      <c r="U627" s="96" t="inlineStr">
        <is>
          <t>MOMENTUM_ONLY</t>
        </is>
      </c>
    </row>
    <row r="628" ht="16" customHeight="1">
      <c r="A628" s="92" t="n">
        <v>624</v>
      </c>
      <c r="B628" s="93" t="inlineStr">
        <is>
          <t>ICICI Prudential Nifty 500 Index Fund - Growth</t>
        </is>
      </c>
      <c r="C628" s="93" t="inlineStr">
        <is>
          <t>ICICI Prudential Mutual Fund</t>
        </is>
      </c>
      <c r="D628" s="93" t="inlineStr">
        <is>
          <t>Index Funds</t>
        </is>
      </c>
      <c r="E628" s="93" t="inlineStr">
        <is>
          <t>Index Fund</t>
        </is>
      </c>
      <c r="F628" s="94" t="n">
        <v>0.67</v>
      </c>
      <c r="G628" s="94" t="n">
        <v>4.48</v>
      </c>
      <c r="H628" s="97" t="n">
        <v>-0.71</v>
      </c>
      <c r="I628" s="94" t="n">
        <v>3.23</v>
      </c>
      <c r="J628" s="94" t="n">
        <v>0</v>
      </c>
      <c r="K628" s="94" t="n">
        <v>0</v>
      </c>
      <c r="L628" s="37" t="n">
        <v>48.2</v>
      </c>
      <c r="M628" s="18" t="n">
        <v>0</v>
      </c>
      <c r="N628" s="19" t="n">
        <v>26.5</v>
      </c>
      <c r="O628" s="108">
        <f>COUNTIFS($E:$E,$E628,$L:$L,"&gt;"&amp;$L628)+1</f>
        <v/>
      </c>
      <c r="P628" s="108">
        <f>COUNTIFS($E:$E,$E628,$M:$M,"&gt;"&amp;$M628)+1</f>
        <v/>
      </c>
      <c r="Q628" s="108">
        <f>COUNTIFS($E:$E,$E628,$N:$N,"&gt;"&amp;$N628)+1</f>
        <v/>
      </c>
      <c r="R628" s="95" t="inlineStr">
        <is>
          <t>➡️ Neutral</t>
        </is>
      </c>
      <c r="S628" s="95" t="inlineStr">
        <is>
          <t>⏳ New Fund</t>
        </is>
      </c>
      <c r="T628" s="95" t="inlineStr">
        <is>
          <t>⏳ New Fund</t>
        </is>
      </c>
      <c r="U628" s="96" t="inlineStr">
        <is>
          <t>MOMENTUM_ONLY</t>
        </is>
      </c>
    </row>
    <row r="629" ht="16" customHeight="1">
      <c r="A629" s="92" t="n">
        <v>625</v>
      </c>
      <c r="B629" s="93" t="inlineStr">
        <is>
          <t>Kotak Nifty 50 Equal Weight Index Fund - Regular Plan - Growth</t>
        </is>
      </c>
      <c r="C629" s="93" t="inlineStr">
        <is>
          <t>Kotak Mahindra Mutual Fund</t>
        </is>
      </c>
      <c r="D629" s="93" t="inlineStr">
        <is>
          <t>Index Funds</t>
        </is>
      </c>
      <c r="E629" s="93" t="inlineStr">
        <is>
          <t>Index Fund</t>
        </is>
      </c>
      <c r="F629" s="94" t="n">
        <v>0.62</v>
      </c>
      <c r="G629" s="94" t="n">
        <v>2.74</v>
      </c>
      <c r="H629" s="97" t="n">
        <v>-1.54</v>
      </c>
      <c r="I629" s="94" t="n">
        <v>6.15</v>
      </c>
      <c r="J629" s="94" t="n">
        <v>0</v>
      </c>
      <c r="K629" s="94" t="n">
        <v>0</v>
      </c>
      <c r="L629" s="37" t="n">
        <v>47.9</v>
      </c>
      <c r="M629" s="18" t="n">
        <v>0</v>
      </c>
      <c r="N629" s="19" t="n">
        <v>26.4</v>
      </c>
      <c r="O629" s="108">
        <f>COUNTIFS($E:$E,$E629,$L:$L,"&gt;"&amp;$L629)+1</f>
        <v/>
      </c>
      <c r="P629" s="108">
        <f>COUNTIFS($E:$E,$E629,$M:$M,"&gt;"&amp;$M629)+1</f>
        <v/>
      </c>
      <c r="Q629" s="108">
        <f>COUNTIFS($E:$E,$E629,$N:$N,"&gt;"&amp;$N629)+1</f>
        <v/>
      </c>
      <c r="R629" s="95" t="inlineStr">
        <is>
          <t>➡️ Neutral</t>
        </is>
      </c>
      <c r="S629" s="95" t="inlineStr">
        <is>
          <t>⏳ New Fund</t>
        </is>
      </c>
      <c r="T629" s="95" t="inlineStr">
        <is>
          <t>⏳ New Fund</t>
        </is>
      </c>
      <c r="U629" s="96" t="inlineStr">
        <is>
          <t>MOMENTUM_ONLY</t>
        </is>
      </c>
    </row>
    <row r="630" ht="16" customHeight="1">
      <c r="A630" s="92" t="n">
        <v>626</v>
      </c>
      <c r="B630" s="93" t="inlineStr">
        <is>
          <t>Axis CRISIL-IBX Financial Services 3-6 Months Debt Index Fund - Regular Plan - Growth option</t>
        </is>
      </c>
      <c r="C630" s="93" t="inlineStr">
        <is>
          <t>Axis Mutual Fund</t>
        </is>
      </c>
      <c r="D630" s="93" t="inlineStr">
        <is>
          <t>Index Funds</t>
        </is>
      </c>
      <c r="E630" s="93" t="inlineStr">
        <is>
          <t>Banking/Financial</t>
        </is>
      </c>
      <c r="F630" s="94" t="n">
        <v>0.66</v>
      </c>
      <c r="G630" s="94" t="n">
        <v>1.91</v>
      </c>
      <c r="H630" s="94" t="n">
        <v>3.62</v>
      </c>
      <c r="I630" s="94" t="n">
        <v>0</v>
      </c>
      <c r="J630" s="94" t="n">
        <v>0</v>
      </c>
      <c r="K630" s="94" t="n">
        <v>0</v>
      </c>
      <c r="L630" s="37" t="n">
        <v>47.9</v>
      </c>
      <c r="M630" s="18" t="n">
        <v>0</v>
      </c>
      <c r="N630" s="19" t="n">
        <v>26.4</v>
      </c>
      <c r="O630" s="108">
        <f>COUNTIFS($E:$E,$E630,$L:$L,"&gt;"&amp;$L630)+1</f>
        <v/>
      </c>
      <c r="P630" s="108">
        <f>COUNTIFS($E:$E,$E630,$M:$M,"&gt;"&amp;$M630)+1</f>
        <v/>
      </c>
      <c r="Q630" s="108">
        <f>COUNTIFS($E:$E,$E630,$N:$N,"&gt;"&amp;$N630)+1</f>
        <v/>
      </c>
      <c r="R630" s="95" t="inlineStr">
        <is>
          <t>➡️ Neutral</t>
        </is>
      </c>
      <c r="S630" s="95" t="inlineStr">
        <is>
          <t>⏳ New Fund</t>
        </is>
      </c>
      <c r="T630" s="95" t="inlineStr">
        <is>
          <t>⏳ New Fund</t>
        </is>
      </c>
      <c r="U630" s="96" t="inlineStr">
        <is>
          <t>MOMENTUM_ONLY</t>
        </is>
      </c>
    </row>
    <row r="631" ht="16" customHeight="1">
      <c r="A631" s="92" t="n">
        <v>627</v>
      </c>
      <c r="B631" s="93" t="inlineStr">
        <is>
          <t>SBI Income Plus Arbitrage Active FOF- Regular Plan- Income Distribution Cum Capital Withdrawal Option</t>
        </is>
      </c>
      <c r="C631" s="93" t="inlineStr">
        <is>
          <t>SBI Mutual Fund</t>
        </is>
      </c>
      <c r="D631" s="93" t="inlineStr">
        <is>
          <t>Fof Domestic</t>
        </is>
      </c>
      <c r="E631" s="93" t="inlineStr">
        <is>
          <t>Standard Equity/Debt</t>
        </is>
      </c>
      <c r="F631" s="94" t="n">
        <v>0.46</v>
      </c>
      <c r="G631" s="94" t="n">
        <v>2.01</v>
      </c>
      <c r="H631" s="94" t="n">
        <v>2.91</v>
      </c>
      <c r="I631" s="94" t="n">
        <v>5.73</v>
      </c>
      <c r="J631" s="94" t="n">
        <v>0</v>
      </c>
      <c r="K631" s="94" t="n">
        <v>0</v>
      </c>
      <c r="L631" s="37" t="n">
        <v>47.9</v>
      </c>
      <c r="M631" s="18" t="n">
        <v>0</v>
      </c>
      <c r="N631" s="19" t="n">
        <v>26.3</v>
      </c>
      <c r="O631" s="108">
        <f>COUNTIFS($E:$E,$E631,$L:$L,"&gt;"&amp;$L631)+1</f>
        <v/>
      </c>
      <c r="P631" s="108">
        <f>COUNTIFS($E:$E,$E631,$M:$M,"&gt;"&amp;$M631)+1</f>
        <v/>
      </c>
      <c r="Q631" s="108">
        <f>COUNTIFS($E:$E,$E631,$N:$N,"&gt;"&amp;$N631)+1</f>
        <v/>
      </c>
      <c r="R631" s="95" t="inlineStr">
        <is>
          <t>➡️ Neutral</t>
        </is>
      </c>
      <c r="S631" s="95" t="inlineStr">
        <is>
          <t>⏳ New Fund</t>
        </is>
      </c>
      <c r="T631" s="95" t="inlineStr">
        <is>
          <t>⏳ New Fund</t>
        </is>
      </c>
      <c r="U631" s="96" t="inlineStr">
        <is>
          <t>MOMENTUM_ONLY</t>
        </is>
      </c>
    </row>
    <row r="632" ht="16" customHeight="1">
      <c r="A632" s="92" t="n">
        <v>628</v>
      </c>
      <c r="B632" s="93" t="inlineStr">
        <is>
          <t>SBI Income Plus Arbitrage Active FOF- Regular Plan- Growth</t>
        </is>
      </c>
      <c r="C632" s="93" t="inlineStr">
        <is>
          <t>SBI Mutual Fund</t>
        </is>
      </c>
      <c r="D632" s="93" t="inlineStr">
        <is>
          <t>Fof Domestic</t>
        </is>
      </c>
      <c r="E632" s="93" t="inlineStr">
        <is>
          <t>Standard Equity/Debt</t>
        </is>
      </c>
      <c r="F632" s="94" t="n">
        <v>0.46</v>
      </c>
      <c r="G632" s="94" t="n">
        <v>2.01</v>
      </c>
      <c r="H632" s="94" t="n">
        <v>2.91</v>
      </c>
      <c r="I632" s="94" t="n">
        <v>5.73</v>
      </c>
      <c r="J632" s="94" t="n">
        <v>0</v>
      </c>
      <c r="K632" s="94" t="n">
        <v>0</v>
      </c>
      <c r="L632" s="37" t="n">
        <v>47.9</v>
      </c>
      <c r="M632" s="18" t="n">
        <v>0</v>
      </c>
      <c r="N632" s="19" t="n">
        <v>26.3</v>
      </c>
      <c r="O632" s="108">
        <f>COUNTIFS($E:$E,$E632,$L:$L,"&gt;"&amp;$L632)+1</f>
        <v/>
      </c>
      <c r="P632" s="108">
        <f>COUNTIFS($E:$E,$E632,$M:$M,"&gt;"&amp;$M632)+1</f>
        <v/>
      </c>
      <c r="Q632" s="108">
        <f>COUNTIFS($E:$E,$E632,$N:$N,"&gt;"&amp;$N632)+1</f>
        <v/>
      </c>
      <c r="R632" s="95" t="inlineStr">
        <is>
          <t>➡️ Neutral</t>
        </is>
      </c>
      <c r="S632" s="95" t="inlineStr">
        <is>
          <t>⏳ New Fund</t>
        </is>
      </c>
      <c r="T632" s="95" t="inlineStr">
        <is>
          <t>⏳ New Fund</t>
        </is>
      </c>
      <c r="U632" s="96" t="inlineStr">
        <is>
          <t>MOMENTUM_ONLY</t>
        </is>
      </c>
    </row>
    <row r="633" ht="16" customHeight="1">
      <c r="A633" s="92" t="n">
        <v>629</v>
      </c>
      <c r="B633" s="93" t="inlineStr">
        <is>
          <t>Baroda BNP Paribas Nifty200 Momentum 30 Index Fund - Regular Plan - Growth Option</t>
        </is>
      </c>
      <c r="C633" s="93" t="inlineStr">
        <is>
          <t>Baroda BNP Paribas Mutual Fund</t>
        </is>
      </c>
      <c r="D633" s="93" t="inlineStr">
        <is>
          <t>Index Funds</t>
        </is>
      </c>
      <c r="E633" s="93" t="inlineStr">
        <is>
          <t>Index Fund</t>
        </is>
      </c>
      <c r="F633" s="94" t="n">
        <v>2.98</v>
      </c>
      <c r="G633" s="94" t="n">
        <v>3.62</v>
      </c>
      <c r="H633" s="97" t="n">
        <v>-2.39</v>
      </c>
      <c r="I633" s="94" t="n">
        <v>1.74</v>
      </c>
      <c r="J633" s="94" t="n">
        <v>0</v>
      </c>
      <c r="K633" s="94" t="n">
        <v>0</v>
      </c>
      <c r="L633" s="37" t="n">
        <v>47.7</v>
      </c>
      <c r="M633" s="18" t="n">
        <v>0</v>
      </c>
      <c r="N633" s="19" t="n">
        <v>26.2</v>
      </c>
      <c r="O633" s="108">
        <f>COUNTIFS($E:$E,$E633,$L:$L,"&gt;"&amp;$L633)+1</f>
        <v/>
      </c>
      <c r="P633" s="108">
        <f>COUNTIFS($E:$E,$E633,$M:$M,"&gt;"&amp;$M633)+1</f>
        <v/>
      </c>
      <c r="Q633" s="108">
        <f>COUNTIFS($E:$E,$E633,$N:$N,"&gt;"&amp;$N633)+1</f>
        <v/>
      </c>
      <c r="R633" s="95" t="inlineStr">
        <is>
          <t>➡️ Neutral</t>
        </is>
      </c>
      <c r="S633" s="95" t="inlineStr">
        <is>
          <t>⏳ New Fund</t>
        </is>
      </c>
      <c r="T633" s="95" t="inlineStr">
        <is>
          <t>⏳ New Fund</t>
        </is>
      </c>
      <c r="U633" s="96" t="inlineStr">
        <is>
          <t>MOMENTUM_ONLY</t>
        </is>
      </c>
    </row>
    <row r="634" ht="16" customHeight="1">
      <c r="A634" s="92" t="n">
        <v>630</v>
      </c>
      <c r="B634" s="93" t="inlineStr">
        <is>
          <t>Axis Nifty 500 Index Fund - Regular Plan - Growth Option</t>
        </is>
      </c>
      <c r="C634" s="93" t="inlineStr">
        <is>
          <t>Axis Mutual Fund</t>
        </is>
      </c>
      <c r="D634" s="93" t="inlineStr">
        <is>
          <t>Index Funds</t>
        </is>
      </c>
      <c r="E634" s="93" t="inlineStr">
        <is>
          <t>Index Fund</t>
        </is>
      </c>
      <c r="F634" s="94" t="n">
        <v>0.66</v>
      </c>
      <c r="G634" s="94" t="n">
        <v>4.48</v>
      </c>
      <c r="H634" s="97" t="n">
        <v>-0.8100000000000001</v>
      </c>
      <c r="I634" s="94" t="n">
        <v>3.17</v>
      </c>
      <c r="J634" s="94" t="n">
        <v>0.7571337424799873</v>
      </c>
      <c r="K634" s="94" t="n">
        <v>0</v>
      </c>
      <c r="L634" s="37" t="n">
        <v>47.3</v>
      </c>
      <c r="M634" s="18" t="n">
        <v>0</v>
      </c>
      <c r="N634" s="19" t="n">
        <v>26</v>
      </c>
      <c r="O634" s="108">
        <f>COUNTIFS($E:$E,$E634,$L:$L,"&gt;"&amp;$L634)+1</f>
        <v/>
      </c>
      <c r="P634" s="108">
        <f>COUNTIFS($E:$E,$E634,$M:$M,"&gt;"&amp;$M634)+1</f>
        <v/>
      </c>
      <c r="Q634" s="108">
        <f>COUNTIFS($E:$E,$E634,$N:$N,"&gt;"&amp;$N634)+1</f>
        <v/>
      </c>
      <c r="R634" s="95" t="inlineStr">
        <is>
          <t>➡️ Neutral</t>
        </is>
      </c>
      <c r="S634" s="95" t="inlineStr">
        <is>
          <t>⏳ New Fund</t>
        </is>
      </c>
      <c r="T634" s="95" t="inlineStr">
        <is>
          <t>⏳ New Fund</t>
        </is>
      </c>
      <c r="U634" s="96" t="inlineStr">
        <is>
          <t>MOMENTUM_ONLY</t>
        </is>
      </c>
    </row>
    <row r="635" ht="16" customHeight="1">
      <c r="A635" s="92" t="n">
        <v>631</v>
      </c>
      <c r="B635" s="93" t="inlineStr">
        <is>
          <t>ANGEL ONE GOLD ETF FOF - REGULAR GROWTH</t>
        </is>
      </c>
      <c r="C635" s="93" t="inlineStr">
        <is>
          <t>Angel One Mutual Fund</t>
        </is>
      </c>
      <c r="D635" s="93" t="inlineStr">
        <is>
          <t>Fof Domestic</t>
        </is>
      </c>
      <c r="E635" s="93" t="inlineStr">
        <is>
          <t>Gold</t>
        </is>
      </c>
      <c r="F635" s="94" t="n">
        <v>8.94</v>
      </c>
      <c r="G635" s="97" t="n">
        <v>-3.16</v>
      </c>
      <c r="H635" s="94" t="n">
        <v>1.64</v>
      </c>
      <c r="I635" s="94" t="n">
        <v>0</v>
      </c>
      <c r="J635" s="94" t="n">
        <v>0</v>
      </c>
      <c r="K635" s="94" t="n">
        <v>0</v>
      </c>
      <c r="L635" s="37" t="n">
        <v>47.3</v>
      </c>
      <c r="M635" s="18" t="n">
        <v>0</v>
      </c>
      <c r="N635" s="19" t="n">
        <v>26</v>
      </c>
      <c r="O635" s="108">
        <f>COUNTIFS($E:$E,$E635,$L:$L,"&gt;"&amp;$L635)+1</f>
        <v/>
      </c>
      <c r="P635" s="108">
        <f>COUNTIFS($E:$E,$E635,$M:$M,"&gt;"&amp;$M635)+1</f>
        <v/>
      </c>
      <c r="Q635" s="108">
        <f>COUNTIFS($E:$E,$E635,$N:$N,"&gt;"&amp;$N635)+1</f>
        <v/>
      </c>
      <c r="R635" s="95" t="inlineStr">
        <is>
          <t>➡️ Neutral</t>
        </is>
      </c>
      <c r="S635" s="95" t="inlineStr">
        <is>
          <t>⏳ New Fund</t>
        </is>
      </c>
      <c r="T635" s="95" t="inlineStr">
        <is>
          <t>⏳ New Fund</t>
        </is>
      </c>
      <c r="U635" s="96" t="inlineStr">
        <is>
          <t>MOMENTUM_ONLY</t>
        </is>
      </c>
    </row>
    <row r="636" ht="16" customHeight="1">
      <c r="A636" s="92" t="n">
        <v>632</v>
      </c>
      <c r="B636" s="93" t="inlineStr">
        <is>
          <t>KOTAK NIFTY 200 QUALITY 30 INDEX FUND - REGULAR PLAN - GROWTH</t>
        </is>
      </c>
      <c r="C636" s="93" t="inlineStr">
        <is>
          <t>Kotak Mahindra Mutual Fund</t>
        </is>
      </c>
      <c r="D636" s="93" t="inlineStr">
        <is>
          <t>Index Funds</t>
        </is>
      </c>
      <c r="E636" s="93" t="inlineStr">
        <is>
          <t>Index Fund</t>
        </is>
      </c>
      <c r="F636" s="94" t="n">
        <v>2.37</v>
      </c>
      <c r="G636" s="94" t="n">
        <v>2.45</v>
      </c>
      <c r="H636" s="94" t="n">
        <v>0.24</v>
      </c>
      <c r="I636" s="94" t="n">
        <v>2.96</v>
      </c>
      <c r="J636" s="94" t="n">
        <v>0</v>
      </c>
      <c r="K636" s="94" t="n">
        <v>0</v>
      </c>
      <c r="L636" s="37" t="n">
        <v>47.3</v>
      </c>
      <c r="M636" s="18" t="n">
        <v>0</v>
      </c>
      <c r="N636" s="19" t="n">
        <v>26</v>
      </c>
      <c r="O636" s="108">
        <f>COUNTIFS($E:$E,$E636,$L:$L,"&gt;"&amp;$L636)+1</f>
        <v/>
      </c>
      <c r="P636" s="108">
        <f>COUNTIFS($E:$E,$E636,$M:$M,"&gt;"&amp;$M636)+1</f>
        <v/>
      </c>
      <c r="Q636" s="108">
        <f>COUNTIFS($E:$E,$E636,$N:$N,"&gt;"&amp;$N636)+1</f>
        <v/>
      </c>
      <c r="R636" s="95" t="inlineStr">
        <is>
          <t>➡️ Neutral</t>
        </is>
      </c>
      <c r="S636" s="95" t="inlineStr">
        <is>
          <t>⏳ New Fund</t>
        </is>
      </c>
      <c r="T636" s="95" t="inlineStr">
        <is>
          <t>⏳ New Fund</t>
        </is>
      </c>
      <c r="U636" s="96" t="inlineStr">
        <is>
          <t>MOMENTUM_ONLY</t>
        </is>
      </c>
    </row>
    <row r="637" ht="16" customHeight="1">
      <c r="A637" s="92" t="n">
        <v>633</v>
      </c>
      <c r="B637" s="93" t="inlineStr">
        <is>
          <t>ANGEL ONE GOLD ETF</t>
        </is>
      </c>
      <c r="C637" s="93" t="inlineStr">
        <is>
          <t>Angel One Mutual Fund</t>
        </is>
      </c>
      <c r="D637" s="93" t="inlineStr">
        <is>
          <t>Gold Etf</t>
        </is>
      </c>
      <c r="E637" s="93" t="inlineStr">
        <is>
          <t>Gold</t>
        </is>
      </c>
      <c r="F637" s="94" t="n">
        <v>8.92</v>
      </c>
      <c r="G637" s="97" t="n">
        <v>-3.1</v>
      </c>
      <c r="H637" s="94" t="n">
        <v>1.36</v>
      </c>
      <c r="I637" s="94" t="n">
        <v>0</v>
      </c>
      <c r="J637" s="94" t="n">
        <v>0</v>
      </c>
      <c r="K637" s="94" t="n">
        <v>0</v>
      </c>
      <c r="L637" s="37" t="n">
        <v>46.8</v>
      </c>
      <c r="M637" s="18" t="n">
        <v>0</v>
      </c>
      <c r="N637" s="19" t="n">
        <v>25.7</v>
      </c>
      <c r="O637" s="108">
        <f>COUNTIFS($E:$E,$E637,$L:$L,"&gt;"&amp;$L637)+1</f>
        <v/>
      </c>
      <c r="P637" s="108">
        <f>COUNTIFS($E:$E,$E637,$M:$M,"&gt;"&amp;$M637)+1</f>
        <v/>
      </c>
      <c r="Q637" s="108">
        <f>COUNTIFS($E:$E,$E637,$N:$N,"&gt;"&amp;$N637)+1</f>
        <v/>
      </c>
      <c r="R637" s="95" t="inlineStr">
        <is>
          <t>➡️ Neutral</t>
        </is>
      </c>
      <c r="S637" s="95" t="inlineStr">
        <is>
          <t>⏳ New Fund</t>
        </is>
      </c>
      <c r="T637" s="95" t="inlineStr">
        <is>
          <t>⏳ New Fund</t>
        </is>
      </c>
      <c r="U637" s="96" t="inlineStr">
        <is>
          <t>MOMENTUM_ONLY</t>
        </is>
      </c>
    </row>
    <row r="638" ht="16" customHeight="1">
      <c r="A638" s="92" t="n">
        <v>634</v>
      </c>
      <c r="B638" s="93" t="inlineStr">
        <is>
          <t>Bandhan Silver ETF</t>
        </is>
      </c>
      <c r="C638" s="93" t="inlineStr">
        <is>
          <t>Bandhan Mutual Fund</t>
        </is>
      </c>
      <c r="D638" s="93" t="inlineStr">
        <is>
          <t>Other  Etfs</t>
        </is>
      </c>
      <c r="E638" s="93" t="inlineStr">
        <is>
          <t>Silver</t>
        </is>
      </c>
      <c r="F638" s="94" t="n">
        <v>7.95</v>
      </c>
      <c r="G638" s="97" t="n">
        <v>-12.6</v>
      </c>
      <c r="H638" s="97" t="n">
        <v>-1.63</v>
      </c>
      <c r="I638" s="94" t="n">
        <v>0</v>
      </c>
      <c r="J638" s="94" t="n">
        <v>0</v>
      </c>
      <c r="K638" s="94" t="n">
        <v>0</v>
      </c>
      <c r="L638" s="37" t="n">
        <v>46.7</v>
      </c>
      <c r="M638" s="18" t="n">
        <v>0</v>
      </c>
      <c r="N638" s="19" t="n">
        <v>25.7</v>
      </c>
      <c r="O638" s="108">
        <f>COUNTIFS($E:$E,$E638,$L:$L,"&gt;"&amp;$L638)+1</f>
        <v/>
      </c>
      <c r="P638" s="108">
        <f>COUNTIFS($E:$E,$E638,$M:$M,"&gt;"&amp;$M638)+1</f>
        <v/>
      </c>
      <c r="Q638" s="108">
        <f>COUNTIFS($E:$E,$E638,$N:$N,"&gt;"&amp;$N638)+1</f>
        <v/>
      </c>
      <c r="R638" s="95" t="inlineStr">
        <is>
          <t>➡️ Neutral</t>
        </is>
      </c>
      <c r="S638" s="95" t="inlineStr">
        <is>
          <t>⏳ New Fund</t>
        </is>
      </c>
      <c r="T638" s="95" t="inlineStr">
        <is>
          <t>⏳ New Fund</t>
        </is>
      </c>
      <c r="U638" s="96" t="inlineStr">
        <is>
          <t>MOMENTUM_ONLY</t>
        </is>
      </c>
    </row>
    <row r="639" ht="16" customHeight="1">
      <c r="A639" s="92" t="n">
        <v>635</v>
      </c>
      <c r="B639" s="93" t="inlineStr">
        <is>
          <t>Mirae Asset Income plus Arbitrage Active FOF - Regular Plan - Growth</t>
        </is>
      </c>
      <c r="C639" s="93" t="inlineStr">
        <is>
          <t>Mirae Asset Mutual Fund</t>
        </is>
      </c>
      <c r="D639" s="93" t="inlineStr">
        <is>
          <t>Fof Domestic</t>
        </is>
      </c>
      <c r="E639" s="93" t="inlineStr">
        <is>
          <t>Standard Equity/Debt</t>
        </is>
      </c>
      <c r="F639" s="94" t="n">
        <v>0.47</v>
      </c>
      <c r="G639" s="94" t="n">
        <v>2.03</v>
      </c>
      <c r="H639" s="94" t="n">
        <v>2.76</v>
      </c>
      <c r="I639" s="94" t="n">
        <v>5.65</v>
      </c>
      <c r="J639" s="94" t="n">
        <v>0</v>
      </c>
      <c r="K639" s="94" t="n">
        <v>0</v>
      </c>
      <c r="L639" s="37" t="n">
        <v>46.7</v>
      </c>
      <c r="M639" s="18" t="n">
        <v>0</v>
      </c>
      <c r="N639" s="19" t="n">
        <v>25.7</v>
      </c>
      <c r="O639" s="108">
        <f>COUNTIFS($E:$E,$E639,$L:$L,"&gt;"&amp;$L639)+1</f>
        <v/>
      </c>
      <c r="P639" s="108">
        <f>COUNTIFS($E:$E,$E639,$M:$M,"&gt;"&amp;$M639)+1</f>
        <v/>
      </c>
      <c r="Q639" s="108">
        <f>COUNTIFS($E:$E,$E639,$N:$N,"&gt;"&amp;$N639)+1</f>
        <v/>
      </c>
      <c r="R639" s="95" t="inlineStr">
        <is>
          <t>➡️ Neutral</t>
        </is>
      </c>
      <c r="S639" s="95" t="inlineStr">
        <is>
          <t>⏳ New Fund</t>
        </is>
      </c>
      <c r="T639" s="95" t="inlineStr">
        <is>
          <t>⏳ New Fund</t>
        </is>
      </c>
      <c r="U639" s="96" t="inlineStr">
        <is>
          <t>MOMENTUM_ONLY</t>
        </is>
      </c>
    </row>
    <row r="640" ht="16" customHeight="1">
      <c r="A640" s="92" t="n">
        <v>636</v>
      </c>
      <c r="B640" s="93" t="inlineStr">
        <is>
          <t>Motilal Oswal Nifty India Tourism ETF</t>
        </is>
      </c>
      <c r="C640" s="93" t="inlineStr">
        <is>
          <t>Motilal Oswal Mutual Fund</t>
        </is>
      </c>
      <c r="D640" s="93" t="inlineStr">
        <is>
          <t>Other  Etfs</t>
        </is>
      </c>
      <c r="E640" s="93" t="inlineStr">
        <is>
          <t>Index Fund</t>
        </is>
      </c>
      <c r="F640" s="94" t="n">
        <v>0.33</v>
      </c>
      <c r="G640" s="94" t="n">
        <v>10.78</v>
      </c>
      <c r="H640" s="97" t="n">
        <v>-0.93</v>
      </c>
      <c r="I640" s="97" t="n">
        <v>-13.3</v>
      </c>
      <c r="J640" s="94" t="n">
        <v>0</v>
      </c>
      <c r="K640" s="94" t="n">
        <v>0</v>
      </c>
      <c r="L640" s="37" t="n">
        <v>46.6</v>
      </c>
      <c r="M640" s="18" t="n">
        <v>0</v>
      </c>
      <c r="N640" s="19" t="n">
        <v>25.7</v>
      </c>
      <c r="O640" s="108">
        <f>COUNTIFS($E:$E,$E640,$L:$L,"&gt;"&amp;$L640)+1</f>
        <v/>
      </c>
      <c r="P640" s="108">
        <f>COUNTIFS($E:$E,$E640,$M:$M,"&gt;"&amp;$M640)+1</f>
        <v/>
      </c>
      <c r="Q640" s="108">
        <f>COUNTIFS($E:$E,$E640,$N:$N,"&gt;"&amp;$N640)+1</f>
        <v/>
      </c>
      <c r="R640" s="95" t="inlineStr">
        <is>
          <t>➡️ Neutral</t>
        </is>
      </c>
      <c r="S640" s="95" t="inlineStr">
        <is>
          <t>⏳ New Fund</t>
        </is>
      </c>
      <c r="T640" s="95" t="inlineStr">
        <is>
          <t>⏳ New Fund</t>
        </is>
      </c>
      <c r="U640" s="96" t="inlineStr">
        <is>
          <t>MOMENTUM_ONLY</t>
        </is>
      </c>
    </row>
    <row r="641" ht="16" customHeight="1">
      <c r="A641" s="92" t="n">
        <v>637</v>
      </c>
      <c r="B641" s="93" t="inlineStr">
        <is>
          <t>Edelweiss Nifty500 Multicap Momentum Quality 50 Index Fund - Regular - Growth</t>
        </is>
      </c>
      <c r="C641" s="93" t="inlineStr">
        <is>
          <t>Edelweiss Mutual Fund</t>
        </is>
      </c>
      <c r="D641" s="93" t="inlineStr">
        <is>
          <t>Index Funds</t>
        </is>
      </c>
      <c r="E641" s="93" t="inlineStr">
        <is>
          <t>Index Fund</t>
        </is>
      </c>
      <c r="F641" s="94" t="n">
        <v>3.2</v>
      </c>
      <c r="G641" s="97" t="n">
        <v>-0.7</v>
      </c>
      <c r="H641" s="94" t="n">
        <v>1.63</v>
      </c>
      <c r="I641" s="94" t="n">
        <v>3.51</v>
      </c>
      <c r="J641" s="94" t="n">
        <v>0</v>
      </c>
      <c r="K641" s="94" t="n">
        <v>0</v>
      </c>
      <c r="L641" s="37" t="n">
        <v>46.3</v>
      </c>
      <c r="M641" s="18" t="n">
        <v>0</v>
      </c>
      <c r="N641" s="19" t="n">
        <v>25.5</v>
      </c>
      <c r="O641" s="108">
        <f>COUNTIFS($E:$E,$E641,$L:$L,"&gt;"&amp;$L641)+1</f>
        <v/>
      </c>
      <c r="P641" s="108">
        <f>COUNTIFS($E:$E,$E641,$M:$M,"&gt;"&amp;$M641)+1</f>
        <v/>
      </c>
      <c r="Q641" s="108">
        <f>COUNTIFS($E:$E,$E641,$N:$N,"&gt;"&amp;$N641)+1</f>
        <v/>
      </c>
      <c r="R641" s="95" t="inlineStr">
        <is>
          <t>➡️ Neutral</t>
        </is>
      </c>
      <c r="S641" s="95" t="inlineStr">
        <is>
          <t>⏳ New Fund</t>
        </is>
      </c>
      <c r="T641" s="95" t="inlineStr">
        <is>
          <t>⏳ New Fund</t>
        </is>
      </c>
      <c r="U641" s="96" t="inlineStr">
        <is>
          <t>MOMENTUM_ONLY</t>
        </is>
      </c>
    </row>
    <row r="642" ht="16" customHeight="1">
      <c r="A642" s="92" t="n">
        <v>638</v>
      </c>
      <c r="B642" s="93" t="inlineStr">
        <is>
          <t>UTI Nifty 10 yr Benchmark G-Sec ETF</t>
        </is>
      </c>
      <c r="C642" s="93" t="inlineStr">
        <is>
          <t>UTI Mutual Fund</t>
        </is>
      </c>
      <c r="D642" s="93" t="inlineStr">
        <is>
          <t>Other  Etfs</t>
        </is>
      </c>
      <c r="E642" s="93" t="inlineStr">
        <is>
          <t>G-SEC</t>
        </is>
      </c>
      <c r="F642" s="94" t="n">
        <v>0.22</v>
      </c>
      <c r="G642" s="94" t="n">
        <v>3.24</v>
      </c>
      <c r="H642" s="94" t="n">
        <v>1.93</v>
      </c>
      <c r="I642" s="94" t="n">
        <v>2.67</v>
      </c>
      <c r="J642" s="94" t="n">
        <v>5.806427025960947</v>
      </c>
      <c r="K642" s="94" t="n">
        <v>0</v>
      </c>
      <c r="L642" s="37" t="n">
        <v>46.2</v>
      </c>
      <c r="M642" s="18" t="n">
        <v>0</v>
      </c>
      <c r="N642" s="19" t="n">
        <v>25.4</v>
      </c>
      <c r="O642" s="108">
        <f>COUNTIFS($E:$E,$E642,$L:$L,"&gt;"&amp;$L642)+1</f>
        <v/>
      </c>
      <c r="P642" s="108">
        <f>COUNTIFS($E:$E,$E642,$M:$M,"&gt;"&amp;$M642)+1</f>
        <v/>
      </c>
      <c r="Q642" s="108">
        <f>COUNTIFS($E:$E,$E642,$N:$N,"&gt;"&amp;$N642)+1</f>
        <v/>
      </c>
      <c r="R642" s="95" t="inlineStr">
        <is>
          <t>➡️ Neutral</t>
        </is>
      </c>
      <c r="S642" s="95" t="inlineStr">
        <is>
          <t>⏳ New Fund</t>
        </is>
      </c>
      <c r="T642" s="95" t="inlineStr">
        <is>
          <t>⏳ New Fund</t>
        </is>
      </c>
      <c r="U642" s="96" t="inlineStr">
        <is>
          <t>MOMENTUM_ONLY</t>
        </is>
      </c>
    </row>
    <row r="643" ht="16" customHeight="1">
      <c r="A643" s="92" t="n">
        <v>639</v>
      </c>
      <c r="B643" s="93" t="inlineStr">
        <is>
          <t>Mirae Asset Multi Factor Passive FOF - Regular Plan - Growth</t>
        </is>
      </c>
      <c r="C643" s="93" t="inlineStr">
        <is>
          <t>Mirae Asset Mutual Fund</t>
        </is>
      </c>
      <c r="D643" s="93" t="inlineStr">
        <is>
          <t>Fof Domestic</t>
        </is>
      </c>
      <c r="E643" s="93" t="inlineStr">
        <is>
          <t>Standard Equity/Debt</t>
        </is>
      </c>
      <c r="F643" s="94" t="n">
        <v>2.58</v>
      </c>
      <c r="G643" s="94" t="n">
        <v>3.62</v>
      </c>
      <c r="H643" s="94" t="n">
        <v>1.7</v>
      </c>
      <c r="I643" s="94" t="n">
        <v>0</v>
      </c>
      <c r="J643" s="94" t="n">
        <v>0</v>
      </c>
      <c r="K643" s="94" t="n">
        <v>0</v>
      </c>
      <c r="L643" s="37" t="n">
        <v>46.2</v>
      </c>
      <c r="M643" s="18" t="n">
        <v>0</v>
      </c>
      <c r="N643" s="19" t="n">
        <v>25.4</v>
      </c>
      <c r="O643" s="108">
        <f>COUNTIFS($E:$E,$E643,$L:$L,"&gt;"&amp;$L643)+1</f>
        <v/>
      </c>
      <c r="P643" s="108">
        <f>COUNTIFS($E:$E,$E643,$M:$M,"&gt;"&amp;$M643)+1</f>
        <v/>
      </c>
      <c r="Q643" s="108">
        <f>COUNTIFS($E:$E,$E643,$N:$N,"&gt;"&amp;$N643)+1</f>
        <v/>
      </c>
      <c r="R643" s="95" t="inlineStr">
        <is>
          <t>➡️ Neutral</t>
        </is>
      </c>
      <c r="S643" s="95" t="inlineStr">
        <is>
          <t>⏳ New Fund</t>
        </is>
      </c>
      <c r="T643" s="95" t="inlineStr">
        <is>
          <t>⏳ New Fund</t>
        </is>
      </c>
      <c r="U643" s="96" t="inlineStr">
        <is>
          <t>MOMENTUM_ONLY</t>
        </is>
      </c>
    </row>
    <row r="644" ht="16" customHeight="1">
      <c r="A644" s="92" t="n">
        <v>640</v>
      </c>
      <c r="B644" s="93" t="inlineStr">
        <is>
          <t>SBI Nifty50 Equal Weight Index Fund - Regular Plan - Income Distribution Cum Capital Withdrawal Option</t>
        </is>
      </c>
      <c r="C644" s="93" t="inlineStr">
        <is>
          <t>SBI Mutual Fund</t>
        </is>
      </c>
      <c r="D644" s="93" t="inlineStr">
        <is>
          <t>Index Funds</t>
        </is>
      </c>
      <c r="E644" s="93" t="inlineStr">
        <is>
          <t>Index Fund</t>
        </is>
      </c>
      <c r="F644" s="94" t="n">
        <v>0.58</v>
      </c>
      <c r="G644" s="94" t="n">
        <v>2.6</v>
      </c>
      <c r="H644" s="97" t="n">
        <v>-1.64</v>
      </c>
      <c r="I644" s="94" t="n">
        <v>6.15</v>
      </c>
      <c r="J644" s="94" t="n">
        <v>2.713192920870688</v>
      </c>
      <c r="K644" s="94" t="n">
        <v>0</v>
      </c>
      <c r="L644" s="37" t="n">
        <v>45.8</v>
      </c>
      <c r="M644" s="18" t="n">
        <v>0</v>
      </c>
      <c r="N644" s="19" t="n">
        <v>25.2</v>
      </c>
      <c r="O644" s="108">
        <f>COUNTIFS($E:$E,$E644,$L:$L,"&gt;"&amp;$L644)+1</f>
        <v/>
      </c>
      <c r="P644" s="108">
        <f>COUNTIFS($E:$E,$E644,$M:$M,"&gt;"&amp;$M644)+1</f>
        <v/>
      </c>
      <c r="Q644" s="108">
        <f>COUNTIFS($E:$E,$E644,$N:$N,"&gt;"&amp;$N644)+1</f>
        <v/>
      </c>
      <c r="R644" s="95" t="inlineStr">
        <is>
          <t>➡️ Neutral</t>
        </is>
      </c>
      <c r="S644" s="95" t="inlineStr">
        <is>
          <t>⏳ New Fund</t>
        </is>
      </c>
      <c r="T644" s="95" t="inlineStr">
        <is>
          <t>⏳ New Fund</t>
        </is>
      </c>
      <c r="U644" s="96" t="inlineStr">
        <is>
          <t>MOMENTUM_ONLY</t>
        </is>
      </c>
    </row>
    <row r="645" ht="16" customHeight="1">
      <c r="A645" s="92" t="n">
        <v>641</v>
      </c>
      <c r="B645" s="93" t="inlineStr">
        <is>
          <t>SBI Nifty50 Equal Weight Index Fund - Regular Plan - Growth</t>
        </is>
      </c>
      <c r="C645" s="93" t="inlineStr">
        <is>
          <t>SBI Mutual Fund</t>
        </is>
      </c>
      <c r="D645" s="93" t="inlineStr">
        <is>
          <t>Index Funds</t>
        </is>
      </c>
      <c r="E645" s="93" t="inlineStr">
        <is>
          <t>Index Fund</t>
        </is>
      </c>
      <c r="F645" s="94" t="n">
        <v>0.58</v>
      </c>
      <c r="G645" s="94" t="n">
        <v>2.6</v>
      </c>
      <c r="H645" s="97" t="n">
        <v>-1.64</v>
      </c>
      <c r="I645" s="94" t="n">
        <v>6.15</v>
      </c>
      <c r="J645" s="94" t="n">
        <v>2.713192920870688</v>
      </c>
      <c r="K645" s="94" t="n">
        <v>0</v>
      </c>
      <c r="L645" s="37" t="n">
        <v>45.8</v>
      </c>
      <c r="M645" s="18" t="n">
        <v>0</v>
      </c>
      <c r="N645" s="19" t="n">
        <v>25.2</v>
      </c>
      <c r="O645" s="108">
        <f>COUNTIFS($E:$E,$E645,$L:$L,"&gt;"&amp;$L645)+1</f>
        <v/>
      </c>
      <c r="P645" s="108">
        <f>COUNTIFS($E:$E,$E645,$M:$M,"&gt;"&amp;$M645)+1</f>
        <v/>
      </c>
      <c r="Q645" s="108">
        <f>COUNTIFS($E:$E,$E645,$N:$N,"&gt;"&amp;$N645)+1</f>
        <v/>
      </c>
      <c r="R645" s="95" t="inlineStr">
        <is>
          <t>➡️ Neutral</t>
        </is>
      </c>
      <c r="S645" s="95" t="inlineStr">
        <is>
          <t>⏳ New Fund</t>
        </is>
      </c>
      <c r="T645" s="95" t="inlineStr">
        <is>
          <t>⏳ New Fund</t>
        </is>
      </c>
      <c r="U645" s="96" t="inlineStr">
        <is>
          <t>MOMENTUM_ONLY</t>
        </is>
      </c>
    </row>
    <row r="646" ht="16" customHeight="1">
      <c r="A646" s="92" t="n">
        <v>642</v>
      </c>
      <c r="B646" s="93" t="inlineStr">
        <is>
          <t>Edelweiss Multi Asset Omni Fund of Fund- Regular Plan - Growth</t>
        </is>
      </c>
      <c r="C646" s="93" t="inlineStr">
        <is>
          <t>Edelweiss Mutual Fund</t>
        </is>
      </c>
      <c r="D646" s="93" t="inlineStr">
        <is>
          <t>Fof Domestic</t>
        </is>
      </c>
      <c r="E646" s="93" t="inlineStr">
        <is>
          <t>Standard Equity/Debt</t>
        </is>
      </c>
      <c r="F646" s="94" t="n">
        <v>3.87</v>
      </c>
      <c r="G646" s="94" t="n">
        <v>3.46</v>
      </c>
      <c r="H646" s="94" t="n">
        <v>2.51</v>
      </c>
      <c r="I646" s="94" t="n">
        <v>0</v>
      </c>
      <c r="J646" s="94" t="n">
        <v>0</v>
      </c>
      <c r="K646" s="94" t="n">
        <v>0</v>
      </c>
      <c r="L646" s="37" t="n">
        <v>45.6</v>
      </c>
      <c r="M646" s="18" t="n">
        <v>0</v>
      </c>
      <c r="N646" s="19" t="n">
        <v>25.1</v>
      </c>
      <c r="O646" s="108">
        <f>COUNTIFS($E:$E,$E646,$L:$L,"&gt;"&amp;$L646)+1</f>
        <v/>
      </c>
      <c r="P646" s="108">
        <f>COUNTIFS($E:$E,$E646,$M:$M,"&gt;"&amp;$M646)+1</f>
        <v/>
      </c>
      <c r="Q646" s="108">
        <f>COUNTIFS($E:$E,$E646,$N:$N,"&gt;"&amp;$N646)+1</f>
        <v/>
      </c>
      <c r="R646" s="95" t="inlineStr">
        <is>
          <t>➡️ Neutral</t>
        </is>
      </c>
      <c r="S646" s="95" t="inlineStr">
        <is>
          <t>⏳ New Fund</t>
        </is>
      </c>
      <c r="T646" s="95" t="inlineStr">
        <is>
          <t>⏳ New Fund</t>
        </is>
      </c>
      <c r="U646" s="96" t="inlineStr">
        <is>
          <t>MOMENTUM_ONLY</t>
        </is>
      </c>
    </row>
    <row r="647" ht="16" customHeight="1">
      <c r="A647" s="92" t="n">
        <v>643</v>
      </c>
      <c r="B647" s="93" t="inlineStr">
        <is>
          <t>Union Income Plus Arbitrage Active FOF - Regular Plan - Growth Option</t>
        </is>
      </c>
      <c r="C647" s="93" t="inlineStr">
        <is>
          <t>Union Mutual Fund</t>
        </is>
      </c>
      <c r="D647" s="93" t="inlineStr">
        <is>
          <t>Fof Domestic</t>
        </is>
      </c>
      <c r="E647" s="93" t="inlineStr">
        <is>
          <t>Standard Equity/Debt</t>
        </is>
      </c>
      <c r="F647" s="94" t="n">
        <v>0.49</v>
      </c>
      <c r="G647" s="94" t="n">
        <v>2.49</v>
      </c>
      <c r="H647" s="94" t="n">
        <v>2.61</v>
      </c>
      <c r="I647" s="94" t="n">
        <v>4.56</v>
      </c>
      <c r="J647" s="94" t="n">
        <v>0</v>
      </c>
      <c r="K647" s="94" t="n">
        <v>0</v>
      </c>
      <c r="L647" s="37" t="n">
        <v>45.6</v>
      </c>
      <c r="M647" s="18" t="n">
        <v>0</v>
      </c>
      <c r="N647" s="19" t="n">
        <v>25.1</v>
      </c>
      <c r="O647" s="108">
        <f>COUNTIFS($E:$E,$E647,$L:$L,"&gt;"&amp;$L647)+1</f>
        <v/>
      </c>
      <c r="P647" s="108">
        <f>COUNTIFS($E:$E,$E647,$M:$M,"&gt;"&amp;$M647)+1</f>
        <v/>
      </c>
      <c r="Q647" s="108">
        <f>COUNTIFS($E:$E,$E647,$N:$N,"&gt;"&amp;$N647)+1</f>
        <v/>
      </c>
      <c r="R647" s="95" t="inlineStr">
        <is>
          <t>➡️ Neutral</t>
        </is>
      </c>
      <c r="S647" s="95" t="inlineStr">
        <is>
          <t>⏳ New Fund</t>
        </is>
      </c>
      <c r="T647" s="95" t="inlineStr">
        <is>
          <t>⏳ New Fund</t>
        </is>
      </c>
      <c r="U647" s="96" t="inlineStr">
        <is>
          <t>MOMENTUM_ONLY</t>
        </is>
      </c>
    </row>
    <row r="648" ht="16" customHeight="1">
      <c r="A648" s="92" t="n">
        <v>644</v>
      </c>
      <c r="B648" s="93" t="inlineStr">
        <is>
          <t>SBI Dynamic Asset Allocation Active FoF - Regular Plan - Growth</t>
        </is>
      </c>
      <c r="C648" s="93" t="inlineStr">
        <is>
          <t>SBI Mutual Fund</t>
        </is>
      </c>
      <c r="D648" s="93" t="inlineStr">
        <is>
          <t>Fof Domestic</t>
        </is>
      </c>
      <c r="E648" s="93" t="inlineStr">
        <is>
          <t>Standard Equity/Debt</t>
        </is>
      </c>
      <c r="F648" s="94" t="n">
        <v>1.34</v>
      </c>
      <c r="G648" s="94" t="n">
        <v>4.32</v>
      </c>
      <c r="H648" s="94" t="n">
        <v>1.94</v>
      </c>
      <c r="I648" s="94" t="n">
        <v>0</v>
      </c>
      <c r="J648" s="94" t="n">
        <v>0</v>
      </c>
      <c r="K648" s="94" t="n">
        <v>0</v>
      </c>
      <c r="L648" s="37" t="n">
        <v>45.3</v>
      </c>
      <c r="M648" s="18" t="n">
        <v>0</v>
      </c>
      <c r="N648" s="19" t="n">
        <v>24.9</v>
      </c>
      <c r="O648" s="108">
        <f>COUNTIFS($E:$E,$E648,$L:$L,"&gt;"&amp;$L648)+1</f>
        <v/>
      </c>
      <c r="P648" s="108">
        <f>COUNTIFS($E:$E,$E648,$M:$M,"&gt;"&amp;$M648)+1</f>
        <v/>
      </c>
      <c r="Q648" s="108">
        <f>COUNTIFS($E:$E,$E648,$N:$N,"&gt;"&amp;$N648)+1</f>
        <v/>
      </c>
      <c r="R648" s="95" t="inlineStr">
        <is>
          <t>➡️ Neutral</t>
        </is>
      </c>
      <c r="S648" s="95" t="inlineStr">
        <is>
          <t>⏳ New Fund</t>
        </is>
      </c>
      <c r="T648" s="95" t="inlineStr">
        <is>
          <t>⏳ New Fund</t>
        </is>
      </c>
      <c r="U648" s="96" t="inlineStr">
        <is>
          <t>MOMENTUM_ONLY</t>
        </is>
      </c>
    </row>
    <row r="649" ht="16" customHeight="1">
      <c r="A649" s="92" t="n">
        <v>645</v>
      </c>
      <c r="B649" s="93" t="inlineStr">
        <is>
          <t>SBI Dynamic Asset Allocation Active FoF - Regular Plan - Income Distribution Cum Capital Withdrawal Option</t>
        </is>
      </c>
      <c r="C649" s="93" t="inlineStr">
        <is>
          <t>SBI Mutual Fund</t>
        </is>
      </c>
      <c r="D649" s="93" t="inlineStr">
        <is>
          <t>Fof Domestic</t>
        </is>
      </c>
      <c r="E649" s="93" t="inlineStr">
        <is>
          <t>Standard Equity/Debt</t>
        </is>
      </c>
      <c r="F649" s="94" t="n">
        <v>1.34</v>
      </c>
      <c r="G649" s="94" t="n">
        <v>4.32</v>
      </c>
      <c r="H649" s="94" t="n">
        <v>1.94</v>
      </c>
      <c r="I649" s="94" t="n">
        <v>0</v>
      </c>
      <c r="J649" s="94" t="n">
        <v>0</v>
      </c>
      <c r="K649" s="94" t="n">
        <v>0</v>
      </c>
      <c r="L649" s="37" t="n">
        <v>45.3</v>
      </c>
      <c r="M649" s="18" t="n">
        <v>0</v>
      </c>
      <c r="N649" s="19" t="n">
        <v>24.9</v>
      </c>
      <c r="O649" s="108">
        <f>COUNTIFS($E:$E,$E649,$L:$L,"&gt;"&amp;$L649)+1</f>
        <v/>
      </c>
      <c r="P649" s="108">
        <f>COUNTIFS($E:$E,$E649,$M:$M,"&gt;"&amp;$M649)+1</f>
        <v/>
      </c>
      <c r="Q649" s="108">
        <f>COUNTIFS($E:$E,$E649,$N:$N,"&gt;"&amp;$N649)+1</f>
        <v/>
      </c>
      <c r="R649" s="95" t="inlineStr">
        <is>
          <t>➡️ Neutral</t>
        </is>
      </c>
      <c r="S649" s="95" t="inlineStr">
        <is>
          <t>⏳ New Fund</t>
        </is>
      </c>
      <c r="T649" s="95" t="inlineStr">
        <is>
          <t>⏳ New Fund</t>
        </is>
      </c>
      <c r="U649" s="96" t="inlineStr">
        <is>
          <t>MOMENTUM_ONLY</t>
        </is>
      </c>
    </row>
    <row r="650" ht="16" customHeight="1">
      <c r="A650" s="92" t="n">
        <v>646</v>
      </c>
      <c r="B650" s="93" t="inlineStr">
        <is>
          <t>UTI Income Plus Arbitrage Active Fund of Fund - Regular Plan - Growth Option</t>
        </is>
      </c>
      <c r="C650" s="93" t="inlineStr">
        <is>
          <t>UTI Mutual Fund</t>
        </is>
      </c>
      <c r="D650" s="93" t="inlineStr">
        <is>
          <t>Fof Domestic</t>
        </is>
      </c>
      <c r="E650" s="93" t="inlineStr">
        <is>
          <t>Standard Equity/Debt</t>
        </is>
      </c>
      <c r="F650" s="94" t="n">
        <v>0.46</v>
      </c>
      <c r="G650" s="94" t="n">
        <v>2.07</v>
      </c>
      <c r="H650" s="94" t="n">
        <v>2.76</v>
      </c>
      <c r="I650" s="94" t="n">
        <v>5.58</v>
      </c>
      <c r="J650" s="94" t="n">
        <v>0</v>
      </c>
      <c r="K650" s="94" t="n">
        <v>0</v>
      </c>
      <c r="L650" s="37" t="n">
        <v>45</v>
      </c>
      <c r="M650" s="18" t="n">
        <v>0</v>
      </c>
      <c r="N650" s="19" t="n">
        <v>24.8</v>
      </c>
      <c r="O650" s="108">
        <f>COUNTIFS($E:$E,$E650,$L:$L,"&gt;"&amp;$L650)+1</f>
        <v/>
      </c>
      <c r="P650" s="108">
        <f>COUNTIFS($E:$E,$E650,$M:$M,"&gt;"&amp;$M650)+1</f>
        <v/>
      </c>
      <c r="Q650" s="108">
        <f>COUNTIFS($E:$E,$E650,$N:$N,"&gt;"&amp;$N650)+1</f>
        <v/>
      </c>
      <c r="R650" s="95" t="inlineStr">
        <is>
          <t>➡️ Neutral</t>
        </is>
      </c>
      <c r="S650" s="95" t="inlineStr">
        <is>
          <t>⏳ New Fund</t>
        </is>
      </c>
      <c r="T650" s="95" t="inlineStr">
        <is>
          <t>⏳ New Fund</t>
        </is>
      </c>
      <c r="U650" s="96" t="inlineStr">
        <is>
          <t>MOMENTUM_ONLY</t>
        </is>
      </c>
    </row>
    <row r="651" ht="16" customHeight="1">
      <c r="A651" s="92" t="n">
        <v>647</v>
      </c>
      <c r="B651" s="93" t="inlineStr">
        <is>
          <t>Mahindra Manulife Income Plus Arbitrage Active FOF - Regular - Growth</t>
        </is>
      </c>
      <c r="C651" s="93" t="inlineStr">
        <is>
          <t>Mahindra Manulife Mutual Fund</t>
        </is>
      </c>
      <c r="D651" s="93" t="inlineStr">
        <is>
          <t>Fof Domestic</t>
        </is>
      </c>
      <c r="E651" s="93" t="inlineStr">
        <is>
          <t>Standard Equity/Debt</t>
        </is>
      </c>
      <c r="F651" s="94" t="n">
        <v>0.5</v>
      </c>
      <c r="G651" s="94" t="n">
        <v>2.31</v>
      </c>
      <c r="H651" s="94" t="n">
        <v>3.18</v>
      </c>
      <c r="I651" s="94" t="n">
        <v>0</v>
      </c>
      <c r="J651" s="94" t="n">
        <v>0</v>
      </c>
      <c r="K651" s="94" t="n">
        <v>0</v>
      </c>
      <c r="L651" s="37" t="n">
        <v>45</v>
      </c>
      <c r="M651" s="18" t="n">
        <v>0</v>
      </c>
      <c r="N651" s="19" t="n">
        <v>24.8</v>
      </c>
      <c r="O651" s="108">
        <f>COUNTIFS($E:$E,$E651,$L:$L,"&gt;"&amp;$L651)+1</f>
        <v/>
      </c>
      <c r="P651" s="108">
        <f>COUNTIFS($E:$E,$E651,$M:$M,"&gt;"&amp;$M651)+1</f>
        <v/>
      </c>
      <c r="Q651" s="108">
        <f>COUNTIFS($E:$E,$E651,$N:$N,"&gt;"&amp;$N651)+1</f>
        <v/>
      </c>
      <c r="R651" s="95" t="inlineStr">
        <is>
          <t>➡️ Neutral</t>
        </is>
      </c>
      <c r="S651" s="95" t="inlineStr">
        <is>
          <t>⏳ New Fund</t>
        </is>
      </c>
      <c r="T651" s="95" t="inlineStr">
        <is>
          <t>⏳ New Fund</t>
        </is>
      </c>
      <c r="U651" s="96" t="inlineStr">
        <is>
          <t>MOMENTUM_ONLY</t>
        </is>
      </c>
    </row>
    <row r="652" ht="16" customHeight="1">
      <c r="A652" s="92" t="n">
        <v>648</v>
      </c>
      <c r="B652" s="93" t="inlineStr">
        <is>
          <t>Edelweiss Nifty 1D Rate Liquid ETF - Growth</t>
        </is>
      </c>
      <c r="C652" s="93" t="inlineStr">
        <is>
          <t>Edelweiss Mutual Fund</t>
        </is>
      </c>
      <c r="D652" s="93" t="inlineStr">
        <is>
          <t>Other  Etfs</t>
        </is>
      </c>
      <c r="E652" s="93" t="inlineStr">
        <is>
          <t>Index Fund</t>
        </is>
      </c>
      <c r="F652" s="94" t="n">
        <v>0.43</v>
      </c>
      <c r="G652" s="94" t="n">
        <v>1.24</v>
      </c>
      <c r="H652" s="94" t="n">
        <v>2.46</v>
      </c>
      <c r="I652" s="94" t="n">
        <v>0</v>
      </c>
      <c r="J652" s="94" t="n">
        <v>0</v>
      </c>
      <c r="K652" s="94" t="n">
        <v>0</v>
      </c>
      <c r="L652" s="37" t="n">
        <v>45</v>
      </c>
      <c r="M652" s="18" t="n">
        <v>0</v>
      </c>
      <c r="N652" s="19" t="n">
        <v>24.8</v>
      </c>
      <c r="O652" s="108">
        <f>COUNTIFS($E:$E,$E652,$L:$L,"&gt;"&amp;$L652)+1</f>
        <v/>
      </c>
      <c r="P652" s="108">
        <f>COUNTIFS($E:$E,$E652,$M:$M,"&gt;"&amp;$M652)+1</f>
        <v/>
      </c>
      <c r="Q652" s="108">
        <f>COUNTIFS($E:$E,$E652,$N:$N,"&gt;"&amp;$N652)+1</f>
        <v/>
      </c>
      <c r="R652" s="95" t="inlineStr">
        <is>
          <t>➡️ Neutral</t>
        </is>
      </c>
      <c r="S652" s="95" t="inlineStr">
        <is>
          <t>⏳ New Fund</t>
        </is>
      </c>
      <c r="T652" s="95" t="inlineStr">
        <is>
          <t>⏳ New Fund</t>
        </is>
      </c>
      <c r="U652" s="96" t="inlineStr">
        <is>
          <t>MOMENTUM_ONLY</t>
        </is>
      </c>
    </row>
    <row r="653" ht="16" customHeight="1">
      <c r="A653" s="92" t="n">
        <v>649</v>
      </c>
      <c r="B653" s="93" t="inlineStr">
        <is>
          <t>Tata Silver ETF Fund of Fund Regular Plan Growth Option</t>
        </is>
      </c>
      <c r="C653" s="93" t="inlineStr">
        <is>
          <t>Tata Mutual Fund</t>
        </is>
      </c>
      <c r="D653" s="93" t="inlineStr">
        <is>
          <t>Fof Domestic</t>
        </is>
      </c>
      <c r="E653" s="93" t="inlineStr">
        <is>
          <t>Silver</t>
        </is>
      </c>
      <c r="F653" s="94" t="n">
        <v>8</v>
      </c>
      <c r="G653" s="97" t="n">
        <v>-12.55</v>
      </c>
      <c r="H653" s="97" t="n">
        <v>-1.37</v>
      </c>
      <c r="I653" s="94" t="n">
        <v>93.42</v>
      </c>
      <c r="J653" s="94" t="n">
        <v>63.07360301409912</v>
      </c>
      <c r="K653" s="94" t="n">
        <v>0</v>
      </c>
      <c r="L653" s="37" t="n">
        <v>45</v>
      </c>
      <c r="M653" s="18" t="n">
        <v>0</v>
      </c>
      <c r="N653" s="19" t="n">
        <v>24.7</v>
      </c>
      <c r="O653" s="108">
        <f>COUNTIFS($E:$E,$E653,$L:$L,"&gt;"&amp;$L653)+1</f>
        <v/>
      </c>
      <c r="P653" s="108">
        <f>COUNTIFS($E:$E,$E653,$M:$M,"&gt;"&amp;$M653)+1</f>
        <v/>
      </c>
      <c r="Q653" s="108">
        <f>COUNTIFS($E:$E,$E653,$N:$N,"&gt;"&amp;$N653)+1</f>
        <v/>
      </c>
      <c r="R653" s="95" t="inlineStr">
        <is>
          <t>➡️ Neutral</t>
        </is>
      </c>
      <c r="S653" s="95" t="inlineStr">
        <is>
          <t>⏳ New Fund</t>
        </is>
      </c>
      <c r="T653" s="95" t="inlineStr">
        <is>
          <t>⏳ New Fund</t>
        </is>
      </c>
      <c r="U653" s="96" t="inlineStr">
        <is>
          <t>MOMENTUM_ONLY</t>
        </is>
      </c>
    </row>
    <row r="654" ht="16" customHeight="1">
      <c r="A654" s="92" t="n">
        <v>650</v>
      </c>
      <c r="B654" s="93" t="inlineStr">
        <is>
          <t>Zerodha Nifty 8-13 Yr G-Sec ETF</t>
        </is>
      </c>
      <c r="C654" s="93" t="inlineStr">
        <is>
          <t>Zerodha Mutual Fund</t>
        </is>
      </c>
      <c r="D654" s="93" t="inlineStr">
        <is>
          <t>Other  Etfs</t>
        </is>
      </c>
      <c r="E654" s="93" t="inlineStr">
        <is>
          <t>G-SEC</t>
        </is>
      </c>
      <c r="F654" s="94" t="n">
        <v>0.27</v>
      </c>
      <c r="G654" s="94" t="n">
        <v>3.39</v>
      </c>
      <c r="H654" s="94" t="n">
        <v>2.32</v>
      </c>
      <c r="I654" s="94" t="n">
        <v>0</v>
      </c>
      <c r="J654" s="94" t="n">
        <v>0</v>
      </c>
      <c r="K654" s="94" t="n">
        <v>0</v>
      </c>
      <c r="L654" s="37" t="n">
        <v>44.5</v>
      </c>
      <c r="M654" s="18" t="n">
        <v>0</v>
      </c>
      <c r="N654" s="19" t="n">
        <v>24.5</v>
      </c>
      <c r="O654" s="108">
        <f>COUNTIFS($E:$E,$E654,$L:$L,"&gt;"&amp;$L654)+1</f>
        <v/>
      </c>
      <c r="P654" s="108">
        <f>COUNTIFS($E:$E,$E654,$M:$M,"&gt;"&amp;$M654)+1</f>
        <v/>
      </c>
      <c r="Q654" s="108">
        <f>COUNTIFS($E:$E,$E654,$N:$N,"&gt;"&amp;$N654)+1</f>
        <v/>
      </c>
      <c r="R654" s="95" t="inlineStr">
        <is>
          <t>➡️ Neutral</t>
        </is>
      </c>
      <c r="S654" s="95" t="inlineStr">
        <is>
          <t>⏳ New Fund</t>
        </is>
      </c>
      <c r="T654" s="95" t="inlineStr">
        <is>
          <t>⏳ New Fund</t>
        </is>
      </c>
      <c r="U654" s="96" t="inlineStr">
        <is>
          <t>MOMENTUM_ONLY</t>
        </is>
      </c>
    </row>
    <row r="655" ht="16" customHeight="1">
      <c r="A655" s="92" t="n">
        <v>651</v>
      </c>
      <c r="B655" s="93" t="inlineStr">
        <is>
          <t>DSP Nifty 500 Index Fund - Regular - Growth</t>
        </is>
      </c>
      <c r="C655" s="93" t="inlineStr">
        <is>
          <t>DSP Mutual Fund</t>
        </is>
      </c>
      <c r="D655" s="93" t="inlineStr">
        <is>
          <t>Index Funds</t>
        </is>
      </c>
      <c r="E655" s="93" t="inlineStr">
        <is>
          <t>Index Fund</t>
        </is>
      </c>
      <c r="F655" s="94" t="n">
        <v>0.68</v>
      </c>
      <c r="G655" s="94" t="n">
        <v>4.49</v>
      </c>
      <c r="H655" s="97" t="n">
        <v>-0.66</v>
      </c>
      <c r="I655" s="94" t="n">
        <v>0</v>
      </c>
      <c r="J655" s="94" t="n">
        <v>0</v>
      </c>
      <c r="K655" s="94" t="n">
        <v>0</v>
      </c>
      <c r="L655" s="37" t="n">
        <v>44.5</v>
      </c>
      <c r="M655" s="18" t="n">
        <v>0</v>
      </c>
      <c r="N655" s="19" t="n">
        <v>24.5</v>
      </c>
      <c r="O655" s="108">
        <f>COUNTIFS($E:$E,$E655,$L:$L,"&gt;"&amp;$L655)+1</f>
        <v/>
      </c>
      <c r="P655" s="108">
        <f>COUNTIFS($E:$E,$E655,$M:$M,"&gt;"&amp;$M655)+1</f>
        <v/>
      </c>
      <c r="Q655" s="108">
        <f>COUNTIFS($E:$E,$E655,$N:$N,"&gt;"&amp;$N655)+1</f>
        <v/>
      </c>
      <c r="R655" s="95" t="inlineStr">
        <is>
          <t>➡️ Neutral</t>
        </is>
      </c>
      <c r="S655" s="95" t="inlineStr">
        <is>
          <t>⏳ New Fund</t>
        </is>
      </c>
      <c r="T655" s="95" t="inlineStr">
        <is>
          <t>⏳ New Fund</t>
        </is>
      </c>
      <c r="U655" s="96" t="inlineStr">
        <is>
          <t>MOMENTUM_ONLY</t>
        </is>
      </c>
    </row>
    <row r="656" ht="16" customHeight="1">
      <c r="A656" s="92" t="n">
        <v>652</v>
      </c>
      <c r="B656" s="93" t="inlineStr">
        <is>
          <t>Bandhan CRISIL-IBX 10:90 Gilt Plus SDL Index - Dec 2029 Fund-Regular Plan-Growth</t>
        </is>
      </c>
      <c r="C656" s="93" t="inlineStr">
        <is>
          <t>Bandhan Mutual Fund</t>
        </is>
      </c>
      <c r="D656" s="93" t="inlineStr">
        <is>
          <t>Index Funds</t>
        </is>
      </c>
      <c r="E656" s="93" t="inlineStr">
        <is>
          <t>GILT</t>
        </is>
      </c>
      <c r="F656" s="94" t="n">
        <v>0.54</v>
      </c>
      <c r="G656" s="94" t="n">
        <v>2.47</v>
      </c>
      <c r="H656" s="94" t="n">
        <v>2.43</v>
      </c>
      <c r="I656" s="94" t="n">
        <v>5</v>
      </c>
      <c r="J656" s="94" t="n">
        <v>0</v>
      </c>
      <c r="K656" s="94" t="n">
        <v>0</v>
      </c>
      <c r="L656" s="37" t="n">
        <v>44.1</v>
      </c>
      <c r="M656" s="18" t="n">
        <v>0</v>
      </c>
      <c r="N656" s="19" t="n">
        <v>24.2</v>
      </c>
      <c r="O656" s="108">
        <f>COUNTIFS($E:$E,$E656,$L:$L,"&gt;"&amp;$L656)+1</f>
        <v/>
      </c>
      <c r="P656" s="108">
        <f>COUNTIFS($E:$E,$E656,$M:$M,"&gt;"&amp;$M656)+1</f>
        <v/>
      </c>
      <c r="Q656" s="108">
        <f>COUNTIFS($E:$E,$E656,$N:$N,"&gt;"&amp;$N656)+1</f>
        <v/>
      </c>
      <c r="R656" s="95" t="inlineStr">
        <is>
          <t>➡️ Neutral</t>
        </is>
      </c>
      <c r="S656" s="95" t="inlineStr">
        <is>
          <t>⏳ New Fund</t>
        </is>
      </c>
      <c r="T656" s="95" t="inlineStr">
        <is>
          <t>⏳ New Fund</t>
        </is>
      </c>
      <c r="U656" s="96" t="inlineStr">
        <is>
          <t>MOMENTUM_ONLY</t>
        </is>
      </c>
    </row>
    <row r="657" ht="16" customHeight="1">
      <c r="A657" s="92" t="n">
        <v>653</v>
      </c>
      <c r="B657" s="93" t="inlineStr">
        <is>
          <t>Axis Nifty500 Value 50 ETF</t>
        </is>
      </c>
      <c r="C657" s="93" t="inlineStr">
        <is>
          <t>Axis Mutual Fund</t>
        </is>
      </c>
      <c r="D657" s="93" t="inlineStr">
        <is>
          <t>Other  Etfs</t>
        </is>
      </c>
      <c r="E657" s="93" t="inlineStr">
        <is>
          <t>Index Fund</t>
        </is>
      </c>
      <c r="F657" s="94" t="n">
        <v>0.46</v>
      </c>
      <c r="G657" s="97" t="n">
        <v>-1.72</v>
      </c>
      <c r="H657" s="97" t="n">
        <v>-3.11</v>
      </c>
      <c r="I657" s="94" t="n">
        <v>17.28</v>
      </c>
      <c r="J657" s="94" t="n">
        <v>0</v>
      </c>
      <c r="K657" s="94" t="n">
        <v>0</v>
      </c>
      <c r="L657" s="37" t="n">
        <v>43.8</v>
      </c>
      <c r="M657" s="18" t="n">
        <v>0</v>
      </c>
      <c r="N657" s="19" t="n">
        <v>24.1</v>
      </c>
      <c r="O657" s="108">
        <f>COUNTIFS($E:$E,$E657,$L:$L,"&gt;"&amp;$L657)+1</f>
        <v/>
      </c>
      <c r="P657" s="108">
        <f>COUNTIFS($E:$E,$E657,$M:$M,"&gt;"&amp;$M657)+1</f>
        <v/>
      </c>
      <c r="Q657" s="108">
        <f>COUNTIFS($E:$E,$E657,$N:$N,"&gt;"&amp;$N657)+1</f>
        <v/>
      </c>
      <c r="R657" s="95" t="inlineStr">
        <is>
          <t>➡️ Neutral</t>
        </is>
      </c>
      <c r="S657" s="95" t="inlineStr">
        <is>
          <t>⏳ New Fund</t>
        </is>
      </c>
      <c r="T657" s="95" t="inlineStr">
        <is>
          <t>⏳ New Fund</t>
        </is>
      </c>
      <c r="U657" s="96" t="inlineStr">
        <is>
          <t>MOMENTUM_ONLY</t>
        </is>
      </c>
    </row>
    <row r="658" ht="16" customHeight="1">
      <c r="A658" s="92" t="n">
        <v>654</v>
      </c>
      <c r="B658" s="93" t="inlineStr">
        <is>
          <t>Tata Income Plus Arbitrage Active FOF - Regular Plan Growth Option</t>
        </is>
      </c>
      <c r="C658" s="93" t="inlineStr">
        <is>
          <t>Tata Mutual Fund</t>
        </is>
      </c>
      <c r="D658" s="93" t="inlineStr">
        <is>
          <t>Fof Domestic</t>
        </is>
      </c>
      <c r="E658" s="93" t="inlineStr">
        <is>
          <t>Standard Equity/Debt</t>
        </is>
      </c>
      <c r="F658" s="94" t="n">
        <v>0.45</v>
      </c>
      <c r="G658" s="94" t="n">
        <v>2.19</v>
      </c>
      <c r="H658" s="94" t="n">
        <v>2.69</v>
      </c>
      <c r="I658" s="94" t="n">
        <v>5.37</v>
      </c>
      <c r="J658" s="94" t="n">
        <v>0</v>
      </c>
      <c r="K658" s="94" t="n">
        <v>0</v>
      </c>
      <c r="L658" s="37" t="n">
        <v>43.3</v>
      </c>
      <c r="M658" s="18" t="n">
        <v>0</v>
      </c>
      <c r="N658" s="19" t="n">
        <v>23.8</v>
      </c>
      <c r="O658" s="108">
        <f>COUNTIFS($E:$E,$E658,$L:$L,"&gt;"&amp;$L658)+1</f>
        <v/>
      </c>
      <c r="P658" s="108">
        <f>COUNTIFS($E:$E,$E658,$M:$M,"&gt;"&amp;$M658)+1</f>
        <v/>
      </c>
      <c r="Q658" s="108">
        <f>COUNTIFS($E:$E,$E658,$N:$N,"&gt;"&amp;$N658)+1</f>
        <v/>
      </c>
      <c r="R658" s="95" t="inlineStr">
        <is>
          <t>➡️ Neutral</t>
        </is>
      </c>
      <c r="S658" s="95" t="inlineStr">
        <is>
          <t>⏳ New Fund</t>
        </is>
      </c>
      <c r="T658" s="95" t="inlineStr">
        <is>
          <t>⏳ New Fund</t>
        </is>
      </c>
      <c r="U658" s="96" t="inlineStr">
        <is>
          <t>MOMENTUM_ONLY</t>
        </is>
      </c>
    </row>
    <row r="659" ht="16" customHeight="1">
      <c r="A659" s="92" t="n">
        <v>655</v>
      </c>
      <c r="B659" s="93" t="inlineStr">
        <is>
          <t>Axis Income Plus Arbitrage Passive FOF - Regular Plan - Growth Option</t>
        </is>
      </c>
      <c r="C659" s="93" t="inlineStr">
        <is>
          <t>Axis Mutual Fund</t>
        </is>
      </c>
      <c r="D659" s="93" t="inlineStr">
        <is>
          <t>Fof Domestic</t>
        </is>
      </c>
      <c r="E659" s="93" t="inlineStr">
        <is>
          <t>Standard Equity/Debt</t>
        </is>
      </c>
      <c r="F659" s="94" t="n">
        <v>0.54</v>
      </c>
      <c r="G659" s="94" t="n">
        <v>1.82</v>
      </c>
      <c r="H659" s="94" t="n">
        <v>3.07</v>
      </c>
      <c r="I659" s="94" t="n">
        <v>0</v>
      </c>
      <c r="J659" s="94" t="n">
        <v>0</v>
      </c>
      <c r="K659" s="94" t="n">
        <v>0</v>
      </c>
      <c r="L659" s="37" t="n">
        <v>43.1</v>
      </c>
      <c r="M659" s="18" t="n">
        <v>0</v>
      </c>
      <c r="N659" s="19" t="n">
        <v>23.7</v>
      </c>
      <c r="O659" s="108">
        <f>COUNTIFS($E:$E,$E659,$L:$L,"&gt;"&amp;$L659)+1</f>
        <v/>
      </c>
      <c r="P659" s="108">
        <f>COUNTIFS($E:$E,$E659,$M:$M,"&gt;"&amp;$M659)+1</f>
        <v/>
      </c>
      <c r="Q659" s="108">
        <f>COUNTIFS($E:$E,$E659,$N:$N,"&gt;"&amp;$N659)+1</f>
        <v/>
      </c>
      <c r="R659" s="95" t="inlineStr">
        <is>
          <t>➡️ Neutral</t>
        </is>
      </c>
      <c r="S659" s="95" t="inlineStr">
        <is>
          <t>⏳ New Fund</t>
        </is>
      </c>
      <c r="T659" s="95" t="inlineStr">
        <is>
          <t>⏳ New Fund</t>
        </is>
      </c>
      <c r="U659" s="96" t="inlineStr">
        <is>
          <t>MOMENTUM_ONLY</t>
        </is>
      </c>
    </row>
    <row r="660" ht="16" customHeight="1">
      <c r="A660" s="92" t="n">
        <v>656</v>
      </c>
      <c r="B660" s="93" t="inlineStr">
        <is>
          <t>Zerodha Nifty 100 ETF</t>
        </is>
      </c>
      <c r="C660" s="93" t="inlineStr">
        <is>
          <t>Zerodha Mutual Fund</t>
        </is>
      </c>
      <c r="D660" s="93" t="inlineStr">
        <is>
          <t>Other  Etfs</t>
        </is>
      </c>
      <c r="E660" s="93" t="inlineStr">
        <is>
          <t>Index Fund</t>
        </is>
      </c>
      <c r="F660" s="94" t="n">
        <v>0.23</v>
      </c>
      <c r="G660" s="94" t="n">
        <v>3.95</v>
      </c>
      <c r="H660" s="97" t="n">
        <v>-3.6</v>
      </c>
      <c r="I660" s="94" t="n">
        <v>1.44</v>
      </c>
      <c r="J660" s="94" t="n">
        <v>0.5733563126934849</v>
      </c>
      <c r="K660" s="94" t="n">
        <v>0</v>
      </c>
      <c r="L660" s="37" t="n">
        <v>43.1</v>
      </c>
      <c r="M660" s="18" t="n">
        <v>0</v>
      </c>
      <c r="N660" s="19" t="n">
        <v>23.7</v>
      </c>
      <c r="O660" s="108">
        <f>COUNTIFS($E:$E,$E660,$L:$L,"&gt;"&amp;$L660)+1</f>
        <v/>
      </c>
      <c r="P660" s="108">
        <f>COUNTIFS($E:$E,$E660,$M:$M,"&gt;"&amp;$M660)+1</f>
        <v/>
      </c>
      <c r="Q660" s="108">
        <f>COUNTIFS($E:$E,$E660,$N:$N,"&gt;"&amp;$N660)+1</f>
        <v/>
      </c>
      <c r="R660" s="95" t="inlineStr">
        <is>
          <t>➡️ Neutral</t>
        </is>
      </c>
      <c r="S660" s="95" t="inlineStr">
        <is>
          <t>⏳ New Fund</t>
        </is>
      </c>
      <c r="T660" s="95" t="inlineStr">
        <is>
          <t>⏳ New Fund</t>
        </is>
      </c>
      <c r="U660" s="96" t="inlineStr">
        <is>
          <t>MOMENTUM_ONLY</t>
        </is>
      </c>
    </row>
    <row r="661" ht="16" customHeight="1">
      <c r="A661" s="92" t="n">
        <v>657</v>
      </c>
      <c r="B661" s="93" t="inlineStr">
        <is>
          <t>Axis Nifty500 Quality 50 Index Fund - Regular Plan - Growth Option</t>
        </is>
      </c>
      <c r="C661" s="93" t="inlineStr">
        <is>
          <t>Axis Mutual Fund</t>
        </is>
      </c>
      <c r="D661" s="93" t="inlineStr">
        <is>
          <t>Index Funds</t>
        </is>
      </c>
      <c r="E661" s="93" t="inlineStr">
        <is>
          <t>Index Fund</t>
        </is>
      </c>
      <c r="F661" s="94" t="n">
        <v>0.34</v>
      </c>
      <c r="G661" s="94" t="n">
        <v>1.53</v>
      </c>
      <c r="H661" s="94" t="n">
        <v>5.81</v>
      </c>
      <c r="I661" s="94" t="n">
        <v>0</v>
      </c>
      <c r="J661" s="94" t="n">
        <v>0</v>
      </c>
      <c r="K661" s="94" t="n">
        <v>0</v>
      </c>
      <c r="L661" s="37" t="n">
        <v>43</v>
      </c>
      <c r="M661" s="18" t="n">
        <v>0</v>
      </c>
      <c r="N661" s="19" t="n">
        <v>23.7</v>
      </c>
      <c r="O661" s="108">
        <f>COUNTIFS($E:$E,$E661,$L:$L,"&gt;"&amp;$L661)+1</f>
        <v/>
      </c>
      <c r="P661" s="108">
        <f>COUNTIFS($E:$E,$E661,$M:$M,"&gt;"&amp;$M661)+1</f>
        <v/>
      </c>
      <c r="Q661" s="108">
        <f>COUNTIFS($E:$E,$E661,$N:$N,"&gt;"&amp;$N661)+1</f>
        <v/>
      </c>
      <c r="R661" s="95" t="inlineStr">
        <is>
          <t>➡️ Neutral</t>
        </is>
      </c>
      <c r="S661" s="95" t="inlineStr">
        <is>
          <t>⏳ New Fund</t>
        </is>
      </c>
      <c r="T661" s="95" t="inlineStr">
        <is>
          <t>⏳ New Fund</t>
        </is>
      </c>
      <c r="U661" s="96" t="inlineStr">
        <is>
          <t>MOMENTUM_ONLY</t>
        </is>
      </c>
    </row>
    <row r="662" ht="16" customHeight="1">
      <c r="A662" s="92" t="n">
        <v>658</v>
      </c>
      <c r="B662" s="93" t="inlineStr">
        <is>
          <t>Edelweiss Income Plus Arbitrage Active Fund of Funds - Regular-Growth</t>
        </is>
      </c>
      <c r="C662" s="93" t="inlineStr">
        <is>
          <t>Edelweiss Mutual Fund</t>
        </is>
      </c>
      <c r="D662" s="93" t="inlineStr">
        <is>
          <t>Fof Domestic</t>
        </is>
      </c>
      <c r="E662" s="93" t="inlineStr">
        <is>
          <t>Standard Equity/Debt</t>
        </is>
      </c>
      <c r="F662" s="94" t="n">
        <v>0.46</v>
      </c>
      <c r="G662" s="94" t="n">
        <v>1.74</v>
      </c>
      <c r="H662" s="94" t="n">
        <v>2.71</v>
      </c>
      <c r="I662" s="94" t="n">
        <v>5.52</v>
      </c>
      <c r="J662" s="94" t="n">
        <v>0</v>
      </c>
      <c r="K662" s="94" t="n">
        <v>0</v>
      </c>
      <c r="L662" s="37" t="n">
        <v>42.6</v>
      </c>
      <c r="M662" s="18" t="n">
        <v>0</v>
      </c>
      <c r="N662" s="19" t="n">
        <v>23.4</v>
      </c>
      <c r="O662" s="108">
        <f>COUNTIFS($E:$E,$E662,$L:$L,"&gt;"&amp;$L662)+1</f>
        <v/>
      </c>
      <c r="P662" s="108">
        <f>COUNTIFS($E:$E,$E662,$M:$M,"&gt;"&amp;$M662)+1</f>
        <v/>
      </c>
      <c r="Q662" s="108">
        <f>COUNTIFS($E:$E,$E662,$N:$N,"&gt;"&amp;$N662)+1</f>
        <v/>
      </c>
      <c r="R662" s="95" t="inlineStr">
        <is>
          <t>➡️ Neutral</t>
        </is>
      </c>
      <c r="S662" s="95" t="inlineStr">
        <is>
          <t>⏳ New Fund</t>
        </is>
      </c>
      <c r="T662" s="95" t="inlineStr">
        <is>
          <t>⏳ New Fund</t>
        </is>
      </c>
      <c r="U662" s="96" t="inlineStr">
        <is>
          <t>MOMENTUM_ONLY</t>
        </is>
      </c>
    </row>
    <row r="663" ht="16" customHeight="1">
      <c r="A663" s="92" t="n">
        <v>659</v>
      </c>
      <c r="B663" s="93" t="inlineStr">
        <is>
          <t>DSP MSCI INDIA ETF</t>
        </is>
      </c>
      <c r="C663" s="93" t="inlineStr">
        <is>
          <t>DSP Mutual Fund</t>
        </is>
      </c>
      <c r="D663" s="93" t="inlineStr">
        <is>
          <t>Other  Etfs</t>
        </is>
      </c>
      <c r="E663" s="93" t="inlineStr">
        <is>
          <t>Standard Equity/Debt</t>
        </is>
      </c>
      <c r="F663" s="94" t="n">
        <v>0.49</v>
      </c>
      <c r="G663" s="94" t="n">
        <v>3.83</v>
      </c>
      <c r="H663" s="97" t="n">
        <v>-2.4</v>
      </c>
      <c r="I663" s="94" t="n">
        <v>0</v>
      </c>
      <c r="J663" s="94" t="n">
        <v>0</v>
      </c>
      <c r="K663" s="94" t="n">
        <v>0</v>
      </c>
      <c r="L663" s="37" t="n">
        <v>42.2</v>
      </c>
      <c r="M663" s="18" t="n">
        <v>0</v>
      </c>
      <c r="N663" s="19" t="n">
        <v>23.2</v>
      </c>
      <c r="O663" s="108">
        <f>COUNTIFS($E:$E,$E663,$L:$L,"&gt;"&amp;$L663)+1</f>
        <v/>
      </c>
      <c r="P663" s="108">
        <f>COUNTIFS($E:$E,$E663,$M:$M,"&gt;"&amp;$M663)+1</f>
        <v/>
      </c>
      <c r="Q663" s="108">
        <f>COUNTIFS($E:$E,$E663,$N:$N,"&gt;"&amp;$N663)+1</f>
        <v/>
      </c>
      <c r="R663" s="95" t="inlineStr">
        <is>
          <t>➡️ Neutral</t>
        </is>
      </c>
      <c r="S663" s="95" t="inlineStr">
        <is>
          <t>⏳ New Fund</t>
        </is>
      </c>
      <c r="T663" s="95" t="inlineStr">
        <is>
          <t>⏳ New Fund</t>
        </is>
      </c>
      <c r="U663" s="96" t="inlineStr">
        <is>
          <t>MOMENTUM_ONLY</t>
        </is>
      </c>
    </row>
    <row r="664" ht="16" customHeight="1">
      <c r="A664" s="92" t="n">
        <v>660</v>
      </c>
      <c r="B664" s="93" t="inlineStr">
        <is>
          <t>Mirae Asset Nifty Top 20 Equal Weight ETF</t>
        </is>
      </c>
      <c r="C664" s="93" t="inlineStr">
        <is>
          <t>Mirae Asset Mutual Fund</t>
        </is>
      </c>
      <c r="D664" s="93" t="inlineStr">
        <is>
          <t>Other  Etfs</t>
        </is>
      </c>
      <c r="E664" s="93" t="inlineStr">
        <is>
          <t>Index Fund</t>
        </is>
      </c>
      <c r="F664" s="94" t="n">
        <v>0.92</v>
      </c>
      <c r="G664" s="94" t="n">
        <v>4.89</v>
      </c>
      <c r="H664" s="97" t="n">
        <v>-6.14</v>
      </c>
      <c r="I664" s="94" t="n">
        <v>0</v>
      </c>
      <c r="J664" s="94" t="n">
        <v>0</v>
      </c>
      <c r="K664" s="94" t="n">
        <v>0</v>
      </c>
      <c r="L664" s="37" t="n">
        <v>41.9</v>
      </c>
      <c r="M664" s="18" t="n">
        <v>0</v>
      </c>
      <c r="N664" s="19" t="n">
        <v>23</v>
      </c>
      <c r="O664" s="108">
        <f>COUNTIFS($E:$E,$E664,$L:$L,"&gt;"&amp;$L664)+1</f>
        <v/>
      </c>
      <c r="P664" s="108">
        <f>COUNTIFS($E:$E,$E664,$M:$M,"&gt;"&amp;$M664)+1</f>
        <v/>
      </c>
      <c r="Q664" s="108">
        <f>COUNTIFS($E:$E,$E664,$N:$N,"&gt;"&amp;$N664)+1</f>
        <v/>
      </c>
      <c r="R664" s="95" t="inlineStr">
        <is>
          <t>➡️ Neutral</t>
        </is>
      </c>
      <c r="S664" s="95" t="inlineStr">
        <is>
          <t>⏳ New Fund</t>
        </is>
      </c>
      <c r="T664" s="95" t="inlineStr">
        <is>
          <t>⏳ New Fund</t>
        </is>
      </c>
      <c r="U664" s="96" t="inlineStr">
        <is>
          <t>MOMENTUM_ONLY</t>
        </is>
      </c>
    </row>
    <row r="665" ht="16" customHeight="1">
      <c r="A665" s="92" t="n">
        <v>661</v>
      </c>
      <c r="B665" s="93" t="inlineStr">
        <is>
          <t>Kotak NIFTY 100 Low Volatility 30 Index Fund - Regular plan - Growth option</t>
        </is>
      </c>
      <c r="C665" s="93" t="inlineStr">
        <is>
          <t>Kotak Mahindra Mutual Fund</t>
        </is>
      </c>
      <c r="D665" s="93" t="inlineStr">
        <is>
          <t>Index Funds</t>
        </is>
      </c>
      <c r="E665" s="93" t="inlineStr">
        <is>
          <t>Index Fund</t>
        </is>
      </c>
      <c r="F665" s="94" t="n">
        <v>0.67</v>
      </c>
      <c r="G665" s="94" t="n">
        <v>3.72</v>
      </c>
      <c r="H665" s="97" t="n">
        <v>-2.66</v>
      </c>
      <c r="I665" s="94" t="n">
        <v>1.46</v>
      </c>
      <c r="J665" s="94" t="n">
        <v>0.4888053466653552</v>
      </c>
      <c r="K665" s="94" t="n">
        <v>0</v>
      </c>
      <c r="L665" s="37" t="n">
        <v>41.5</v>
      </c>
      <c r="M665" s="18" t="n">
        <v>0</v>
      </c>
      <c r="N665" s="19" t="n">
        <v>22.8</v>
      </c>
      <c r="O665" s="108">
        <f>COUNTIFS($E:$E,$E665,$L:$L,"&gt;"&amp;$L665)+1</f>
        <v/>
      </c>
      <c r="P665" s="108">
        <f>COUNTIFS($E:$E,$E665,$M:$M,"&gt;"&amp;$M665)+1</f>
        <v/>
      </c>
      <c r="Q665" s="108">
        <f>COUNTIFS($E:$E,$E665,$N:$N,"&gt;"&amp;$N665)+1</f>
        <v/>
      </c>
      <c r="R665" s="95" t="inlineStr">
        <is>
          <t>➡️ Neutral</t>
        </is>
      </c>
      <c r="S665" s="95" t="inlineStr">
        <is>
          <t>⏳ New Fund</t>
        </is>
      </c>
      <c r="T665" s="95" t="inlineStr">
        <is>
          <t>⏳ New Fund</t>
        </is>
      </c>
      <c r="U665" s="96" t="inlineStr">
        <is>
          <t>MOMENTUM_ONLY</t>
        </is>
      </c>
    </row>
    <row r="666" ht="16" customHeight="1">
      <c r="A666" s="92" t="n">
        <v>662</v>
      </c>
      <c r="B666" s="93" t="inlineStr">
        <is>
          <t>Bajaj Finserv Nifty Bank ETF</t>
        </is>
      </c>
      <c r="C666" s="93" t="inlineStr">
        <is>
          <t>Bajaj Finserv Mutual Fund</t>
        </is>
      </c>
      <c r="D666" s="93" t="inlineStr">
        <is>
          <t>Other  Etfs</t>
        </is>
      </c>
      <c r="E666" s="93" t="inlineStr">
        <is>
          <t>Banking/Financial</t>
        </is>
      </c>
      <c r="F666" s="97" t="n">
        <v>-1.99</v>
      </c>
      <c r="G666" s="94" t="n">
        <v>7.67</v>
      </c>
      <c r="H666" s="97" t="n">
        <v>-6.46</v>
      </c>
      <c r="I666" s="94" t="n">
        <v>3.97</v>
      </c>
      <c r="J666" s="94" t="n">
        <v>7.079409785448476</v>
      </c>
      <c r="K666" s="94" t="n">
        <v>0</v>
      </c>
      <c r="L666" s="37" t="n">
        <v>41.3</v>
      </c>
      <c r="M666" s="18" t="n">
        <v>0</v>
      </c>
      <c r="N666" s="19" t="n">
        <v>22.7</v>
      </c>
      <c r="O666" s="108">
        <f>COUNTIFS($E:$E,$E666,$L:$L,"&gt;"&amp;$L666)+1</f>
        <v/>
      </c>
      <c r="P666" s="108">
        <f>COUNTIFS($E:$E,$E666,$M:$M,"&gt;"&amp;$M666)+1</f>
        <v/>
      </c>
      <c r="Q666" s="108">
        <f>COUNTIFS($E:$E,$E666,$N:$N,"&gt;"&amp;$N666)+1</f>
        <v/>
      </c>
      <c r="R666" s="95" t="inlineStr">
        <is>
          <t>➡️ Neutral</t>
        </is>
      </c>
      <c r="S666" s="95" t="inlineStr">
        <is>
          <t>⏳ New Fund</t>
        </is>
      </c>
      <c r="T666" s="95" t="inlineStr">
        <is>
          <t>⏳ New Fund</t>
        </is>
      </c>
      <c r="U666" s="96" t="inlineStr">
        <is>
          <t>MOMENTUM_ONLY</t>
        </is>
      </c>
    </row>
    <row r="667" ht="16" customHeight="1">
      <c r="A667" s="92" t="n">
        <v>663</v>
      </c>
      <c r="B667" s="93" t="inlineStr">
        <is>
          <t>Bandhan Gold ETF FOF-Regular-Growth</t>
        </is>
      </c>
      <c r="C667" s="93" t="inlineStr">
        <is>
          <t>Bandhan Mutual Fund</t>
        </is>
      </c>
      <c r="D667" s="93" t="inlineStr">
        <is>
          <t>Fof Domestic</t>
        </is>
      </c>
      <c r="E667" s="93" t="inlineStr">
        <is>
          <t>Gold</t>
        </is>
      </c>
      <c r="F667" s="94" t="n">
        <v>8.970000000000001</v>
      </c>
      <c r="G667" s="97" t="n">
        <v>-3.04</v>
      </c>
      <c r="H667" s="94" t="n">
        <v>0.83</v>
      </c>
      <c r="I667" s="94" t="n">
        <v>0</v>
      </c>
      <c r="J667" s="94" t="n">
        <v>0</v>
      </c>
      <c r="K667" s="94" t="n">
        <v>0</v>
      </c>
      <c r="L667" s="37" t="n">
        <v>41.2</v>
      </c>
      <c r="M667" s="18" t="n">
        <v>0</v>
      </c>
      <c r="N667" s="19" t="n">
        <v>22.7</v>
      </c>
      <c r="O667" s="108">
        <f>COUNTIFS($E:$E,$E667,$L:$L,"&gt;"&amp;$L667)+1</f>
        <v/>
      </c>
      <c r="P667" s="108">
        <f>COUNTIFS($E:$E,$E667,$M:$M,"&gt;"&amp;$M667)+1</f>
        <v/>
      </c>
      <c r="Q667" s="108">
        <f>COUNTIFS($E:$E,$E667,$N:$N,"&gt;"&amp;$N667)+1</f>
        <v/>
      </c>
      <c r="R667" s="95" t="inlineStr">
        <is>
          <t>➡️ Neutral</t>
        </is>
      </c>
      <c r="S667" s="95" t="inlineStr">
        <is>
          <t>⏳ New Fund</t>
        </is>
      </c>
      <c r="T667" s="95" t="inlineStr">
        <is>
          <t>⏳ New Fund</t>
        </is>
      </c>
      <c r="U667" s="96" t="inlineStr">
        <is>
          <t>MOMENTUM_ONLY</t>
        </is>
      </c>
    </row>
    <row r="668" ht="16" customHeight="1">
      <c r="A668" s="92" t="n">
        <v>664</v>
      </c>
      <c r="B668" s="93" t="inlineStr">
        <is>
          <t>SBI Nifty100 Low Volatility 30 Index Fund- Regular Plan- Growth</t>
        </is>
      </c>
      <c r="C668" s="93" t="inlineStr">
        <is>
          <t>SBI Mutual Fund</t>
        </is>
      </c>
      <c r="D668" s="93" t="inlineStr">
        <is>
          <t>Index Funds</t>
        </is>
      </c>
      <c r="E668" s="93" t="inlineStr">
        <is>
          <t>Index Fund</t>
        </is>
      </c>
      <c r="F668" s="94" t="n">
        <v>0.67</v>
      </c>
      <c r="G668" s="94" t="n">
        <v>3.6</v>
      </c>
      <c r="H668" s="97" t="n">
        <v>-2.66</v>
      </c>
      <c r="I668" s="94" t="n">
        <v>1.59</v>
      </c>
      <c r="J668" s="94" t="n">
        <v>0</v>
      </c>
      <c r="K668" s="94" t="n">
        <v>0</v>
      </c>
      <c r="L668" s="37" t="n">
        <v>41</v>
      </c>
      <c r="M668" s="18" t="n">
        <v>0</v>
      </c>
      <c r="N668" s="19" t="n">
        <v>22.6</v>
      </c>
      <c r="O668" s="108">
        <f>COUNTIFS($E:$E,$E668,$L:$L,"&gt;"&amp;$L668)+1</f>
        <v/>
      </c>
      <c r="P668" s="108">
        <f>COUNTIFS($E:$E,$E668,$M:$M,"&gt;"&amp;$M668)+1</f>
        <v/>
      </c>
      <c r="Q668" s="108">
        <f>COUNTIFS($E:$E,$E668,$N:$N,"&gt;"&amp;$N668)+1</f>
        <v/>
      </c>
      <c r="R668" s="95" t="inlineStr">
        <is>
          <t>➡️ Neutral</t>
        </is>
      </c>
      <c r="S668" s="95" t="inlineStr">
        <is>
          <t>⏳ New Fund</t>
        </is>
      </c>
      <c r="T668" s="95" t="inlineStr">
        <is>
          <t>⏳ New Fund</t>
        </is>
      </c>
      <c r="U668" s="96" t="inlineStr">
        <is>
          <t>MOMENTUM_ONLY</t>
        </is>
      </c>
    </row>
    <row r="669" ht="16" customHeight="1">
      <c r="A669" s="92" t="n">
        <v>665</v>
      </c>
      <c r="B669" s="93" t="inlineStr">
        <is>
          <t>SBI Nifty200 Quality 30 Index Fund- Regular Plan- Income Cum Distribution Withdrawal Option</t>
        </is>
      </c>
      <c r="C669" s="93" t="inlineStr">
        <is>
          <t>SBI Mutual Fund</t>
        </is>
      </c>
      <c r="D669" s="93" t="inlineStr">
        <is>
          <t>Index Funds</t>
        </is>
      </c>
      <c r="E669" s="93" t="inlineStr">
        <is>
          <t>Index Fund</t>
        </is>
      </c>
      <c r="F669" s="94" t="n">
        <v>2.35</v>
      </c>
      <c r="G669" s="94" t="n">
        <v>2.34</v>
      </c>
      <c r="H669" s="94" t="n">
        <v>0.1</v>
      </c>
      <c r="I669" s="94" t="n">
        <v>2.78</v>
      </c>
      <c r="J669" s="94" t="n">
        <v>0</v>
      </c>
      <c r="K669" s="94" t="n">
        <v>0</v>
      </c>
      <c r="L669" s="37" t="n">
        <v>40.8</v>
      </c>
      <c r="M669" s="18" t="n">
        <v>0</v>
      </c>
      <c r="N669" s="19" t="n">
        <v>22.5</v>
      </c>
      <c r="O669" s="108">
        <f>COUNTIFS($E:$E,$E669,$L:$L,"&gt;"&amp;$L669)+1</f>
        <v/>
      </c>
      <c r="P669" s="108">
        <f>COUNTIFS($E:$E,$E669,$M:$M,"&gt;"&amp;$M669)+1</f>
        <v/>
      </c>
      <c r="Q669" s="108">
        <f>COUNTIFS($E:$E,$E669,$N:$N,"&gt;"&amp;$N669)+1</f>
        <v/>
      </c>
      <c r="R669" s="95" t="inlineStr">
        <is>
          <t>➡️ Neutral</t>
        </is>
      </c>
      <c r="S669" s="95" t="inlineStr">
        <is>
          <t>⏳ New Fund</t>
        </is>
      </c>
      <c r="T669" s="95" t="inlineStr">
        <is>
          <t>⏳ New Fund</t>
        </is>
      </c>
      <c r="U669" s="96" t="inlineStr">
        <is>
          <t>MOMENTUM_ONLY</t>
        </is>
      </c>
    </row>
    <row r="670" ht="16" customHeight="1">
      <c r="A670" s="92" t="n">
        <v>666</v>
      </c>
      <c r="B670" s="93" t="inlineStr">
        <is>
          <t>SBI Nifty200 Quality 30 Index Fund-Regular Plan- Growth</t>
        </is>
      </c>
      <c r="C670" s="93" t="inlineStr">
        <is>
          <t>SBI Mutual Fund</t>
        </is>
      </c>
      <c r="D670" s="93" t="inlineStr">
        <is>
          <t>Index Funds</t>
        </is>
      </c>
      <c r="E670" s="93" t="inlineStr">
        <is>
          <t>Index Fund</t>
        </is>
      </c>
      <c r="F670" s="94" t="n">
        <v>2.35</v>
      </c>
      <c r="G670" s="94" t="n">
        <v>2.34</v>
      </c>
      <c r="H670" s="94" t="n">
        <v>0.1</v>
      </c>
      <c r="I670" s="94" t="n">
        <v>2.78</v>
      </c>
      <c r="J670" s="94" t="n">
        <v>0</v>
      </c>
      <c r="K670" s="94" t="n">
        <v>0</v>
      </c>
      <c r="L670" s="37" t="n">
        <v>40.8</v>
      </c>
      <c r="M670" s="18" t="n">
        <v>0</v>
      </c>
      <c r="N670" s="19" t="n">
        <v>22.5</v>
      </c>
      <c r="O670" s="108">
        <f>COUNTIFS($E:$E,$E670,$L:$L,"&gt;"&amp;$L670)+1</f>
        <v/>
      </c>
      <c r="P670" s="108">
        <f>COUNTIFS($E:$E,$E670,$M:$M,"&gt;"&amp;$M670)+1</f>
        <v/>
      </c>
      <c r="Q670" s="108">
        <f>COUNTIFS($E:$E,$E670,$N:$N,"&gt;"&amp;$N670)+1</f>
        <v/>
      </c>
      <c r="R670" s="95" t="inlineStr">
        <is>
          <t>➡️ Neutral</t>
        </is>
      </c>
      <c r="S670" s="95" t="inlineStr">
        <is>
          <t>⏳ New Fund</t>
        </is>
      </c>
      <c r="T670" s="95" t="inlineStr">
        <is>
          <t>⏳ New Fund</t>
        </is>
      </c>
      <c r="U670" s="96" t="inlineStr">
        <is>
          <t>MOMENTUM_ONLY</t>
        </is>
      </c>
    </row>
    <row r="671" ht="16" customHeight="1">
      <c r="A671" s="92" t="n">
        <v>667</v>
      </c>
      <c r="B671" s="93" t="inlineStr">
        <is>
          <t>Motilal Oswal Nifty MidSmall India Consumption Index Fund-Regular Plan-Growth</t>
        </is>
      </c>
      <c r="C671" s="93" t="inlineStr">
        <is>
          <t>Motilal Oswal Mutual Fund</t>
        </is>
      </c>
      <c r="D671" s="93" t="inlineStr">
        <is>
          <t>Index Funds</t>
        </is>
      </c>
      <c r="E671" s="93" t="inlineStr">
        <is>
          <t>Index Fund</t>
        </is>
      </c>
      <c r="F671" s="94" t="n">
        <v>0.43</v>
      </c>
      <c r="G671" s="94" t="n">
        <v>6.31</v>
      </c>
      <c r="H671" s="94" t="n">
        <v>2.11</v>
      </c>
      <c r="I671" s="97" t="n">
        <v>-2.11</v>
      </c>
      <c r="J671" s="94" t="n">
        <v>0</v>
      </c>
      <c r="K671" s="94" t="n">
        <v>0</v>
      </c>
      <c r="L671" s="37" t="n">
        <v>40.8</v>
      </c>
      <c r="M671" s="18" t="n">
        <v>0</v>
      </c>
      <c r="N671" s="19" t="n">
        <v>22.4</v>
      </c>
      <c r="O671" s="108">
        <f>COUNTIFS($E:$E,$E671,$L:$L,"&gt;"&amp;$L671)+1</f>
        <v/>
      </c>
      <c r="P671" s="108">
        <f>COUNTIFS($E:$E,$E671,$M:$M,"&gt;"&amp;$M671)+1</f>
        <v/>
      </c>
      <c r="Q671" s="108">
        <f>COUNTIFS($E:$E,$E671,$N:$N,"&gt;"&amp;$N671)+1</f>
        <v/>
      </c>
      <c r="R671" s="95" t="inlineStr">
        <is>
          <t>➡️ Neutral</t>
        </is>
      </c>
      <c r="S671" s="95" t="inlineStr">
        <is>
          <t>⏳ New Fund</t>
        </is>
      </c>
      <c r="T671" s="95" t="inlineStr">
        <is>
          <t>⏳ New Fund</t>
        </is>
      </c>
      <c r="U671" s="96" t="inlineStr">
        <is>
          <t>MOMENTUM_ONLY</t>
        </is>
      </c>
    </row>
    <row r="672" ht="16" customHeight="1">
      <c r="A672" s="92" t="n">
        <v>668</v>
      </c>
      <c r="B672" s="93" t="inlineStr">
        <is>
          <t>UTI Nifty 200 Quality 30 Index Fund - Regular Plan - Growth Option</t>
        </is>
      </c>
      <c r="C672" s="93" t="inlineStr">
        <is>
          <t>UTI Mutual Fund</t>
        </is>
      </c>
      <c r="D672" s="93" t="inlineStr">
        <is>
          <t>Index Funds</t>
        </is>
      </c>
      <c r="E672" s="93" t="inlineStr">
        <is>
          <t>Index Fund</t>
        </is>
      </c>
      <c r="F672" s="94" t="n">
        <v>2.35</v>
      </c>
      <c r="G672" s="94" t="n">
        <v>2.33</v>
      </c>
      <c r="H672" s="94" t="n">
        <v>0.05</v>
      </c>
      <c r="I672" s="94" t="n">
        <v>2.67</v>
      </c>
      <c r="J672" s="94" t="n">
        <v>0</v>
      </c>
      <c r="K672" s="94" t="n">
        <v>0</v>
      </c>
      <c r="L672" s="37" t="n">
        <v>40.6</v>
      </c>
      <c r="M672" s="18" t="n">
        <v>0</v>
      </c>
      <c r="N672" s="19" t="n">
        <v>22.3</v>
      </c>
      <c r="O672" s="108">
        <f>COUNTIFS($E:$E,$E672,$L:$L,"&gt;"&amp;$L672)+1</f>
        <v/>
      </c>
      <c r="P672" s="108">
        <f>COUNTIFS($E:$E,$E672,$M:$M,"&gt;"&amp;$M672)+1</f>
        <v/>
      </c>
      <c r="Q672" s="108">
        <f>COUNTIFS($E:$E,$E672,$N:$N,"&gt;"&amp;$N672)+1</f>
        <v/>
      </c>
      <c r="R672" s="95" t="inlineStr">
        <is>
          <t>➡️ Neutral</t>
        </is>
      </c>
      <c r="S672" s="95" t="inlineStr">
        <is>
          <t>⏳ New Fund</t>
        </is>
      </c>
      <c r="T672" s="95" t="inlineStr">
        <is>
          <t>⏳ New Fund</t>
        </is>
      </c>
      <c r="U672" s="96" t="inlineStr">
        <is>
          <t>MOMENTUM_ONLY</t>
        </is>
      </c>
    </row>
    <row r="673" ht="16" customHeight="1">
      <c r="A673" s="92" t="n">
        <v>669</v>
      </c>
      <c r="B673" s="93" t="inlineStr">
        <is>
          <t>Baroda BNP Paribas Gold ETF</t>
        </is>
      </c>
      <c r="C673" s="93" t="inlineStr">
        <is>
          <t>Baroda BNP Paribas Mutual Fund</t>
        </is>
      </c>
      <c r="D673" s="93" t="inlineStr">
        <is>
          <t>Gold Etf</t>
        </is>
      </c>
      <c r="E673" s="93" t="inlineStr">
        <is>
          <t>Gold</t>
        </is>
      </c>
      <c r="F673" s="94" t="n">
        <v>8.960000000000001</v>
      </c>
      <c r="G673" s="97" t="n">
        <v>-3.13</v>
      </c>
      <c r="H673" s="94" t="n">
        <v>1.28</v>
      </c>
      <c r="I673" s="94" t="n">
        <v>51.8</v>
      </c>
      <c r="J673" s="94" t="n">
        <v>45.76693726630878</v>
      </c>
      <c r="K673" s="94" t="n">
        <v>0</v>
      </c>
      <c r="L673" s="37" t="n">
        <v>40.6</v>
      </c>
      <c r="M673" s="18" t="n">
        <v>0</v>
      </c>
      <c r="N673" s="19" t="n">
        <v>22.3</v>
      </c>
      <c r="O673" s="108">
        <f>COUNTIFS($E:$E,$E673,$L:$L,"&gt;"&amp;$L673)+1</f>
        <v/>
      </c>
      <c r="P673" s="108">
        <f>COUNTIFS($E:$E,$E673,$M:$M,"&gt;"&amp;$M673)+1</f>
        <v/>
      </c>
      <c r="Q673" s="108">
        <f>COUNTIFS($E:$E,$E673,$N:$N,"&gt;"&amp;$N673)+1</f>
        <v/>
      </c>
      <c r="R673" s="95" t="inlineStr">
        <is>
          <t>➡️ Neutral</t>
        </is>
      </c>
      <c r="S673" s="95" t="inlineStr">
        <is>
          <t>⏳ New Fund</t>
        </is>
      </c>
      <c r="T673" s="95" t="inlineStr">
        <is>
          <t>⏳ New Fund</t>
        </is>
      </c>
      <c r="U673" s="96" t="inlineStr">
        <is>
          <t>MOMENTUM_ONLY</t>
        </is>
      </c>
    </row>
    <row r="674" ht="16" customHeight="1">
      <c r="A674" s="92" t="n">
        <v>670</v>
      </c>
      <c r="B674" s="93" t="inlineStr">
        <is>
          <t>KOTAK NIFTY COMMODITIES INDEX FUND-REGULAR GROWTH</t>
        </is>
      </c>
      <c r="C674" s="93" t="inlineStr">
        <is>
          <t>Kotak Mahindra Mutual Fund</t>
        </is>
      </c>
      <c r="D674" s="93" t="inlineStr">
        <is>
          <t>Index Funds</t>
        </is>
      </c>
      <c r="E674" s="93" t="inlineStr">
        <is>
          <t>Commodities</t>
        </is>
      </c>
      <c r="F674" s="97" t="n">
        <v>-0.08</v>
      </c>
      <c r="G674" s="97" t="n">
        <v>-2.85</v>
      </c>
      <c r="H674" s="97" t="n">
        <v>-0.87</v>
      </c>
      <c r="I674" s="94" t="n">
        <v>13.2</v>
      </c>
      <c r="J674" s="94" t="n">
        <v>0</v>
      </c>
      <c r="K674" s="94" t="n">
        <v>0</v>
      </c>
      <c r="L674" s="37" t="n">
        <v>40.4</v>
      </c>
      <c r="M674" s="18" t="n">
        <v>0</v>
      </c>
      <c r="N674" s="19" t="n">
        <v>22.2</v>
      </c>
      <c r="O674" s="108">
        <f>COUNTIFS($E:$E,$E674,$L:$L,"&gt;"&amp;$L674)+1</f>
        <v/>
      </c>
      <c r="P674" s="108">
        <f>COUNTIFS($E:$E,$E674,$M:$M,"&gt;"&amp;$M674)+1</f>
        <v/>
      </c>
      <c r="Q674" s="108">
        <f>COUNTIFS($E:$E,$E674,$N:$N,"&gt;"&amp;$N674)+1</f>
        <v/>
      </c>
      <c r="R674" s="95" t="inlineStr">
        <is>
          <t>➡️ Neutral</t>
        </is>
      </c>
      <c r="S674" s="95" t="inlineStr">
        <is>
          <t>⏳ New Fund</t>
        </is>
      </c>
      <c r="T674" s="95" t="inlineStr">
        <is>
          <t>⏳ New Fund</t>
        </is>
      </c>
      <c r="U674" s="96" t="inlineStr">
        <is>
          <t>MOMENTUM_ONLY</t>
        </is>
      </c>
    </row>
    <row r="675" ht="16" customHeight="1">
      <c r="A675" s="92" t="n">
        <v>671</v>
      </c>
      <c r="B675" s="93" t="inlineStr">
        <is>
          <t>Aditya Birla Sun Life Crisil IBX Gilt June 2027 Index Fund-Regular Growth</t>
        </is>
      </c>
      <c r="C675" s="93" t="inlineStr">
        <is>
          <t>Aditya Birla Sun Life Mutual Fund</t>
        </is>
      </c>
      <c r="D675" s="93" t="inlineStr">
        <is>
          <t>Index Funds</t>
        </is>
      </c>
      <c r="E675" s="93" t="inlineStr">
        <is>
          <t>GILT</t>
        </is>
      </c>
      <c r="F675" s="94" t="n">
        <v>0.41</v>
      </c>
      <c r="G675" s="94" t="n">
        <v>1.55</v>
      </c>
      <c r="H675" s="94" t="n">
        <v>2.4</v>
      </c>
      <c r="I675" s="94" t="n">
        <v>5.3</v>
      </c>
      <c r="J675" s="94" t="n">
        <v>6.616133863501172</v>
      </c>
      <c r="K675" s="94" t="n">
        <v>0</v>
      </c>
      <c r="L675" s="37" t="n">
        <v>40.2</v>
      </c>
      <c r="M675" s="18" t="n">
        <v>0</v>
      </c>
      <c r="N675" s="19" t="n">
        <v>22.1</v>
      </c>
      <c r="O675" s="108">
        <f>COUNTIFS($E:$E,$E675,$L:$L,"&gt;"&amp;$L675)+1</f>
        <v/>
      </c>
      <c r="P675" s="108">
        <f>COUNTIFS($E:$E,$E675,$M:$M,"&gt;"&amp;$M675)+1</f>
        <v/>
      </c>
      <c r="Q675" s="108">
        <f>COUNTIFS($E:$E,$E675,$N:$N,"&gt;"&amp;$N675)+1</f>
        <v/>
      </c>
      <c r="R675" s="95" t="inlineStr">
        <is>
          <t>➡️ Neutral</t>
        </is>
      </c>
      <c r="S675" s="95" t="inlineStr">
        <is>
          <t>⏳ New Fund</t>
        </is>
      </c>
      <c r="T675" s="95" t="inlineStr">
        <is>
          <t>⏳ New Fund</t>
        </is>
      </c>
      <c r="U675" s="96" t="inlineStr">
        <is>
          <t>MOMENTUM_ONLY</t>
        </is>
      </c>
    </row>
    <row r="676" ht="16" customHeight="1">
      <c r="A676" s="92" t="n">
        <v>672</v>
      </c>
      <c r="B676" s="93" t="inlineStr">
        <is>
          <t>ICICI Prudential Nifty200 Quality 30 Index Fund - Growth</t>
        </is>
      </c>
      <c r="C676" s="93" t="inlineStr">
        <is>
          <t>ICICI Prudential Mutual Fund</t>
        </is>
      </c>
      <c r="D676" s="93" t="inlineStr">
        <is>
          <t>Index Funds</t>
        </is>
      </c>
      <c r="E676" s="93" t="inlineStr">
        <is>
          <t>Index Fund</t>
        </is>
      </c>
      <c r="F676" s="94" t="n">
        <v>2.31</v>
      </c>
      <c r="G676" s="94" t="n">
        <v>2.28</v>
      </c>
      <c r="H676" s="94" t="n">
        <v>0.01</v>
      </c>
      <c r="I676" s="94" t="n">
        <v>2.65</v>
      </c>
      <c r="J676" s="94" t="n">
        <v>0</v>
      </c>
      <c r="K676" s="94" t="n">
        <v>0</v>
      </c>
      <c r="L676" s="37" t="n">
        <v>40.2</v>
      </c>
      <c r="M676" s="18" t="n">
        <v>0</v>
      </c>
      <c r="N676" s="19" t="n">
        <v>22.1</v>
      </c>
      <c r="O676" s="108">
        <f>COUNTIFS($E:$E,$E676,$L:$L,"&gt;"&amp;$L676)+1</f>
        <v/>
      </c>
      <c r="P676" s="108">
        <f>COUNTIFS($E:$E,$E676,$M:$M,"&gt;"&amp;$M676)+1</f>
        <v/>
      </c>
      <c r="Q676" s="108">
        <f>COUNTIFS($E:$E,$E676,$N:$N,"&gt;"&amp;$N676)+1</f>
        <v/>
      </c>
      <c r="R676" s="95" t="inlineStr">
        <is>
          <t>➡️ Neutral</t>
        </is>
      </c>
      <c r="S676" s="95" t="inlineStr">
        <is>
          <t>⏳ New Fund</t>
        </is>
      </c>
      <c r="T676" s="95" t="inlineStr">
        <is>
          <t>⏳ New Fund</t>
        </is>
      </c>
      <c r="U676" s="96" t="inlineStr">
        <is>
          <t>MOMENTUM_ONLY</t>
        </is>
      </c>
    </row>
    <row r="677" ht="16" customHeight="1">
      <c r="A677" s="92" t="n">
        <v>673</v>
      </c>
      <c r="B677" s="93" t="inlineStr">
        <is>
          <t>HDFC NIFTY100 Low Volatility 30 Index Fund - Regular Plan</t>
        </is>
      </c>
      <c r="C677" s="93" t="inlineStr">
        <is>
          <t>HDFC Mutual Fund</t>
        </is>
      </c>
      <c r="D677" s="93" t="inlineStr">
        <is>
          <t>Index Funds</t>
        </is>
      </c>
      <c r="E677" s="93" t="inlineStr">
        <is>
          <t>Index Fund</t>
        </is>
      </c>
      <c r="F677" s="94" t="n">
        <v>0.67</v>
      </c>
      <c r="G677" s="94" t="n">
        <v>3.57</v>
      </c>
      <c r="H677" s="97" t="n">
        <v>-2.7</v>
      </c>
      <c r="I677" s="94" t="n">
        <v>1.45</v>
      </c>
      <c r="J677" s="94" t="n">
        <v>0.553468363851084</v>
      </c>
      <c r="K677" s="94" t="n">
        <v>0</v>
      </c>
      <c r="L677" s="37" t="n">
        <v>40.2</v>
      </c>
      <c r="M677" s="18" t="n">
        <v>0</v>
      </c>
      <c r="N677" s="19" t="n">
        <v>22.1</v>
      </c>
      <c r="O677" s="108">
        <f>COUNTIFS($E:$E,$E677,$L:$L,"&gt;"&amp;$L677)+1</f>
        <v/>
      </c>
      <c r="P677" s="108">
        <f>COUNTIFS($E:$E,$E677,$M:$M,"&gt;"&amp;$M677)+1</f>
        <v/>
      </c>
      <c r="Q677" s="108">
        <f>COUNTIFS($E:$E,$E677,$N:$N,"&gt;"&amp;$N677)+1</f>
        <v/>
      </c>
      <c r="R677" s="95" t="inlineStr">
        <is>
          <t>➡️ Neutral</t>
        </is>
      </c>
      <c r="S677" s="95" t="inlineStr">
        <is>
          <t>⏳ New Fund</t>
        </is>
      </c>
      <c r="T677" s="95" t="inlineStr">
        <is>
          <t>⏳ New Fund</t>
        </is>
      </c>
      <c r="U677" s="96" t="inlineStr">
        <is>
          <t>MOMENTUM_ONLY</t>
        </is>
      </c>
    </row>
    <row r="678" ht="16" customHeight="1">
      <c r="A678" s="92" t="n">
        <v>674</v>
      </c>
      <c r="B678" s="93" t="inlineStr">
        <is>
          <t>Kotak  BSE Housing Index Fund - Regular Plan - Growth Option</t>
        </is>
      </c>
      <c r="C678" s="93" t="inlineStr">
        <is>
          <t>Kotak Mahindra Mutual Fund</t>
        </is>
      </c>
      <c r="D678" s="93" t="inlineStr">
        <is>
          <t>Index Funds</t>
        </is>
      </c>
      <c r="E678" s="93" t="inlineStr">
        <is>
          <t>Index Fund</t>
        </is>
      </c>
      <c r="F678" s="97" t="n">
        <v>-0.1</v>
      </c>
      <c r="G678" s="94" t="n">
        <v>7.92</v>
      </c>
      <c r="H678" s="94" t="n">
        <v>0.54</v>
      </c>
      <c r="I678" s="97" t="n">
        <v>-1.5</v>
      </c>
      <c r="J678" s="97" t="n">
        <v>-2.922711203907224</v>
      </c>
      <c r="K678" s="94" t="n">
        <v>0</v>
      </c>
      <c r="L678" s="37" t="n">
        <v>40.1</v>
      </c>
      <c r="M678" s="18" t="n">
        <v>0</v>
      </c>
      <c r="N678" s="19" t="n">
        <v>22</v>
      </c>
      <c r="O678" s="108">
        <f>COUNTIFS($E:$E,$E678,$L:$L,"&gt;"&amp;$L678)+1</f>
        <v/>
      </c>
      <c r="P678" s="108">
        <f>COUNTIFS($E:$E,$E678,$M:$M,"&gt;"&amp;$M678)+1</f>
        <v/>
      </c>
      <c r="Q678" s="108">
        <f>COUNTIFS($E:$E,$E678,$N:$N,"&gt;"&amp;$N678)+1</f>
        <v/>
      </c>
      <c r="R678" s="95" t="inlineStr">
        <is>
          <t>➡️ Neutral</t>
        </is>
      </c>
      <c r="S678" s="95" t="inlineStr">
        <is>
          <t>⏳ New Fund</t>
        </is>
      </c>
      <c r="T678" s="95" t="inlineStr">
        <is>
          <t>⏳ New Fund</t>
        </is>
      </c>
      <c r="U678" s="96" t="inlineStr">
        <is>
          <t>MOMENTUM_ONLY</t>
        </is>
      </c>
    </row>
    <row r="679" ht="16" customHeight="1">
      <c r="A679" s="92" t="n">
        <v>675</v>
      </c>
      <c r="B679" s="93" t="inlineStr">
        <is>
          <t>Mirae Asset Nifty IT ETF</t>
        </is>
      </c>
      <c r="C679" s="93" t="inlineStr">
        <is>
          <t>Mirae Asset Mutual Fund</t>
        </is>
      </c>
      <c r="D679" s="93" t="inlineStr">
        <is>
          <t>Other  Etfs</t>
        </is>
      </c>
      <c r="E679" s="93" t="inlineStr">
        <is>
          <t>Index Fund</t>
        </is>
      </c>
      <c r="F679" s="94" t="n">
        <v>3.47</v>
      </c>
      <c r="G679" s="94" t="n">
        <v>3.77</v>
      </c>
      <c r="H679" s="97" t="n">
        <v>-6.71</v>
      </c>
      <c r="I679" s="97" t="n">
        <v>-11.43</v>
      </c>
      <c r="J679" s="97" t="n">
        <v>-12.21047898524563</v>
      </c>
      <c r="K679" s="94" t="n">
        <v>0</v>
      </c>
      <c r="L679" s="37" t="n">
        <v>40.1</v>
      </c>
      <c r="M679" s="18" t="n">
        <v>0</v>
      </c>
      <c r="N679" s="19" t="n">
        <v>22</v>
      </c>
      <c r="O679" s="108">
        <f>COUNTIFS($E:$E,$E679,$L:$L,"&gt;"&amp;$L679)+1</f>
        <v/>
      </c>
      <c r="P679" s="108">
        <f>COUNTIFS($E:$E,$E679,$M:$M,"&gt;"&amp;$M679)+1</f>
        <v/>
      </c>
      <c r="Q679" s="108">
        <f>COUNTIFS($E:$E,$E679,$N:$N,"&gt;"&amp;$N679)+1</f>
        <v/>
      </c>
      <c r="R679" s="95" t="inlineStr">
        <is>
          <t>➡️ Neutral</t>
        </is>
      </c>
      <c r="S679" s="95" t="inlineStr">
        <is>
          <t>⏳ New Fund</t>
        </is>
      </c>
      <c r="T679" s="95" t="inlineStr">
        <is>
          <t>⏳ New Fund</t>
        </is>
      </c>
      <c r="U679" s="96" t="inlineStr">
        <is>
          <t>MOMENTUM_ONLY</t>
        </is>
      </c>
    </row>
    <row r="680" ht="16" customHeight="1">
      <c r="A680" s="92" t="n">
        <v>676</v>
      </c>
      <c r="B680" s="93" t="inlineStr">
        <is>
          <t>Bandhan Nifty 200 Quality 30 Index Fund - Regular Plan - Growth</t>
        </is>
      </c>
      <c r="C680" s="93" t="inlineStr">
        <is>
          <t>Bandhan Mutual Fund</t>
        </is>
      </c>
      <c r="D680" s="93" t="inlineStr">
        <is>
          <t>Index Funds</t>
        </is>
      </c>
      <c r="E680" s="93" t="inlineStr">
        <is>
          <t>Index Fund</t>
        </is>
      </c>
      <c r="F680" s="94" t="n">
        <v>2.32</v>
      </c>
      <c r="G680" s="94" t="n">
        <v>2.26</v>
      </c>
      <c r="H680" s="97" t="n">
        <v>-0.04</v>
      </c>
      <c r="I680" s="94" t="n">
        <v>2.48</v>
      </c>
      <c r="J680" s="94" t="n">
        <v>0</v>
      </c>
      <c r="K680" s="94" t="n">
        <v>0</v>
      </c>
      <c r="L680" s="37" t="n">
        <v>39.8</v>
      </c>
      <c r="M680" s="18" t="n">
        <v>0</v>
      </c>
      <c r="N680" s="19" t="n">
        <v>21.9</v>
      </c>
      <c r="O680" s="108">
        <f>COUNTIFS($E:$E,$E680,$L:$L,"&gt;"&amp;$L680)+1</f>
        <v/>
      </c>
      <c r="P680" s="108">
        <f>COUNTIFS($E:$E,$E680,$M:$M,"&gt;"&amp;$M680)+1</f>
        <v/>
      </c>
      <c r="Q680" s="108">
        <f>COUNTIFS($E:$E,$E680,$N:$N,"&gt;"&amp;$N680)+1</f>
        <v/>
      </c>
      <c r="R680" s="95" t="inlineStr">
        <is>
          <t>📉 Weak</t>
        </is>
      </c>
      <c r="S680" s="95" t="inlineStr">
        <is>
          <t>⏳ New Fund</t>
        </is>
      </c>
      <c r="T680" s="95" t="inlineStr">
        <is>
          <t>⏳ New Fund</t>
        </is>
      </c>
      <c r="U680" s="96" t="inlineStr">
        <is>
          <t>MOMENTUM_ONLY</t>
        </is>
      </c>
    </row>
    <row r="681" ht="16" customHeight="1">
      <c r="A681" s="92" t="n">
        <v>677</v>
      </c>
      <c r="B681" s="93" t="inlineStr">
        <is>
          <t>HDFC Nifty Top 20 Equal Weight Index Fund - Regular Growth</t>
        </is>
      </c>
      <c r="C681" s="93" t="inlineStr">
        <is>
          <t>HDFC Mutual Fund</t>
        </is>
      </c>
      <c r="D681" s="93" t="inlineStr">
        <is>
          <t>Index Funds</t>
        </is>
      </c>
      <c r="E681" s="93" t="inlineStr">
        <is>
          <t>Index Fund</t>
        </is>
      </c>
      <c r="F681" s="94" t="n">
        <v>0.85</v>
      </c>
      <c r="G681" s="94" t="n">
        <v>4.66</v>
      </c>
      <c r="H681" s="97" t="n">
        <v>-6.49</v>
      </c>
      <c r="I681" s="97" t="n">
        <v>-0.86</v>
      </c>
      <c r="J681" s="94" t="n">
        <v>0</v>
      </c>
      <c r="K681" s="94" t="n">
        <v>0</v>
      </c>
      <c r="L681" s="37" t="n">
        <v>39.2</v>
      </c>
      <c r="M681" s="18" t="n">
        <v>0</v>
      </c>
      <c r="N681" s="19" t="n">
        <v>21.6</v>
      </c>
      <c r="O681" s="108">
        <f>COUNTIFS($E:$E,$E681,$L:$L,"&gt;"&amp;$L681)+1</f>
        <v/>
      </c>
      <c r="P681" s="108">
        <f>COUNTIFS($E:$E,$E681,$M:$M,"&gt;"&amp;$M681)+1</f>
        <v/>
      </c>
      <c r="Q681" s="108">
        <f>COUNTIFS($E:$E,$E681,$N:$N,"&gt;"&amp;$N681)+1</f>
        <v/>
      </c>
      <c r="R681" s="95" t="inlineStr">
        <is>
          <t>📉 Weak</t>
        </is>
      </c>
      <c r="S681" s="95" t="inlineStr">
        <is>
          <t>⏳ New Fund</t>
        </is>
      </c>
      <c r="T681" s="95" t="inlineStr">
        <is>
          <t>⏳ New Fund</t>
        </is>
      </c>
      <c r="U681" s="96" t="inlineStr">
        <is>
          <t>MOMENTUM_ONLY</t>
        </is>
      </c>
    </row>
    <row r="682" ht="16" customHeight="1">
      <c r="A682" s="92" t="n">
        <v>678</v>
      </c>
      <c r="B682" s="93" t="inlineStr">
        <is>
          <t>THE WEALTH COMPANY GOLD ETF FOF REGULAR GROWTH</t>
        </is>
      </c>
      <c r="C682" s="93" t="inlineStr">
        <is>
          <t>The Wealth Company Mutual Fund</t>
        </is>
      </c>
      <c r="D682" s="93" t="inlineStr">
        <is>
          <t>Fof Domestic</t>
        </is>
      </c>
      <c r="E682" s="93" t="inlineStr">
        <is>
          <t>Gold</t>
        </is>
      </c>
      <c r="F682" s="94" t="n">
        <v>8.59</v>
      </c>
      <c r="G682" s="97" t="n">
        <v>-3.22</v>
      </c>
      <c r="H682" s="94" t="n">
        <v>0.92</v>
      </c>
      <c r="I682" s="94" t="n">
        <v>0</v>
      </c>
      <c r="J682" s="94" t="n">
        <v>0</v>
      </c>
      <c r="K682" s="94" t="n">
        <v>0</v>
      </c>
      <c r="L682" s="37" t="n">
        <v>39</v>
      </c>
      <c r="M682" s="18" t="n">
        <v>0</v>
      </c>
      <c r="N682" s="19" t="n">
        <v>21.5</v>
      </c>
      <c r="O682" s="108">
        <f>COUNTIFS($E:$E,$E682,$L:$L,"&gt;"&amp;$L682)+1</f>
        <v/>
      </c>
      <c r="P682" s="108">
        <f>COUNTIFS($E:$E,$E682,$M:$M,"&gt;"&amp;$M682)+1</f>
        <v/>
      </c>
      <c r="Q682" s="108">
        <f>COUNTIFS($E:$E,$E682,$N:$N,"&gt;"&amp;$N682)+1</f>
        <v/>
      </c>
      <c r="R682" s="95" t="inlineStr">
        <is>
          <t>📉 Weak</t>
        </is>
      </c>
      <c r="S682" s="95" t="inlineStr">
        <is>
          <t>⏳ New Fund</t>
        </is>
      </c>
      <c r="T682" s="95" t="inlineStr">
        <is>
          <t>⏳ New Fund</t>
        </is>
      </c>
      <c r="U682" s="96" t="inlineStr">
        <is>
          <t>MOMENTUM_ONLY</t>
        </is>
      </c>
    </row>
    <row r="683" ht="16" customHeight="1">
      <c r="A683" s="92" t="n">
        <v>679</v>
      </c>
      <c r="B683" s="93" t="inlineStr">
        <is>
          <t>ICICI Prudential Nifty200 Value 30 ETF</t>
        </is>
      </c>
      <c r="C683" s="93" t="inlineStr">
        <is>
          <t>ICICI Prudential Mutual Fund</t>
        </is>
      </c>
      <c r="D683" s="93" t="inlineStr">
        <is>
          <t>Other  Etfs</t>
        </is>
      </c>
      <c r="E683" s="93" t="inlineStr">
        <is>
          <t>Index Fund</t>
        </is>
      </c>
      <c r="F683" s="97" t="n">
        <v>-0.25</v>
      </c>
      <c r="G683" s="97" t="n">
        <v>-1.79</v>
      </c>
      <c r="H683" s="97" t="n">
        <v>-5.55</v>
      </c>
      <c r="I683" s="94" t="n">
        <v>18.16</v>
      </c>
      <c r="J683" s="94" t="n">
        <v>0</v>
      </c>
      <c r="K683" s="94" t="n">
        <v>0</v>
      </c>
      <c r="L683" s="37" t="n">
        <v>38.6</v>
      </c>
      <c r="M683" s="18" t="n">
        <v>0</v>
      </c>
      <c r="N683" s="19" t="n">
        <v>21.2</v>
      </c>
      <c r="O683" s="108">
        <f>COUNTIFS($E:$E,$E683,$L:$L,"&gt;"&amp;$L683)+1</f>
        <v/>
      </c>
      <c r="P683" s="108">
        <f>COUNTIFS($E:$E,$E683,$M:$M,"&gt;"&amp;$M683)+1</f>
        <v/>
      </c>
      <c r="Q683" s="108">
        <f>COUNTIFS($E:$E,$E683,$N:$N,"&gt;"&amp;$N683)+1</f>
        <v/>
      </c>
      <c r="R683" s="95" t="inlineStr">
        <is>
          <t>📉 Weak</t>
        </is>
      </c>
      <c r="S683" s="95" t="inlineStr">
        <is>
          <t>⏳ New Fund</t>
        </is>
      </c>
      <c r="T683" s="95" t="inlineStr">
        <is>
          <t>⏳ New Fund</t>
        </is>
      </c>
      <c r="U683" s="96" t="inlineStr">
        <is>
          <t>MOMENTUM_ONLY</t>
        </is>
      </c>
    </row>
    <row r="684" ht="16" customHeight="1">
      <c r="A684" s="92" t="n">
        <v>680</v>
      </c>
      <c r="B684" s="93" t="inlineStr">
        <is>
          <t>Baroda BNP Paribas Nifty Bank ETF</t>
        </is>
      </c>
      <c r="C684" s="93" t="inlineStr">
        <is>
          <t>Baroda BNP Paribas Mutual Fund</t>
        </is>
      </c>
      <c r="D684" s="93" t="inlineStr">
        <is>
          <t>Other  Etfs</t>
        </is>
      </c>
      <c r="E684" s="93" t="inlineStr">
        <is>
          <t>Banking/Financial</t>
        </is>
      </c>
      <c r="F684" s="97" t="n">
        <v>-2.03</v>
      </c>
      <c r="G684" s="94" t="n">
        <v>7.59</v>
      </c>
      <c r="H684" s="97" t="n">
        <v>-6.5</v>
      </c>
      <c r="I684" s="94" t="n">
        <v>3.88</v>
      </c>
      <c r="J684" s="94" t="n">
        <v>6.981306778333951</v>
      </c>
      <c r="K684" s="94" t="n">
        <v>0</v>
      </c>
      <c r="L684" s="37" t="n">
        <v>38.5</v>
      </c>
      <c r="M684" s="18" t="n">
        <v>0</v>
      </c>
      <c r="N684" s="19" t="n">
        <v>21.2</v>
      </c>
      <c r="O684" s="108">
        <f>COUNTIFS($E:$E,$E684,$L:$L,"&gt;"&amp;$L684)+1</f>
        <v/>
      </c>
      <c r="P684" s="108">
        <f>COUNTIFS($E:$E,$E684,$M:$M,"&gt;"&amp;$M684)+1</f>
        <v/>
      </c>
      <c r="Q684" s="108">
        <f>COUNTIFS($E:$E,$E684,$N:$N,"&gt;"&amp;$N684)+1</f>
        <v/>
      </c>
      <c r="R684" s="95" t="inlineStr">
        <is>
          <t>📉 Weak</t>
        </is>
      </c>
      <c r="S684" s="95" t="inlineStr">
        <is>
          <t>⏳ New Fund</t>
        </is>
      </c>
      <c r="T684" s="95" t="inlineStr">
        <is>
          <t>⏳ New Fund</t>
        </is>
      </c>
      <c r="U684" s="96" t="inlineStr">
        <is>
          <t>MOMENTUM_ONLY</t>
        </is>
      </c>
    </row>
    <row r="685" ht="16" customHeight="1">
      <c r="A685" s="92" t="n">
        <v>681</v>
      </c>
      <c r="B685" s="93" t="inlineStr">
        <is>
          <t>UTI Nifty IT ETF</t>
        </is>
      </c>
      <c r="C685" s="93" t="inlineStr">
        <is>
          <t>UTI Mutual Fund</t>
        </is>
      </c>
      <c r="D685" s="93" t="inlineStr">
        <is>
          <t>Other  Etfs</t>
        </is>
      </c>
      <c r="E685" s="93" t="inlineStr">
        <is>
          <t>Index Fund</t>
        </is>
      </c>
      <c r="F685" s="94" t="n">
        <v>3.43</v>
      </c>
      <c r="G685" s="94" t="n">
        <v>3.72</v>
      </c>
      <c r="H685" s="97" t="n">
        <v>-6.76</v>
      </c>
      <c r="I685" s="97" t="n">
        <v>-11.42</v>
      </c>
      <c r="J685" s="97" t="n">
        <v>-12.23326370429398</v>
      </c>
      <c r="K685" s="94" t="n">
        <v>0</v>
      </c>
      <c r="L685" s="37" t="n">
        <v>38.4</v>
      </c>
      <c r="M685" s="18" t="n">
        <v>0</v>
      </c>
      <c r="N685" s="19" t="n">
        <v>21.1</v>
      </c>
      <c r="O685" s="108">
        <f>COUNTIFS($E:$E,$E685,$L:$L,"&gt;"&amp;$L685)+1</f>
        <v/>
      </c>
      <c r="P685" s="108">
        <f>COUNTIFS($E:$E,$E685,$M:$M,"&gt;"&amp;$M685)+1</f>
        <v/>
      </c>
      <c r="Q685" s="108">
        <f>COUNTIFS($E:$E,$E685,$N:$N,"&gt;"&amp;$N685)+1</f>
        <v/>
      </c>
      <c r="R685" s="95" t="inlineStr">
        <is>
          <t>📉 Weak</t>
        </is>
      </c>
      <c r="S685" s="95" t="inlineStr">
        <is>
          <t>⏳ New Fund</t>
        </is>
      </c>
      <c r="T685" s="95" t="inlineStr">
        <is>
          <t>⏳ New Fund</t>
        </is>
      </c>
      <c r="U685" s="96" t="inlineStr">
        <is>
          <t>MOMENTUM_ONLY</t>
        </is>
      </c>
    </row>
    <row r="686" ht="16" customHeight="1">
      <c r="A686" s="92" t="n">
        <v>682</v>
      </c>
      <c r="B686" s="93" t="inlineStr">
        <is>
          <t>Edelweiss Nifty Bank ETF - Growth</t>
        </is>
      </c>
      <c r="C686" s="93" t="inlineStr">
        <is>
          <t>Edelweiss Mutual Fund</t>
        </is>
      </c>
      <c r="D686" s="93" t="inlineStr">
        <is>
          <t>Other  Etfs</t>
        </is>
      </c>
      <c r="E686" s="93" t="inlineStr">
        <is>
          <t>Banking/Financial</t>
        </is>
      </c>
      <c r="F686" s="97" t="n">
        <v>-2</v>
      </c>
      <c r="G686" s="94" t="n">
        <v>7.63</v>
      </c>
      <c r="H686" s="97" t="n">
        <v>-6.53</v>
      </c>
      <c r="I686" s="94" t="n">
        <v>3.84</v>
      </c>
      <c r="J686" s="94" t="n">
        <v>0</v>
      </c>
      <c r="K686" s="94" t="n">
        <v>0</v>
      </c>
      <c r="L686" s="37" t="n">
        <v>38.1</v>
      </c>
      <c r="M686" s="18" t="n">
        <v>0</v>
      </c>
      <c r="N686" s="19" t="n">
        <v>21</v>
      </c>
      <c r="O686" s="108">
        <f>COUNTIFS($E:$E,$E686,$L:$L,"&gt;"&amp;$L686)+1</f>
        <v/>
      </c>
      <c r="P686" s="108">
        <f>COUNTIFS($E:$E,$E686,$M:$M,"&gt;"&amp;$M686)+1</f>
        <v/>
      </c>
      <c r="Q686" s="108">
        <f>COUNTIFS($E:$E,$E686,$N:$N,"&gt;"&amp;$N686)+1</f>
        <v/>
      </c>
      <c r="R686" s="95" t="inlineStr">
        <is>
          <t>📉 Weak</t>
        </is>
      </c>
      <c r="S686" s="95" t="inlineStr">
        <is>
          <t>⏳ New Fund</t>
        </is>
      </c>
      <c r="T686" s="95" t="inlineStr">
        <is>
          <t>⏳ New Fund</t>
        </is>
      </c>
      <c r="U686" s="96" t="inlineStr">
        <is>
          <t>MOMENTUM_ONLY</t>
        </is>
      </c>
    </row>
    <row r="687" ht="16" customHeight="1">
      <c r="A687" s="92" t="n">
        <v>683</v>
      </c>
      <c r="B687" s="93" t="inlineStr">
        <is>
          <t>Mirae Asset Nifty Energy ETF</t>
        </is>
      </c>
      <c r="C687" s="93" t="inlineStr">
        <is>
          <t>Mirae Asset Mutual Fund</t>
        </is>
      </c>
      <c r="D687" s="93" t="inlineStr">
        <is>
          <t>Other  Etfs</t>
        </is>
      </c>
      <c r="E687" s="93" t="inlineStr">
        <is>
          <t>Commodities</t>
        </is>
      </c>
      <c r="F687" s="97" t="n">
        <v>-1.59</v>
      </c>
      <c r="G687" s="97" t="n">
        <v>-2.24</v>
      </c>
      <c r="H687" s="94" t="n">
        <v>5.9</v>
      </c>
      <c r="I687" s="94" t="n">
        <v>0</v>
      </c>
      <c r="J687" s="94" t="n">
        <v>0</v>
      </c>
      <c r="K687" s="94" t="n">
        <v>0</v>
      </c>
      <c r="L687" s="37" t="n">
        <v>38.1</v>
      </c>
      <c r="M687" s="18" t="n">
        <v>0</v>
      </c>
      <c r="N687" s="19" t="n">
        <v>21</v>
      </c>
      <c r="O687" s="108">
        <f>COUNTIFS($E:$E,$E687,$L:$L,"&gt;"&amp;$L687)+1</f>
        <v/>
      </c>
      <c r="P687" s="108">
        <f>COUNTIFS($E:$E,$E687,$M:$M,"&gt;"&amp;$M687)+1</f>
        <v/>
      </c>
      <c r="Q687" s="108">
        <f>COUNTIFS($E:$E,$E687,$N:$N,"&gt;"&amp;$N687)+1</f>
        <v/>
      </c>
      <c r="R687" s="95" t="inlineStr">
        <is>
          <t>📉 Weak</t>
        </is>
      </c>
      <c r="S687" s="95" t="inlineStr">
        <is>
          <t>⏳ New Fund</t>
        </is>
      </c>
      <c r="T687" s="95" t="inlineStr">
        <is>
          <t>⏳ New Fund</t>
        </is>
      </c>
      <c r="U687" s="96" t="inlineStr">
        <is>
          <t>MOMENTUM_ONLY</t>
        </is>
      </c>
    </row>
    <row r="688" ht="16" customHeight="1">
      <c r="A688" s="92" t="n">
        <v>684</v>
      </c>
      <c r="B688" s="93" t="inlineStr">
        <is>
          <t>Sundaram Income Plus Arbitrage Active FoF Fund-Regular-Growth</t>
        </is>
      </c>
      <c r="C688" s="93" t="inlineStr">
        <is>
          <t>Sundaram Mutual Fund</t>
        </is>
      </c>
      <c r="D688" s="93" t="inlineStr">
        <is>
          <t>Fof Domestic</t>
        </is>
      </c>
      <c r="E688" s="93" t="inlineStr">
        <is>
          <t>Standard Equity/Debt</t>
        </is>
      </c>
      <c r="F688" s="94" t="n">
        <v>0.47</v>
      </c>
      <c r="G688" s="94" t="n">
        <v>1.87</v>
      </c>
      <c r="H688" s="94" t="n">
        <v>2.86</v>
      </c>
      <c r="I688" s="94" t="n">
        <v>0</v>
      </c>
      <c r="J688" s="94" t="n">
        <v>0</v>
      </c>
      <c r="K688" s="94" t="n">
        <v>0</v>
      </c>
      <c r="L688" s="37" t="n">
        <v>37.5</v>
      </c>
      <c r="M688" s="18" t="n">
        <v>0</v>
      </c>
      <c r="N688" s="19" t="n">
        <v>20.6</v>
      </c>
      <c r="O688" s="108">
        <f>COUNTIFS($E:$E,$E688,$L:$L,"&gt;"&amp;$L688)+1</f>
        <v/>
      </c>
      <c r="P688" s="108">
        <f>COUNTIFS($E:$E,$E688,$M:$M,"&gt;"&amp;$M688)+1</f>
        <v/>
      </c>
      <c r="Q688" s="108">
        <f>COUNTIFS($E:$E,$E688,$N:$N,"&gt;"&amp;$N688)+1</f>
        <v/>
      </c>
      <c r="R688" s="95" t="inlineStr">
        <is>
          <t>📉 Weak</t>
        </is>
      </c>
      <c r="S688" s="95" t="inlineStr">
        <is>
          <t>⏳ New Fund</t>
        </is>
      </c>
      <c r="T688" s="95" t="inlineStr">
        <is>
          <t>⏳ New Fund</t>
        </is>
      </c>
      <c r="U688" s="96" t="inlineStr">
        <is>
          <t>MOMENTUM_ONLY</t>
        </is>
      </c>
    </row>
    <row r="689" ht="16" customHeight="1">
      <c r="A689" s="92" t="n">
        <v>685</v>
      </c>
      <c r="B689" s="93" t="inlineStr">
        <is>
          <t>DSP Nifty IT Index Fund - Regular - Growth</t>
        </is>
      </c>
      <c r="C689" s="93" t="inlineStr">
        <is>
          <t>DSP Mutual Fund</t>
        </is>
      </c>
      <c r="D689" s="93" t="inlineStr">
        <is>
          <t>Index Funds</t>
        </is>
      </c>
      <c r="E689" s="93" t="inlineStr">
        <is>
          <t>Index Fund</t>
        </is>
      </c>
      <c r="F689" s="94" t="n">
        <v>3.37</v>
      </c>
      <c r="G689" s="94" t="n">
        <v>3.55</v>
      </c>
      <c r="H689" s="97" t="n">
        <v>-7.08</v>
      </c>
      <c r="I689" s="97" t="n">
        <v>-12.3</v>
      </c>
      <c r="J689" s="94" t="n">
        <v>0</v>
      </c>
      <c r="K689" s="94" t="n">
        <v>0</v>
      </c>
      <c r="L689" s="37" t="n">
        <v>37.4</v>
      </c>
      <c r="M689" s="18" t="n">
        <v>0</v>
      </c>
      <c r="N689" s="19" t="n">
        <v>20.6</v>
      </c>
      <c r="O689" s="108">
        <f>COUNTIFS($E:$E,$E689,$L:$L,"&gt;"&amp;$L689)+1</f>
        <v/>
      </c>
      <c r="P689" s="108">
        <f>COUNTIFS($E:$E,$E689,$M:$M,"&gt;"&amp;$M689)+1</f>
        <v/>
      </c>
      <c r="Q689" s="108">
        <f>COUNTIFS($E:$E,$E689,$N:$N,"&gt;"&amp;$N689)+1</f>
        <v/>
      </c>
      <c r="R689" s="95" t="inlineStr">
        <is>
          <t>📉 Weak</t>
        </is>
      </c>
      <c r="S689" s="95" t="inlineStr">
        <is>
          <t>⏳ New Fund</t>
        </is>
      </c>
      <c r="T689" s="95" t="inlineStr">
        <is>
          <t>⏳ New Fund</t>
        </is>
      </c>
      <c r="U689" s="96" t="inlineStr">
        <is>
          <t>MOMENTUM_ONLY</t>
        </is>
      </c>
    </row>
    <row r="690" ht="16" customHeight="1">
      <c r="A690" s="92" t="n">
        <v>686</v>
      </c>
      <c r="B690" s="93" t="inlineStr">
        <is>
          <t>Motilal Oswal Nifty Energy ETF</t>
        </is>
      </c>
      <c r="C690" s="93" t="inlineStr">
        <is>
          <t>Motilal Oswal Mutual Fund</t>
        </is>
      </c>
      <c r="D690" s="93" t="inlineStr">
        <is>
          <t>Other  Etfs</t>
        </is>
      </c>
      <c r="E690" s="93" t="inlineStr">
        <is>
          <t>Commodities</t>
        </is>
      </c>
      <c r="F690" s="97" t="n">
        <v>-1.61</v>
      </c>
      <c r="G690" s="97" t="n">
        <v>-2.31</v>
      </c>
      <c r="H690" s="94" t="n">
        <v>5.72</v>
      </c>
      <c r="I690" s="94" t="n">
        <v>0</v>
      </c>
      <c r="J690" s="94" t="n">
        <v>0</v>
      </c>
      <c r="K690" s="94" t="n">
        <v>0</v>
      </c>
      <c r="L690" s="37" t="n">
        <v>37.3</v>
      </c>
      <c r="M690" s="18" t="n">
        <v>0</v>
      </c>
      <c r="N690" s="19" t="n">
        <v>20.5</v>
      </c>
      <c r="O690" s="108">
        <f>COUNTIFS($E:$E,$E690,$L:$L,"&gt;"&amp;$L690)+1</f>
        <v/>
      </c>
      <c r="P690" s="108">
        <f>COUNTIFS($E:$E,$E690,$M:$M,"&gt;"&amp;$M690)+1</f>
        <v/>
      </c>
      <c r="Q690" s="108">
        <f>COUNTIFS($E:$E,$E690,$N:$N,"&gt;"&amp;$N690)+1</f>
        <v/>
      </c>
      <c r="R690" s="95" t="inlineStr">
        <is>
          <t>📉 Weak</t>
        </is>
      </c>
      <c r="S690" s="95" t="inlineStr">
        <is>
          <t>⏳ New Fund</t>
        </is>
      </c>
      <c r="T690" s="95" t="inlineStr">
        <is>
          <t>⏳ New Fund</t>
        </is>
      </c>
      <c r="U690" s="96" t="inlineStr">
        <is>
          <t>MOMENTUM_ONLY</t>
        </is>
      </c>
    </row>
    <row r="691" ht="16" customHeight="1">
      <c r="A691" s="92" t="n">
        <v>687</v>
      </c>
      <c r="B691" s="93" t="inlineStr">
        <is>
          <t>SBI Nifty IT Index Fund - Regular Plan - Growth</t>
        </is>
      </c>
      <c r="C691" s="93" t="inlineStr">
        <is>
          <t>SBI Mutual Fund</t>
        </is>
      </c>
      <c r="D691" s="93" t="inlineStr">
        <is>
          <t>Index Funds</t>
        </is>
      </c>
      <c r="E691" s="93" t="inlineStr">
        <is>
          <t>Index Fund</t>
        </is>
      </c>
      <c r="F691" s="94" t="n">
        <v>3.35</v>
      </c>
      <c r="G691" s="94" t="n">
        <v>3.51</v>
      </c>
      <c r="H691" s="97" t="n">
        <v>-7.1</v>
      </c>
      <c r="I691" s="97" t="n">
        <v>-12.13</v>
      </c>
      <c r="J691" s="94" t="n">
        <v>0</v>
      </c>
      <c r="K691" s="94" t="n">
        <v>0</v>
      </c>
      <c r="L691" s="37" t="n">
        <v>37.2</v>
      </c>
      <c r="M691" s="18" t="n">
        <v>0</v>
      </c>
      <c r="N691" s="19" t="n">
        <v>20.5</v>
      </c>
      <c r="O691" s="108">
        <f>COUNTIFS($E:$E,$E691,$L:$L,"&gt;"&amp;$L691)+1</f>
        <v/>
      </c>
      <c r="P691" s="108">
        <f>COUNTIFS($E:$E,$E691,$M:$M,"&gt;"&amp;$M691)+1</f>
        <v/>
      </c>
      <c r="Q691" s="108">
        <f>COUNTIFS($E:$E,$E691,$N:$N,"&gt;"&amp;$N691)+1</f>
        <v/>
      </c>
      <c r="R691" s="95" t="inlineStr">
        <is>
          <t>📉 Weak</t>
        </is>
      </c>
      <c r="S691" s="95" t="inlineStr">
        <is>
          <t>⏳ New Fund</t>
        </is>
      </c>
      <c r="T691" s="95" t="inlineStr">
        <is>
          <t>⏳ New Fund</t>
        </is>
      </c>
      <c r="U691" s="96" t="inlineStr">
        <is>
          <t>MOMENTUM_ONLY</t>
        </is>
      </c>
    </row>
    <row r="692" ht="16" customHeight="1">
      <c r="A692" s="92" t="n">
        <v>688</v>
      </c>
      <c r="B692" s="93" t="inlineStr">
        <is>
          <t>HDFC BSE India Sector Leaders Index Fund - Regular Plan - Growth Option</t>
        </is>
      </c>
      <c r="C692" s="93" t="inlineStr">
        <is>
          <t>HDFC Mutual Fund</t>
        </is>
      </c>
      <c r="D692" s="93" t="inlineStr">
        <is>
          <t>Index Funds</t>
        </is>
      </c>
      <c r="E692" s="93" t="inlineStr">
        <is>
          <t>Index Fund</t>
        </is>
      </c>
      <c r="F692" s="94" t="n">
        <v>0.5600000000000001</v>
      </c>
      <c r="G692" s="94" t="n">
        <v>3.67</v>
      </c>
      <c r="H692" s="97" t="n">
        <v>-2.1</v>
      </c>
      <c r="I692" s="94" t="n">
        <v>0</v>
      </c>
      <c r="J692" s="94" t="n">
        <v>0</v>
      </c>
      <c r="K692" s="94" t="n">
        <v>0</v>
      </c>
      <c r="L692" s="37" t="n">
        <v>37.1</v>
      </c>
      <c r="M692" s="18" t="n">
        <v>0</v>
      </c>
      <c r="N692" s="19" t="n">
        <v>20.4</v>
      </c>
      <c r="O692" s="108">
        <f>COUNTIFS($E:$E,$E692,$L:$L,"&gt;"&amp;$L692)+1</f>
        <v/>
      </c>
      <c r="P692" s="108">
        <f>COUNTIFS($E:$E,$E692,$M:$M,"&gt;"&amp;$M692)+1</f>
        <v/>
      </c>
      <c r="Q692" s="108">
        <f>COUNTIFS($E:$E,$E692,$N:$N,"&gt;"&amp;$N692)+1</f>
        <v/>
      </c>
      <c r="R692" s="95" t="inlineStr">
        <is>
          <t>📉 Weak</t>
        </is>
      </c>
      <c r="S692" s="95" t="inlineStr">
        <is>
          <t>⏳ New Fund</t>
        </is>
      </c>
      <c r="T692" s="95" t="inlineStr">
        <is>
          <t>⏳ New Fund</t>
        </is>
      </c>
      <c r="U692" s="96" t="inlineStr">
        <is>
          <t>MOMENTUM_ONLY</t>
        </is>
      </c>
    </row>
    <row r="693" ht="16" customHeight="1">
      <c r="A693" s="92" t="n">
        <v>689</v>
      </c>
      <c r="B693" s="93" t="inlineStr">
        <is>
          <t>Nippon India Nifty 500 Low Volatility 50 Index Fund - Regular Plan - Growth Option</t>
        </is>
      </c>
      <c r="C693" s="93" t="inlineStr">
        <is>
          <t>Nippon India Mutual Fund</t>
        </is>
      </c>
      <c r="D693" s="93" t="inlineStr">
        <is>
          <t>Index Funds</t>
        </is>
      </c>
      <c r="E693" s="93" t="inlineStr">
        <is>
          <t>Index Fund</t>
        </is>
      </c>
      <c r="F693" s="94" t="n">
        <v>0.79</v>
      </c>
      <c r="G693" s="94" t="n">
        <v>1.65</v>
      </c>
      <c r="H693" s="97" t="n">
        <v>-3.08</v>
      </c>
      <c r="I693" s="94" t="n">
        <v>4.56</v>
      </c>
      <c r="J693" s="94" t="n">
        <v>0</v>
      </c>
      <c r="K693" s="94" t="n">
        <v>0</v>
      </c>
      <c r="L693" s="37" t="n">
        <v>37</v>
      </c>
      <c r="M693" s="18" t="n">
        <v>0</v>
      </c>
      <c r="N693" s="19" t="n">
        <v>20.4</v>
      </c>
      <c r="O693" s="108">
        <f>COUNTIFS($E:$E,$E693,$L:$L,"&gt;"&amp;$L693)+1</f>
        <v/>
      </c>
      <c r="P693" s="108">
        <f>COUNTIFS($E:$E,$E693,$M:$M,"&gt;"&amp;$M693)+1</f>
        <v/>
      </c>
      <c r="Q693" s="108">
        <f>COUNTIFS($E:$E,$E693,$N:$N,"&gt;"&amp;$N693)+1</f>
        <v/>
      </c>
      <c r="R693" s="95" t="inlineStr">
        <is>
          <t>📉 Weak</t>
        </is>
      </c>
      <c r="S693" s="95" t="inlineStr">
        <is>
          <t>⏳ New Fund</t>
        </is>
      </c>
      <c r="T693" s="95" t="inlineStr">
        <is>
          <t>⏳ New Fund</t>
        </is>
      </c>
      <c r="U693" s="96" t="inlineStr">
        <is>
          <t>MOMENTUM_ONLY</t>
        </is>
      </c>
    </row>
    <row r="694" ht="16" customHeight="1">
      <c r="A694" s="92" t="n">
        <v>690</v>
      </c>
      <c r="B694" s="93" t="inlineStr">
        <is>
          <t>Kotak Nifty India Tourism Index Fund-Regular plan-Growth</t>
        </is>
      </c>
      <c r="C694" s="93" t="inlineStr">
        <is>
          <t>Kotak Mahindra Mutual Fund</t>
        </is>
      </c>
      <c r="D694" s="93" t="inlineStr">
        <is>
          <t>Index Funds</t>
        </is>
      </c>
      <c r="E694" s="93" t="inlineStr">
        <is>
          <t>Index Fund</t>
        </is>
      </c>
      <c r="F694" s="94" t="n">
        <v>0.27</v>
      </c>
      <c r="G694" s="94" t="n">
        <v>10.64</v>
      </c>
      <c r="H694" s="97" t="n">
        <v>-1.18</v>
      </c>
      <c r="I694" s="97" t="n">
        <v>-13.67</v>
      </c>
      <c r="J694" s="94" t="n">
        <v>0</v>
      </c>
      <c r="K694" s="94" t="n">
        <v>0</v>
      </c>
      <c r="L694" s="37" t="n">
        <v>37</v>
      </c>
      <c r="M694" s="18" t="n">
        <v>0</v>
      </c>
      <c r="N694" s="19" t="n">
        <v>20.3</v>
      </c>
      <c r="O694" s="108">
        <f>COUNTIFS($E:$E,$E694,$L:$L,"&gt;"&amp;$L694)+1</f>
        <v/>
      </c>
      <c r="P694" s="108">
        <f>COUNTIFS($E:$E,$E694,$M:$M,"&gt;"&amp;$M694)+1</f>
        <v/>
      </c>
      <c r="Q694" s="108">
        <f>COUNTIFS($E:$E,$E694,$N:$N,"&gt;"&amp;$N694)+1</f>
        <v/>
      </c>
      <c r="R694" s="95" t="inlineStr">
        <is>
          <t>📉 Weak</t>
        </is>
      </c>
      <c r="S694" s="95" t="inlineStr">
        <is>
          <t>⏳ New Fund</t>
        </is>
      </c>
      <c r="T694" s="95" t="inlineStr">
        <is>
          <t>⏳ New Fund</t>
        </is>
      </c>
      <c r="U694" s="96" t="inlineStr">
        <is>
          <t>MOMENTUM_ONLY</t>
        </is>
      </c>
    </row>
    <row r="695" ht="16" customHeight="1">
      <c r="A695" s="92" t="n">
        <v>691</v>
      </c>
      <c r="B695" s="93" t="inlineStr">
        <is>
          <t>Tata Nifty India Tourism Index Fund - Regular - Growth</t>
        </is>
      </c>
      <c r="C695" s="93" t="inlineStr">
        <is>
          <t>Tata Mutual Fund</t>
        </is>
      </c>
      <c r="D695" s="93" t="inlineStr">
        <is>
          <t>Index Funds</t>
        </is>
      </c>
      <c r="E695" s="93" t="inlineStr">
        <is>
          <t>Index Fund</t>
        </is>
      </c>
      <c r="F695" s="94" t="n">
        <v>0.27</v>
      </c>
      <c r="G695" s="94" t="n">
        <v>10.61</v>
      </c>
      <c r="H695" s="97" t="n">
        <v>-1.27</v>
      </c>
      <c r="I695" s="97" t="n">
        <v>-13.75</v>
      </c>
      <c r="J695" s="97" t="n">
        <v>-3.781498660600624</v>
      </c>
      <c r="K695" s="94" t="n">
        <v>0</v>
      </c>
      <c r="L695" s="37" t="n">
        <v>36.7</v>
      </c>
      <c r="M695" s="18" t="n">
        <v>0</v>
      </c>
      <c r="N695" s="19" t="n">
        <v>20.2</v>
      </c>
      <c r="O695" s="108">
        <f>COUNTIFS($E:$E,$E695,$L:$L,"&gt;"&amp;$L695)+1</f>
        <v/>
      </c>
      <c r="P695" s="108">
        <f>COUNTIFS($E:$E,$E695,$M:$M,"&gt;"&amp;$M695)+1</f>
        <v/>
      </c>
      <c r="Q695" s="108">
        <f>COUNTIFS($E:$E,$E695,$N:$N,"&gt;"&amp;$N695)+1</f>
        <v/>
      </c>
      <c r="R695" s="95" t="inlineStr">
        <is>
          <t>📉 Weak</t>
        </is>
      </c>
      <c r="S695" s="95" t="inlineStr">
        <is>
          <t>⏳ New Fund</t>
        </is>
      </c>
      <c r="T695" s="95" t="inlineStr">
        <is>
          <t>⏳ New Fund</t>
        </is>
      </c>
      <c r="U695" s="96" t="inlineStr">
        <is>
          <t>MOMENTUM_ONLY</t>
        </is>
      </c>
    </row>
    <row r="696" ht="16" customHeight="1">
      <c r="A696" s="92" t="n">
        <v>692</v>
      </c>
      <c r="B696" s="93" t="inlineStr">
        <is>
          <t>Baroda BNP Paribas Gold ETF Fund of Funds Regular Growth</t>
        </is>
      </c>
      <c r="C696" s="93" t="inlineStr">
        <is>
          <t>Baroda BNP Paribas Mutual Fund</t>
        </is>
      </c>
      <c r="D696" s="93" t="inlineStr">
        <is>
          <t>Fof Domestic</t>
        </is>
      </c>
      <c r="E696" s="93" t="inlineStr">
        <is>
          <t>Gold</t>
        </is>
      </c>
      <c r="F696" s="94" t="n">
        <v>8.539999999999999</v>
      </c>
      <c r="G696" s="97" t="n">
        <v>-3.52</v>
      </c>
      <c r="H696" s="94" t="n">
        <v>0.92</v>
      </c>
      <c r="I696" s="94" t="n">
        <v>0</v>
      </c>
      <c r="J696" s="94" t="n">
        <v>0</v>
      </c>
      <c r="K696" s="94" t="n">
        <v>0</v>
      </c>
      <c r="L696" s="37" t="n">
        <v>36.6</v>
      </c>
      <c r="M696" s="18" t="n">
        <v>0</v>
      </c>
      <c r="N696" s="19" t="n">
        <v>20.1</v>
      </c>
      <c r="O696" s="108">
        <f>COUNTIFS($E:$E,$E696,$L:$L,"&gt;"&amp;$L696)+1</f>
        <v/>
      </c>
      <c r="P696" s="108">
        <f>COUNTIFS($E:$E,$E696,$M:$M,"&gt;"&amp;$M696)+1</f>
        <v/>
      </c>
      <c r="Q696" s="108">
        <f>COUNTIFS($E:$E,$E696,$N:$N,"&gt;"&amp;$N696)+1</f>
        <v/>
      </c>
      <c r="R696" s="95" t="inlineStr">
        <is>
          <t>📉 Weak</t>
        </is>
      </c>
      <c r="S696" s="95" t="inlineStr">
        <is>
          <t>⏳ New Fund</t>
        </is>
      </c>
      <c r="T696" s="95" t="inlineStr">
        <is>
          <t>⏳ New Fund</t>
        </is>
      </c>
      <c r="U696" s="96" t="inlineStr">
        <is>
          <t>MOMENTUM_ONLY</t>
        </is>
      </c>
    </row>
    <row r="697" ht="16" customHeight="1">
      <c r="A697" s="92" t="n">
        <v>693</v>
      </c>
      <c r="B697" s="93" t="inlineStr">
        <is>
          <t>Motilal Oswal Nifty 100 ETF</t>
        </is>
      </c>
      <c r="C697" s="93" t="inlineStr">
        <is>
          <t>Motilal Oswal Mutual Fund</t>
        </is>
      </c>
      <c r="D697" s="93" t="inlineStr">
        <is>
          <t>Other  Etfs</t>
        </is>
      </c>
      <c r="E697" s="93" t="inlineStr">
        <is>
          <t>Index Fund</t>
        </is>
      </c>
      <c r="F697" s="94" t="n">
        <v>0.18</v>
      </c>
      <c r="G697" s="94" t="n">
        <v>3.76</v>
      </c>
      <c r="H697" s="97" t="n">
        <v>-3.9</v>
      </c>
      <c r="I697" s="94" t="n">
        <v>0</v>
      </c>
      <c r="J697" s="94" t="n">
        <v>0</v>
      </c>
      <c r="K697" s="94" t="n">
        <v>0</v>
      </c>
      <c r="L697" s="37" t="n">
        <v>36.5</v>
      </c>
      <c r="M697" s="18" t="n">
        <v>0</v>
      </c>
      <c r="N697" s="19" t="n">
        <v>20.1</v>
      </c>
      <c r="O697" s="108">
        <f>COUNTIFS($E:$E,$E697,$L:$L,"&gt;"&amp;$L697)+1</f>
        <v/>
      </c>
      <c r="P697" s="108">
        <f>COUNTIFS($E:$E,$E697,$M:$M,"&gt;"&amp;$M697)+1</f>
        <v/>
      </c>
      <c r="Q697" s="108">
        <f>COUNTIFS($E:$E,$E697,$N:$N,"&gt;"&amp;$N697)+1</f>
        <v/>
      </c>
      <c r="R697" s="95" t="inlineStr">
        <is>
          <t>📉 Weak</t>
        </is>
      </c>
      <c r="S697" s="95" t="inlineStr">
        <is>
          <t>⏳ New Fund</t>
        </is>
      </c>
      <c r="T697" s="95" t="inlineStr">
        <is>
          <t>⏳ New Fund</t>
        </is>
      </c>
      <c r="U697" s="96" t="inlineStr">
        <is>
          <t>MOMENTUM_ONLY</t>
        </is>
      </c>
    </row>
    <row r="698" ht="16" customHeight="1">
      <c r="A698" s="92" t="n">
        <v>694</v>
      </c>
      <c r="B698" s="93" t="inlineStr">
        <is>
          <t>Bandhan Gold ETF</t>
        </is>
      </c>
      <c r="C698" s="93" t="inlineStr">
        <is>
          <t>Bandhan Mutual Fund</t>
        </is>
      </c>
      <c r="D698" s="93" t="inlineStr">
        <is>
          <t>Gold Etf</t>
        </is>
      </c>
      <c r="E698" s="93" t="inlineStr">
        <is>
          <t>Gold</t>
        </is>
      </c>
      <c r="F698" s="94" t="n">
        <v>8.880000000000001</v>
      </c>
      <c r="G698" s="97" t="n">
        <v>-3.09</v>
      </c>
      <c r="H698" s="94" t="n">
        <v>1.31</v>
      </c>
      <c r="I698" s="94" t="n">
        <v>0</v>
      </c>
      <c r="J698" s="94" t="n">
        <v>0</v>
      </c>
      <c r="K698" s="94" t="n">
        <v>0</v>
      </c>
      <c r="L698" s="37" t="n">
        <v>36.3</v>
      </c>
      <c r="M698" s="18" t="n">
        <v>0</v>
      </c>
      <c r="N698" s="19" t="n">
        <v>20</v>
      </c>
      <c r="O698" s="108">
        <f>COUNTIFS($E:$E,$E698,$L:$L,"&gt;"&amp;$L698)+1</f>
        <v/>
      </c>
      <c r="P698" s="108">
        <f>COUNTIFS($E:$E,$E698,$M:$M,"&gt;"&amp;$M698)+1</f>
        <v/>
      </c>
      <c r="Q698" s="108">
        <f>COUNTIFS($E:$E,$E698,$N:$N,"&gt;"&amp;$N698)+1</f>
        <v/>
      </c>
      <c r="R698" s="95" t="inlineStr">
        <is>
          <t>📉 Weak</t>
        </is>
      </c>
      <c r="S698" s="95" t="inlineStr">
        <is>
          <t>⏳ New Fund</t>
        </is>
      </c>
      <c r="T698" s="95" t="inlineStr">
        <is>
          <t>⏳ New Fund</t>
        </is>
      </c>
      <c r="U698" s="96" t="inlineStr">
        <is>
          <t>MOMENTUM_ONLY</t>
        </is>
      </c>
    </row>
    <row r="699" ht="16" customHeight="1">
      <c r="A699" s="92" t="n">
        <v>695</v>
      </c>
      <c r="B699" s="93" t="inlineStr">
        <is>
          <t>Nippon India Nifty IT Index Fund - Regular Plan - Growth Option</t>
        </is>
      </c>
      <c r="C699" s="93" t="inlineStr">
        <is>
          <t>Nippon India Mutual Fund</t>
        </is>
      </c>
      <c r="D699" s="93" t="inlineStr">
        <is>
          <t>Index Funds</t>
        </is>
      </c>
      <c r="E699" s="93" t="inlineStr">
        <is>
          <t>Index Fund</t>
        </is>
      </c>
      <c r="F699" s="94" t="n">
        <v>3.35</v>
      </c>
      <c r="G699" s="94" t="n">
        <v>3.44</v>
      </c>
      <c r="H699" s="97" t="n">
        <v>-7.23</v>
      </c>
      <c r="I699" s="97" t="n">
        <v>-12.26</v>
      </c>
      <c r="J699" s="97" t="n">
        <v>-12.94829122871855</v>
      </c>
      <c r="K699" s="94" t="n">
        <v>0</v>
      </c>
      <c r="L699" s="37" t="n">
        <v>35.9</v>
      </c>
      <c r="M699" s="18" t="n">
        <v>0</v>
      </c>
      <c r="N699" s="19" t="n">
        <v>19.8</v>
      </c>
      <c r="O699" s="108">
        <f>COUNTIFS($E:$E,$E699,$L:$L,"&gt;"&amp;$L699)+1</f>
        <v/>
      </c>
      <c r="P699" s="108">
        <f>COUNTIFS($E:$E,$E699,$M:$M,"&gt;"&amp;$M699)+1</f>
        <v/>
      </c>
      <c r="Q699" s="108">
        <f>COUNTIFS($E:$E,$E699,$N:$N,"&gt;"&amp;$N699)+1</f>
        <v/>
      </c>
      <c r="R699" s="95" t="inlineStr">
        <is>
          <t>📉 Weak</t>
        </is>
      </c>
      <c r="S699" s="95" t="inlineStr">
        <is>
          <t>⏳ New Fund</t>
        </is>
      </c>
      <c r="T699" s="95" t="inlineStr">
        <is>
          <t>⏳ New Fund</t>
        </is>
      </c>
      <c r="U699" s="96" t="inlineStr">
        <is>
          <t>MOMENTUM_ONLY</t>
        </is>
      </c>
    </row>
    <row r="700" ht="16" customHeight="1">
      <c r="A700" s="92" t="n">
        <v>696</v>
      </c>
      <c r="B700" s="93" t="inlineStr">
        <is>
          <t>Bandhan BSE India Sector Leaders Index Fund - Regular Plan - Growth</t>
        </is>
      </c>
      <c r="C700" s="93" t="inlineStr">
        <is>
          <t>Bandhan Mutual Fund</t>
        </is>
      </c>
      <c r="D700" s="93" t="inlineStr">
        <is>
          <t>Index Funds</t>
        </is>
      </c>
      <c r="E700" s="93" t="inlineStr">
        <is>
          <t>Index Fund</t>
        </is>
      </c>
      <c r="F700" s="94" t="n">
        <v>0.54</v>
      </c>
      <c r="G700" s="94" t="n">
        <v>3.58</v>
      </c>
      <c r="H700" s="97" t="n">
        <v>-2.26</v>
      </c>
      <c r="I700" s="94" t="n">
        <v>0</v>
      </c>
      <c r="J700" s="94" t="n">
        <v>0</v>
      </c>
      <c r="K700" s="94" t="n">
        <v>0</v>
      </c>
      <c r="L700" s="37" t="n">
        <v>35.4</v>
      </c>
      <c r="M700" s="18" t="n">
        <v>0</v>
      </c>
      <c r="N700" s="19" t="n">
        <v>19.5</v>
      </c>
      <c r="O700" s="108">
        <f>COUNTIFS($E:$E,$E700,$L:$L,"&gt;"&amp;$L700)+1</f>
        <v/>
      </c>
      <c r="P700" s="108">
        <f>COUNTIFS($E:$E,$E700,$M:$M,"&gt;"&amp;$M700)+1</f>
        <v/>
      </c>
      <c r="Q700" s="108">
        <f>COUNTIFS($E:$E,$E700,$N:$N,"&gt;"&amp;$N700)+1</f>
        <v/>
      </c>
      <c r="R700" s="95" t="inlineStr">
        <is>
          <t>📉 Weak</t>
        </is>
      </c>
      <c r="S700" s="95" t="inlineStr">
        <is>
          <t>⏳ New Fund</t>
        </is>
      </c>
      <c r="T700" s="95" t="inlineStr">
        <is>
          <t>⏳ New Fund</t>
        </is>
      </c>
      <c r="U700" s="96" t="inlineStr">
        <is>
          <t>MOMENTUM_ONLY</t>
        </is>
      </c>
    </row>
    <row r="701" ht="16" customHeight="1">
      <c r="A701" s="92" t="n">
        <v>697</v>
      </c>
      <c r="B701" s="93" t="inlineStr">
        <is>
          <t>Axis BSE India Sectors Leaders Index Fund- Regular Plan- Growth Option</t>
        </is>
      </c>
      <c r="C701" s="93" t="inlineStr">
        <is>
          <t>Axis Mutual Fund</t>
        </is>
      </c>
      <c r="D701" s="93" t="inlineStr">
        <is>
          <t>Index Funds</t>
        </is>
      </c>
      <c r="E701" s="93" t="inlineStr">
        <is>
          <t>Index Fund</t>
        </is>
      </c>
      <c r="F701" s="94" t="n">
        <v>0.53</v>
      </c>
      <c r="G701" s="94" t="n">
        <v>3.59</v>
      </c>
      <c r="H701" s="97" t="n">
        <v>-2.28</v>
      </c>
      <c r="I701" s="94" t="n">
        <v>0</v>
      </c>
      <c r="J701" s="94" t="n">
        <v>0</v>
      </c>
      <c r="K701" s="94" t="n">
        <v>0</v>
      </c>
      <c r="L701" s="37" t="n">
        <v>35.2</v>
      </c>
      <c r="M701" s="18" t="n">
        <v>0</v>
      </c>
      <c r="N701" s="19" t="n">
        <v>19.4</v>
      </c>
      <c r="O701" s="108">
        <f>COUNTIFS($E:$E,$E701,$L:$L,"&gt;"&amp;$L701)+1</f>
        <v/>
      </c>
      <c r="P701" s="108">
        <f>COUNTIFS($E:$E,$E701,$M:$M,"&gt;"&amp;$M701)+1</f>
        <v/>
      </c>
      <c r="Q701" s="108">
        <f>COUNTIFS($E:$E,$E701,$N:$N,"&gt;"&amp;$N701)+1</f>
        <v/>
      </c>
      <c r="R701" s="95" t="inlineStr">
        <is>
          <t>📉 Weak</t>
        </is>
      </c>
      <c r="S701" s="95" t="inlineStr">
        <is>
          <t>⏳ New Fund</t>
        </is>
      </c>
      <c r="T701" s="95" t="inlineStr">
        <is>
          <t>⏳ New Fund</t>
        </is>
      </c>
      <c r="U701" s="96" t="inlineStr">
        <is>
          <t>MOMENTUM_ONLY</t>
        </is>
      </c>
    </row>
    <row r="702" ht="16" customHeight="1">
      <c r="A702" s="92" t="n">
        <v>698</v>
      </c>
      <c r="B702" s="93" t="inlineStr">
        <is>
          <t>Union Gold ETF</t>
        </is>
      </c>
      <c r="C702" s="93" t="inlineStr">
        <is>
          <t>Union Mutual Fund</t>
        </is>
      </c>
      <c r="D702" s="93" t="inlineStr">
        <is>
          <t>Gold Etf</t>
        </is>
      </c>
      <c r="E702" s="93" t="inlineStr">
        <is>
          <t>Gold</t>
        </is>
      </c>
      <c r="F702" s="94" t="n">
        <v>8.890000000000001</v>
      </c>
      <c r="G702" s="97" t="n">
        <v>-3.13</v>
      </c>
      <c r="H702" s="94" t="n">
        <v>1.31</v>
      </c>
      <c r="I702" s="94" t="n">
        <v>51.72</v>
      </c>
      <c r="J702" s="94" t="n">
        <v>0</v>
      </c>
      <c r="K702" s="94" t="n">
        <v>0</v>
      </c>
      <c r="L702" s="37" t="n">
        <v>35.1</v>
      </c>
      <c r="M702" s="18" t="n">
        <v>0</v>
      </c>
      <c r="N702" s="19" t="n">
        <v>19.3</v>
      </c>
      <c r="O702" s="108">
        <f>COUNTIFS($E:$E,$E702,$L:$L,"&gt;"&amp;$L702)+1</f>
        <v/>
      </c>
      <c r="P702" s="108">
        <f>COUNTIFS($E:$E,$E702,$M:$M,"&gt;"&amp;$M702)+1</f>
        <v/>
      </c>
      <c r="Q702" s="108">
        <f>COUNTIFS($E:$E,$E702,$N:$N,"&gt;"&amp;$N702)+1</f>
        <v/>
      </c>
      <c r="R702" s="95" t="inlineStr">
        <is>
          <t>📉 Weak</t>
        </is>
      </c>
      <c r="S702" s="95" t="inlineStr">
        <is>
          <t>⏳ New Fund</t>
        </is>
      </c>
      <c r="T702" s="95" t="inlineStr">
        <is>
          <t>⏳ New Fund</t>
        </is>
      </c>
      <c r="U702" s="96" t="inlineStr">
        <is>
          <t>MOMENTUM_ONLY</t>
        </is>
      </c>
    </row>
    <row r="703" ht="16" customHeight="1">
      <c r="A703" s="92" t="n">
        <v>699</v>
      </c>
      <c r="B703" s="93" t="inlineStr">
        <is>
          <t>Axis Nifty500 Value 50 Index Fund - Regular Plan - Growth Option</t>
        </is>
      </c>
      <c r="C703" s="93" t="inlineStr">
        <is>
          <t>Axis Mutual Fund</t>
        </is>
      </c>
      <c r="D703" s="93" t="inlineStr">
        <is>
          <t>Index Funds</t>
        </is>
      </c>
      <c r="E703" s="93" t="inlineStr">
        <is>
          <t>Index Fund</t>
        </is>
      </c>
      <c r="F703" s="94" t="n">
        <v>0.39</v>
      </c>
      <c r="G703" s="97" t="n">
        <v>-1.94</v>
      </c>
      <c r="H703" s="97" t="n">
        <v>-3.45</v>
      </c>
      <c r="I703" s="94" t="n">
        <v>16.36</v>
      </c>
      <c r="J703" s="94" t="n">
        <v>0</v>
      </c>
      <c r="K703" s="94" t="n">
        <v>0</v>
      </c>
      <c r="L703" s="37" t="n">
        <v>34.9</v>
      </c>
      <c r="M703" s="18" t="n">
        <v>0</v>
      </c>
      <c r="N703" s="19" t="n">
        <v>19.2</v>
      </c>
      <c r="O703" s="108">
        <f>COUNTIFS($E:$E,$E703,$L:$L,"&gt;"&amp;$L703)+1</f>
        <v/>
      </c>
      <c r="P703" s="108">
        <f>COUNTIFS($E:$E,$E703,$M:$M,"&gt;"&amp;$M703)+1</f>
        <v/>
      </c>
      <c r="Q703" s="108">
        <f>COUNTIFS($E:$E,$E703,$N:$N,"&gt;"&amp;$N703)+1</f>
        <v/>
      </c>
      <c r="R703" s="95" t="inlineStr">
        <is>
          <t>📉 Weak</t>
        </is>
      </c>
      <c r="S703" s="95" t="inlineStr">
        <is>
          <t>⏳ New Fund</t>
        </is>
      </c>
      <c r="T703" s="95" t="inlineStr">
        <is>
          <t>⏳ New Fund</t>
        </is>
      </c>
      <c r="U703" s="96" t="inlineStr">
        <is>
          <t>MOMENTUM_ONLY</t>
        </is>
      </c>
    </row>
    <row r="704" ht="16" customHeight="1">
      <c r="A704" s="92" t="n">
        <v>700</v>
      </c>
      <c r="B704" s="93" t="inlineStr">
        <is>
          <t>Bandhan Nifty IT Index Fund - Regular Plan - Growth</t>
        </is>
      </c>
      <c r="C704" s="93" t="inlineStr">
        <is>
          <t>Bandhan Mutual Fund</t>
        </is>
      </c>
      <c r="D704" s="93" t="inlineStr">
        <is>
          <t>Index Funds</t>
        </is>
      </c>
      <c r="E704" s="93" t="inlineStr">
        <is>
          <t>Index Fund</t>
        </is>
      </c>
      <c r="F704" s="94" t="n">
        <v>3.35</v>
      </c>
      <c r="G704" s="94" t="n">
        <v>3.36</v>
      </c>
      <c r="H704" s="97" t="n">
        <v>-7.34</v>
      </c>
      <c r="I704" s="97" t="n">
        <v>-12.5</v>
      </c>
      <c r="J704" s="97" t="n">
        <v>-13.14955382958588</v>
      </c>
      <c r="K704" s="94" t="n">
        <v>0</v>
      </c>
      <c r="L704" s="37" t="n">
        <v>34.8</v>
      </c>
      <c r="M704" s="18" t="n">
        <v>0</v>
      </c>
      <c r="N704" s="19" t="n">
        <v>19.1</v>
      </c>
      <c r="O704" s="108">
        <f>COUNTIFS($E:$E,$E704,$L:$L,"&gt;"&amp;$L704)+1</f>
        <v/>
      </c>
      <c r="P704" s="108">
        <f>COUNTIFS($E:$E,$E704,$M:$M,"&gt;"&amp;$M704)+1</f>
        <v/>
      </c>
      <c r="Q704" s="108">
        <f>COUNTIFS($E:$E,$E704,$N:$N,"&gt;"&amp;$N704)+1</f>
        <v/>
      </c>
      <c r="R704" s="95" t="inlineStr">
        <is>
          <t>📉 Weak</t>
        </is>
      </c>
      <c r="S704" s="95" t="inlineStr">
        <is>
          <t>⏳ New Fund</t>
        </is>
      </c>
      <c r="T704" s="95" t="inlineStr">
        <is>
          <t>⏳ New Fund</t>
        </is>
      </c>
      <c r="U704" s="96" t="inlineStr">
        <is>
          <t>MOMENTUM_ONLY</t>
        </is>
      </c>
    </row>
    <row r="705" ht="16" customHeight="1">
      <c r="A705" s="92" t="n">
        <v>701</v>
      </c>
      <c r="B705" s="93" t="inlineStr">
        <is>
          <t>Bandhan Nifty 500 Value 50 Index Fund Regular Plan - Growth</t>
        </is>
      </c>
      <c r="C705" s="93" t="inlineStr">
        <is>
          <t>Bandhan Mutual Fund</t>
        </is>
      </c>
      <c r="D705" s="93" t="inlineStr">
        <is>
          <t>Index Funds</t>
        </is>
      </c>
      <c r="E705" s="93" t="inlineStr">
        <is>
          <t>Index Fund</t>
        </is>
      </c>
      <c r="F705" s="94" t="n">
        <v>0.39</v>
      </c>
      <c r="G705" s="97" t="n">
        <v>-2.03</v>
      </c>
      <c r="H705" s="97" t="n">
        <v>-3.66</v>
      </c>
      <c r="I705" s="94" t="n">
        <v>16.12</v>
      </c>
      <c r="J705" s="94" t="n">
        <v>0</v>
      </c>
      <c r="K705" s="94" t="n">
        <v>0</v>
      </c>
      <c r="L705" s="37" t="n">
        <v>34.4</v>
      </c>
      <c r="M705" s="18" t="n">
        <v>0</v>
      </c>
      <c r="N705" s="19" t="n">
        <v>18.9</v>
      </c>
      <c r="O705" s="108">
        <f>COUNTIFS($E:$E,$E705,$L:$L,"&gt;"&amp;$L705)+1</f>
        <v/>
      </c>
      <c r="P705" s="108">
        <f>COUNTIFS($E:$E,$E705,$M:$M,"&gt;"&amp;$M705)+1</f>
        <v/>
      </c>
      <c r="Q705" s="108">
        <f>COUNTIFS($E:$E,$E705,$N:$N,"&gt;"&amp;$N705)+1</f>
        <v/>
      </c>
      <c r="R705" s="95" t="inlineStr">
        <is>
          <t>📉 Weak</t>
        </is>
      </c>
      <c r="S705" s="95" t="inlineStr">
        <is>
          <t>⏳ New Fund</t>
        </is>
      </c>
      <c r="T705" s="95" t="inlineStr">
        <is>
          <t>⏳ New Fund</t>
        </is>
      </c>
      <c r="U705" s="96" t="inlineStr">
        <is>
          <t>MOMENTUM_ONLY</t>
        </is>
      </c>
    </row>
    <row r="706" ht="16" customHeight="1">
      <c r="A706" s="92" t="n">
        <v>702</v>
      </c>
      <c r="B706" s="93" t="inlineStr">
        <is>
          <t>Axis Gold and Silver Passive FOF - Regular Plan - Growth</t>
        </is>
      </c>
      <c r="C706" s="93" t="inlineStr">
        <is>
          <t>Axis Mutual Fund</t>
        </is>
      </c>
      <c r="D706" s="93" t="inlineStr">
        <is>
          <t>Fof Domestic</t>
        </is>
      </c>
      <c r="E706" s="93" t="inlineStr">
        <is>
          <t>Silver</t>
        </is>
      </c>
      <c r="F706" s="94" t="n">
        <v>8.699999999999999</v>
      </c>
      <c r="G706" s="97" t="n">
        <v>-7.37</v>
      </c>
      <c r="H706" s="94" t="n">
        <v>0.43</v>
      </c>
      <c r="I706" s="94" t="n">
        <v>0</v>
      </c>
      <c r="J706" s="94" t="n">
        <v>0</v>
      </c>
      <c r="K706" s="94" t="n">
        <v>0</v>
      </c>
      <c r="L706" s="37" t="n">
        <v>34.2</v>
      </c>
      <c r="M706" s="18" t="n">
        <v>0</v>
      </c>
      <c r="N706" s="19" t="n">
        <v>18.8</v>
      </c>
      <c r="O706" s="108">
        <f>COUNTIFS($E:$E,$E706,$L:$L,"&gt;"&amp;$L706)+1</f>
        <v/>
      </c>
      <c r="P706" s="108">
        <f>COUNTIFS($E:$E,$E706,$M:$M,"&gt;"&amp;$M706)+1</f>
        <v/>
      </c>
      <c r="Q706" s="108">
        <f>COUNTIFS($E:$E,$E706,$N:$N,"&gt;"&amp;$N706)+1</f>
        <v/>
      </c>
      <c r="R706" s="95" t="inlineStr">
        <is>
          <t>📉 Weak</t>
        </is>
      </c>
      <c r="S706" s="95" t="inlineStr">
        <is>
          <t>⏳ New Fund</t>
        </is>
      </c>
      <c r="T706" s="95" t="inlineStr">
        <is>
          <t>⏳ New Fund</t>
        </is>
      </c>
      <c r="U706" s="96" t="inlineStr">
        <is>
          <t>MOMENTUM_ONLY</t>
        </is>
      </c>
    </row>
    <row r="707" ht="16" customHeight="1">
      <c r="A707" s="92" t="n">
        <v>703</v>
      </c>
      <c r="B707" s="93" t="inlineStr">
        <is>
          <t>SBI Nifty Bank Index Fund- Regular Plan- Income Distribution Cum Capital Withdrawal Option</t>
        </is>
      </c>
      <c r="C707" s="93" t="inlineStr">
        <is>
          <t>SBI Mutual Fund</t>
        </is>
      </c>
      <c r="D707" s="93" t="inlineStr">
        <is>
          <t>Index Funds</t>
        </is>
      </c>
      <c r="E707" s="93" t="inlineStr">
        <is>
          <t>Banking/Financial</t>
        </is>
      </c>
      <c r="F707" s="97" t="n">
        <v>-2.05</v>
      </c>
      <c r="G707" s="94" t="n">
        <v>7.51</v>
      </c>
      <c r="H707" s="97" t="n">
        <v>-6.6</v>
      </c>
      <c r="I707" s="94" t="n">
        <v>3.53</v>
      </c>
      <c r="J707" s="94" t="n">
        <v>0</v>
      </c>
      <c r="K707" s="94" t="n">
        <v>0</v>
      </c>
      <c r="L707" s="37" t="n">
        <v>33.3</v>
      </c>
      <c r="M707" s="18" t="n">
        <v>0</v>
      </c>
      <c r="N707" s="19" t="n">
        <v>18.3</v>
      </c>
      <c r="O707" s="108">
        <f>COUNTIFS($E:$E,$E707,$L:$L,"&gt;"&amp;$L707)+1</f>
        <v/>
      </c>
      <c r="P707" s="108">
        <f>COUNTIFS($E:$E,$E707,$M:$M,"&gt;"&amp;$M707)+1</f>
        <v/>
      </c>
      <c r="Q707" s="108">
        <f>COUNTIFS($E:$E,$E707,$N:$N,"&gt;"&amp;$N707)+1</f>
        <v/>
      </c>
      <c r="R707" s="95" t="inlineStr">
        <is>
          <t>📉 Weak</t>
        </is>
      </c>
      <c r="S707" s="95" t="inlineStr">
        <is>
          <t>⏳ New Fund</t>
        </is>
      </c>
      <c r="T707" s="95" t="inlineStr">
        <is>
          <t>⏳ New Fund</t>
        </is>
      </c>
      <c r="U707" s="96" t="inlineStr">
        <is>
          <t>MOMENTUM_ONLY</t>
        </is>
      </c>
    </row>
    <row r="708" ht="16" customHeight="1">
      <c r="A708" s="92" t="n">
        <v>704</v>
      </c>
      <c r="B708" s="93" t="inlineStr">
        <is>
          <t>SBI Nifty Bank Index Fund-Regular Plan- Growth</t>
        </is>
      </c>
      <c r="C708" s="93" t="inlineStr">
        <is>
          <t>SBI Mutual Fund</t>
        </is>
      </c>
      <c r="D708" s="93" t="inlineStr">
        <is>
          <t>Index Funds</t>
        </is>
      </c>
      <c r="E708" s="93" t="inlineStr">
        <is>
          <t>Banking/Financial</t>
        </is>
      </c>
      <c r="F708" s="97" t="n">
        <v>-2.05</v>
      </c>
      <c r="G708" s="94" t="n">
        <v>7.51</v>
      </c>
      <c r="H708" s="97" t="n">
        <v>-6.6</v>
      </c>
      <c r="I708" s="94" t="n">
        <v>3.53</v>
      </c>
      <c r="J708" s="94" t="n">
        <v>0</v>
      </c>
      <c r="K708" s="94" t="n">
        <v>0</v>
      </c>
      <c r="L708" s="37" t="n">
        <v>33.3</v>
      </c>
      <c r="M708" s="18" t="n">
        <v>0</v>
      </c>
      <c r="N708" s="19" t="n">
        <v>18.3</v>
      </c>
      <c r="O708" s="108">
        <f>COUNTIFS($E:$E,$E708,$L:$L,"&gt;"&amp;$L708)+1</f>
        <v/>
      </c>
      <c r="P708" s="108">
        <f>COUNTIFS($E:$E,$E708,$M:$M,"&gt;"&amp;$M708)+1</f>
        <v/>
      </c>
      <c r="Q708" s="108">
        <f>COUNTIFS($E:$E,$E708,$N:$N,"&gt;"&amp;$N708)+1</f>
        <v/>
      </c>
      <c r="R708" s="95" t="inlineStr">
        <is>
          <t>📉 Weak</t>
        </is>
      </c>
      <c r="S708" s="95" t="inlineStr">
        <is>
          <t>⏳ New Fund</t>
        </is>
      </c>
      <c r="T708" s="95" t="inlineStr">
        <is>
          <t>⏳ New Fund</t>
        </is>
      </c>
      <c r="U708" s="96" t="inlineStr">
        <is>
          <t>MOMENTUM_ONLY</t>
        </is>
      </c>
    </row>
    <row r="709" ht="16" customHeight="1">
      <c r="A709" s="92" t="n">
        <v>705</v>
      </c>
      <c r="B709" s="93" t="inlineStr">
        <is>
          <t>Kotak BSE PSU Index Fund - Regular Plan - Growth</t>
        </is>
      </c>
      <c r="C709" s="93" t="inlineStr">
        <is>
          <t>Kotak Mahindra Mutual Fund</t>
        </is>
      </c>
      <c r="D709" s="93" t="inlineStr">
        <is>
          <t>Index Funds</t>
        </is>
      </c>
      <c r="E709" s="93" t="inlineStr">
        <is>
          <t>Index Fund</t>
        </is>
      </c>
      <c r="F709" s="94" t="n">
        <v>0.57</v>
      </c>
      <c r="G709" s="97" t="n">
        <v>-0.54</v>
      </c>
      <c r="H709" s="97" t="n">
        <v>-6.58</v>
      </c>
      <c r="I709" s="94" t="n">
        <v>10.46</v>
      </c>
      <c r="J709" s="97" t="n">
        <v>-0.4660861816435991</v>
      </c>
      <c r="K709" s="94" t="n">
        <v>0</v>
      </c>
      <c r="L709" s="37" t="n">
        <v>33.1</v>
      </c>
      <c r="M709" s="18" t="n">
        <v>0</v>
      </c>
      <c r="N709" s="19" t="n">
        <v>18.2</v>
      </c>
      <c r="O709" s="108">
        <f>COUNTIFS($E:$E,$E709,$L:$L,"&gt;"&amp;$L709)+1</f>
        <v/>
      </c>
      <c r="P709" s="108">
        <f>COUNTIFS($E:$E,$E709,$M:$M,"&gt;"&amp;$M709)+1</f>
        <v/>
      </c>
      <c r="Q709" s="108">
        <f>COUNTIFS($E:$E,$E709,$N:$N,"&gt;"&amp;$N709)+1</f>
        <v/>
      </c>
      <c r="R709" s="95" t="inlineStr">
        <is>
          <t>📉 Weak</t>
        </is>
      </c>
      <c r="S709" s="95" t="inlineStr">
        <is>
          <t>⏳ New Fund</t>
        </is>
      </c>
      <c r="T709" s="95" t="inlineStr">
        <is>
          <t>⏳ New Fund</t>
        </is>
      </c>
      <c r="U709" s="96" t="inlineStr">
        <is>
          <t>MOMENTUM_ONLY</t>
        </is>
      </c>
    </row>
    <row r="710" ht="16" customHeight="1">
      <c r="A710" s="92" t="n">
        <v>706</v>
      </c>
      <c r="B710" s="93" t="inlineStr">
        <is>
          <t>ICICI Prudential Nifty200 Value 30 Index Fund - Growth</t>
        </is>
      </c>
      <c r="C710" s="93" t="inlineStr">
        <is>
          <t>ICICI Prudential Mutual Fund</t>
        </is>
      </c>
      <c r="D710" s="93" t="inlineStr">
        <is>
          <t>Index Funds</t>
        </is>
      </c>
      <c r="E710" s="93" t="inlineStr">
        <is>
          <t>Index Fund</t>
        </is>
      </c>
      <c r="F710" s="97" t="n">
        <v>-0.3</v>
      </c>
      <c r="G710" s="97" t="n">
        <v>-1.87</v>
      </c>
      <c r="H710" s="97" t="n">
        <v>-5.61</v>
      </c>
      <c r="I710" s="94" t="n">
        <v>17.55</v>
      </c>
      <c r="J710" s="94" t="n">
        <v>0</v>
      </c>
      <c r="K710" s="94" t="n">
        <v>0</v>
      </c>
      <c r="L710" s="37" t="n">
        <v>33</v>
      </c>
      <c r="M710" s="18" t="n">
        <v>0</v>
      </c>
      <c r="N710" s="19" t="n">
        <v>18.1</v>
      </c>
      <c r="O710" s="108">
        <f>COUNTIFS($E:$E,$E710,$L:$L,"&gt;"&amp;$L710)+1</f>
        <v/>
      </c>
      <c r="P710" s="108">
        <f>COUNTIFS($E:$E,$E710,$M:$M,"&gt;"&amp;$M710)+1</f>
        <v/>
      </c>
      <c r="Q710" s="108">
        <f>COUNTIFS($E:$E,$E710,$N:$N,"&gt;"&amp;$N710)+1</f>
        <v/>
      </c>
      <c r="R710" s="95" t="inlineStr">
        <is>
          <t>📉 Weak</t>
        </is>
      </c>
      <c r="S710" s="95" t="inlineStr">
        <is>
          <t>⏳ New Fund</t>
        </is>
      </c>
      <c r="T710" s="95" t="inlineStr">
        <is>
          <t>⏳ New Fund</t>
        </is>
      </c>
      <c r="U710" s="96" t="inlineStr">
        <is>
          <t>MOMENTUM_ONLY</t>
        </is>
      </c>
    </row>
    <row r="711" ht="16" customHeight="1">
      <c r="A711" s="92" t="n">
        <v>707</v>
      </c>
      <c r="B711" s="93" t="inlineStr">
        <is>
          <t>Choice Gold ETF</t>
        </is>
      </c>
      <c r="C711" s="93" t="inlineStr">
        <is>
          <t>Choice Mutual Fund</t>
        </is>
      </c>
      <c r="D711" s="93" t="inlineStr">
        <is>
          <t>Gold Etf</t>
        </is>
      </c>
      <c r="E711" s="93" t="inlineStr">
        <is>
          <t>Gold</t>
        </is>
      </c>
      <c r="F711" s="94" t="n">
        <v>8.970000000000001</v>
      </c>
      <c r="G711" s="97" t="n">
        <v>-3.11</v>
      </c>
      <c r="H711" s="94" t="n">
        <v>1.27</v>
      </c>
      <c r="I711" s="94" t="n">
        <v>0</v>
      </c>
      <c r="J711" s="94" t="n">
        <v>0</v>
      </c>
      <c r="K711" s="94" t="n">
        <v>0</v>
      </c>
      <c r="L711" s="37" t="n">
        <v>33</v>
      </c>
      <c r="M711" s="18" t="n">
        <v>0</v>
      </c>
      <c r="N711" s="19" t="n">
        <v>18.1</v>
      </c>
      <c r="O711" s="108">
        <f>COUNTIFS($E:$E,$E711,$L:$L,"&gt;"&amp;$L711)+1</f>
        <v/>
      </c>
      <c r="P711" s="108">
        <f>COUNTIFS($E:$E,$E711,$M:$M,"&gt;"&amp;$M711)+1</f>
        <v/>
      </c>
      <c r="Q711" s="108">
        <f>COUNTIFS($E:$E,$E711,$N:$N,"&gt;"&amp;$N711)+1</f>
        <v/>
      </c>
      <c r="R711" s="95" t="inlineStr">
        <is>
          <t>📉 Weak</t>
        </is>
      </c>
      <c r="S711" s="95" t="inlineStr">
        <is>
          <t>⏳ New Fund</t>
        </is>
      </c>
      <c r="T711" s="95" t="inlineStr">
        <is>
          <t>⏳ New Fund</t>
        </is>
      </c>
      <c r="U711" s="96" t="inlineStr">
        <is>
          <t>MOMENTUM_ONLY</t>
        </is>
      </c>
    </row>
    <row r="712" ht="16" customHeight="1">
      <c r="A712" s="92" t="n">
        <v>708</v>
      </c>
      <c r="B712" s="93" t="inlineStr">
        <is>
          <t>Mirae Asset Gold Silver Passive FoF - Regular Plan - Growth</t>
        </is>
      </c>
      <c r="C712" s="93" t="inlineStr">
        <is>
          <t>Mirae Asset Mutual Fund</t>
        </is>
      </c>
      <c r="D712" s="93" t="inlineStr">
        <is>
          <t>Fof Domestic</t>
        </is>
      </c>
      <c r="E712" s="93" t="inlineStr">
        <is>
          <t>Silver</t>
        </is>
      </c>
      <c r="F712" s="94" t="n">
        <v>8.73</v>
      </c>
      <c r="G712" s="97" t="n">
        <v>-7.22</v>
      </c>
      <c r="H712" s="97" t="n">
        <v>-0.17</v>
      </c>
      <c r="I712" s="94" t="n">
        <v>0</v>
      </c>
      <c r="J712" s="94" t="n">
        <v>0</v>
      </c>
      <c r="K712" s="94" t="n">
        <v>0</v>
      </c>
      <c r="L712" s="37" t="n">
        <v>32.7</v>
      </c>
      <c r="M712" s="18" t="n">
        <v>0</v>
      </c>
      <c r="N712" s="19" t="n">
        <v>18</v>
      </c>
      <c r="O712" s="108">
        <f>COUNTIFS($E:$E,$E712,$L:$L,"&gt;"&amp;$L712)+1</f>
        <v/>
      </c>
      <c r="P712" s="108">
        <f>COUNTIFS($E:$E,$E712,$M:$M,"&gt;"&amp;$M712)+1</f>
        <v/>
      </c>
      <c r="Q712" s="108">
        <f>COUNTIFS($E:$E,$E712,$N:$N,"&gt;"&amp;$N712)+1</f>
        <v/>
      </c>
      <c r="R712" s="95" t="inlineStr">
        <is>
          <t>📉 Weak</t>
        </is>
      </c>
      <c r="S712" s="95" t="inlineStr">
        <is>
          <t>⏳ New Fund</t>
        </is>
      </c>
      <c r="T712" s="95" t="inlineStr">
        <is>
          <t>⏳ New Fund</t>
        </is>
      </c>
      <c r="U712" s="96" t="inlineStr">
        <is>
          <t>MOMENTUM_ONLY</t>
        </is>
      </c>
    </row>
    <row r="713" ht="16" customHeight="1">
      <c r="A713" s="92" t="n">
        <v>709</v>
      </c>
      <c r="B713" s="93" t="inlineStr">
        <is>
          <t>Edelweiss Silver ETF Fund of Fund - Regular Plan Growth Option</t>
        </is>
      </c>
      <c r="C713" s="93" t="inlineStr">
        <is>
          <t>Edelweiss Mutual Fund</t>
        </is>
      </c>
      <c r="D713" s="93" t="inlineStr">
        <is>
          <t>Fof Domestic</t>
        </is>
      </c>
      <c r="E713" s="93" t="inlineStr">
        <is>
          <t>Silver</t>
        </is>
      </c>
      <c r="F713" s="94" t="n">
        <v>8.869999999999999</v>
      </c>
      <c r="G713" s="97" t="n">
        <v>-11.84</v>
      </c>
      <c r="H713" s="97" t="n">
        <v>-0.27</v>
      </c>
      <c r="I713" s="94" t="n">
        <v>0</v>
      </c>
      <c r="J713" s="94" t="n">
        <v>0</v>
      </c>
      <c r="K713" s="94" t="n">
        <v>0</v>
      </c>
      <c r="L713" s="37" t="n">
        <v>32.4</v>
      </c>
      <c r="M713" s="18" t="n">
        <v>0</v>
      </c>
      <c r="N713" s="19" t="n">
        <v>17.8</v>
      </c>
      <c r="O713" s="108">
        <f>COUNTIFS($E:$E,$E713,$L:$L,"&gt;"&amp;$L713)+1</f>
        <v/>
      </c>
      <c r="P713" s="108">
        <f>COUNTIFS($E:$E,$E713,$M:$M,"&gt;"&amp;$M713)+1</f>
        <v/>
      </c>
      <c r="Q713" s="108">
        <f>COUNTIFS($E:$E,$E713,$N:$N,"&gt;"&amp;$N713)+1</f>
        <v/>
      </c>
      <c r="R713" s="95" t="inlineStr">
        <is>
          <t>📉 Weak</t>
        </is>
      </c>
      <c r="S713" s="95" t="inlineStr">
        <is>
          <t>⏳ New Fund</t>
        </is>
      </c>
      <c r="T713" s="95" t="inlineStr">
        <is>
          <t>⏳ New Fund</t>
        </is>
      </c>
      <c r="U713" s="96" t="inlineStr">
        <is>
          <t>MOMENTUM_ONLY</t>
        </is>
      </c>
    </row>
    <row r="714" ht="16" customHeight="1">
      <c r="A714" s="92" t="n">
        <v>710</v>
      </c>
      <c r="B714" s="93" t="inlineStr">
        <is>
          <t>Edelweiss BSE Capital Markets &amp; Insurance  ETF - Growth</t>
        </is>
      </c>
      <c r="C714" s="93" t="inlineStr">
        <is>
          <t>Edelweiss Mutual Fund</t>
        </is>
      </c>
      <c r="D714" s="93" t="inlineStr">
        <is>
          <t>Other  Etfs</t>
        </is>
      </c>
      <c r="E714" s="93" t="inlineStr">
        <is>
          <t>Index Fund</t>
        </is>
      </c>
      <c r="F714" s="97" t="n">
        <v>-0.64</v>
      </c>
      <c r="G714" s="97" t="n">
        <v>-2.77</v>
      </c>
      <c r="H714" s="97" t="n">
        <v>-2.67</v>
      </c>
      <c r="I714" s="94" t="n">
        <v>3.08</v>
      </c>
      <c r="J714" s="94" t="n">
        <v>0</v>
      </c>
      <c r="K714" s="94" t="n">
        <v>0</v>
      </c>
      <c r="L714" s="37" t="n">
        <v>32.3</v>
      </c>
      <c r="M714" s="18" t="n">
        <v>0</v>
      </c>
      <c r="N714" s="19" t="n">
        <v>17.8</v>
      </c>
      <c r="O714" s="108">
        <f>COUNTIFS($E:$E,$E714,$L:$L,"&gt;"&amp;$L714)+1</f>
        <v/>
      </c>
      <c r="P714" s="108">
        <f>COUNTIFS($E:$E,$E714,$M:$M,"&gt;"&amp;$M714)+1</f>
        <v/>
      </c>
      <c r="Q714" s="108">
        <f>COUNTIFS($E:$E,$E714,$N:$N,"&gt;"&amp;$N714)+1</f>
        <v/>
      </c>
      <c r="R714" s="95" t="inlineStr">
        <is>
          <t>📉 Weak</t>
        </is>
      </c>
      <c r="S714" s="95" t="inlineStr">
        <is>
          <t>⏳ New Fund</t>
        </is>
      </c>
      <c r="T714" s="95" t="inlineStr">
        <is>
          <t>⏳ New Fund</t>
        </is>
      </c>
      <c r="U714" s="96" t="inlineStr">
        <is>
          <t>MOMENTUM_ONLY</t>
        </is>
      </c>
    </row>
    <row r="715" ht="16" customHeight="1">
      <c r="A715" s="92" t="n">
        <v>711</v>
      </c>
      <c r="B715" s="93" t="inlineStr">
        <is>
          <t>Nippon India Nifty Bank Index Fund - Regular Plan - Growth Option</t>
        </is>
      </c>
      <c r="C715" s="93" t="inlineStr">
        <is>
          <t>Nippon India Mutual Fund</t>
        </is>
      </c>
      <c r="D715" s="93" t="inlineStr">
        <is>
          <t>Index Funds</t>
        </is>
      </c>
      <c r="E715" s="93" t="inlineStr">
        <is>
          <t>Banking/Financial</t>
        </is>
      </c>
      <c r="F715" s="97" t="n">
        <v>-2.06</v>
      </c>
      <c r="G715" s="94" t="n">
        <v>7.47</v>
      </c>
      <c r="H715" s="97" t="n">
        <v>-6.8</v>
      </c>
      <c r="I715" s="94" t="n">
        <v>3.19</v>
      </c>
      <c r="J715" s="94" t="n">
        <v>6.240293674292907</v>
      </c>
      <c r="K715" s="94" t="n">
        <v>0</v>
      </c>
      <c r="L715" s="37" t="n">
        <v>32.2</v>
      </c>
      <c r="M715" s="18" t="n">
        <v>0</v>
      </c>
      <c r="N715" s="19" t="n">
        <v>17.7</v>
      </c>
      <c r="O715" s="108">
        <f>COUNTIFS($E:$E,$E715,$L:$L,"&gt;"&amp;$L715)+1</f>
        <v/>
      </c>
      <c r="P715" s="108">
        <f>COUNTIFS($E:$E,$E715,$M:$M,"&gt;"&amp;$M715)+1</f>
        <v/>
      </c>
      <c r="Q715" s="108">
        <f>COUNTIFS($E:$E,$E715,$N:$N,"&gt;"&amp;$N715)+1</f>
        <v/>
      </c>
      <c r="R715" s="95" t="inlineStr">
        <is>
          <t>📉 Weak</t>
        </is>
      </c>
      <c r="S715" s="95" t="inlineStr">
        <is>
          <t>⏳ New Fund</t>
        </is>
      </c>
      <c r="T715" s="95" t="inlineStr">
        <is>
          <t>⏳ New Fund</t>
        </is>
      </c>
      <c r="U715" s="96" t="inlineStr">
        <is>
          <t>MOMENTUM_ONLY</t>
        </is>
      </c>
    </row>
    <row r="716" ht="16" customHeight="1">
      <c r="A716" s="92" t="n">
        <v>712</v>
      </c>
      <c r="B716" s="93" t="inlineStr">
        <is>
          <t>Kotak Gold Silver Passive FOF - Regular Plan - Growth</t>
        </is>
      </c>
      <c r="C716" s="93" t="inlineStr">
        <is>
          <t>Kotak Mahindra Mutual Fund</t>
        </is>
      </c>
      <c r="D716" s="93" t="inlineStr">
        <is>
          <t>Fof Domestic</t>
        </is>
      </c>
      <c r="E716" s="93" t="inlineStr">
        <is>
          <t>Silver</t>
        </is>
      </c>
      <c r="F716" s="94" t="n">
        <v>8.34</v>
      </c>
      <c r="G716" s="97" t="n">
        <v>-8.19</v>
      </c>
      <c r="H716" s="94" t="n">
        <v>0.29</v>
      </c>
      <c r="I716" s="94" t="n">
        <v>0</v>
      </c>
      <c r="J716" s="94" t="n">
        <v>0</v>
      </c>
      <c r="K716" s="94" t="n">
        <v>0</v>
      </c>
      <c r="L716" s="37" t="n">
        <v>32.1</v>
      </c>
      <c r="M716" s="18" t="n">
        <v>0</v>
      </c>
      <c r="N716" s="19" t="n">
        <v>17.7</v>
      </c>
      <c r="O716" s="108">
        <f>COUNTIFS($E:$E,$E716,$L:$L,"&gt;"&amp;$L716)+1</f>
        <v/>
      </c>
      <c r="P716" s="108">
        <f>COUNTIFS($E:$E,$E716,$M:$M,"&gt;"&amp;$M716)+1</f>
        <v/>
      </c>
      <c r="Q716" s="108">
        <f>COUNTIFS($E:$E,$E716,$N:$N,"&gt;"&amp;$N716)+1</f>
        <v/>
      </c>
      <c r="R716" s="95" t="inlineStr">
        <is>
          <t>📉 Weak</t>
        </is>
      </c>
      <c r="S716" s="95" t="inlineStr">
        <is>
          <t>⏳ New Fund</t>
        </is>
      </c>
      <c r="T716" s="95" t="inlineStr">
        <is>
          <t>⏳ New Fund</t>
        </is>
      </c>
      <c r="U716" s="96" t="inlineStr">
        <is>
          <t>MOMENTUM_ONLY</t>
        </is>
      </c>
    </row>
    <row r="717" ht="16" customHeight="1">
      <c r="A717" s="92" t="n">
        <v>713</v>
      </c>
      <c r="B717" s="93" t="inlineStr">
        <is>
          <t>HDFC Diversified Equity All Cap Active FOF - Regular Plan - Growth Plan</t>
        </is>
      </c>
      <c r="C717" s="93" t="inlineStr">
        <is>
          <t>HDFC Mutual Fund</t>
        </is>
      </c>
      <c r="D717" s="93" t="inlineStr">
        <is>
          <t>Fof Domestic</t>
        </is>
      </c>
      <c r="E717" s="93" t="inlineStr">
        <is>
          <t>Standard Equity/Debt</t>
        </is>
      </c>
      <c r="F717" s="94" t="n">
        <v>0.73</v>
      </c>
      <c r="G717" s="94" t="n">
        <v>5.94</v>
      </c>
      <c r="H717" s="97" t="n">
        <v>-0.74</v>
      </c>
      <c r="I717" s="94" t="n">
        <v>0</v>
      </c>
      <c r="J717" s="94" t="n">
        <v>0</v>
      </c>
      <c r="K717" s="94" t="n">
        <v>0</v>
      </c>
      <c r="L717" s="37" t="n">
        <v>31.9</v>
      </c>
      <c r="M717" s="18" t="n">
        <v>0</v>
      </c>
      <c r="N717" s="19" t="n">
        <v>17.6</v>
      </c>
      <c r="O717" s="108">
        <f>COUNTIFS($E:$E,$E717,$L:$L,"&gt;"&amp;$L717)+1</f>
        <v/>
      </c>
      <c r="P717" s="108">
        <f>COUNTIFS($E:$E,$E717,$M:$M,"&gt;"&amp;$M717)+1</f>
        <v/>
      </c>
      <c r="Q717" s="108">
        <f>COUNTIFS($E:$E,$E717,$N:$N,"&gt;"&amp;$N717)+1</f>
        <v/>
      </c>
      <c r="R717" s="95" t="inlineStr">
        <is>
          <t>📉 Weak</t>
        </is>
      </c>
      <c r="S717" s="95" t="inlineStr">
        <is>
          <t>⏳ New Fund</t>
        </is>
      </c>
      <c r="T717" s="95" t="inlineStr">
        <is>
          <t>⏳ New Fund</t>
        </is>
      </c>
      <c r="U717" s="96" t="inlineStr">
        <is>
          <t>MOMENTUM_ONLY</t>
        </is>
      </c>
    </row>
    <row r="718" ht="16" customHeight="1">
      <c r="A718" s="92" t="n">
        <v>714</v>
      </c>
      <c r="B718" s="93" t="inlineStr">
        <is>
          <t>DSP Nifty Bank Index Fund - Regular - Growth</t>
        </is>
      </c>
      <c r="C718" s="93" t="inlineStr">
        <is>
          <t>DSP Mutual Fund</t>
        </is>
      </c>
      <c r="D718" s="93" t="inlineStr">
        <is>
          <t>Index Funds</t>
        </is>
      </c>
      <c r="E718" s="93" t="inlineStr">
        <is>
          <t>Banking/Financial</t>
        </is>
      </c>
      <c r="F718" s="97" t="n">
        <v>-2.06</v>
      </c>
      <c r="G718" s="94" t="n">
        <v>7.46</v>
      </c>
      <c r="H718" s="97" t="n">
        <v>-6.83</v>
      </c>
      <c r="I718" s="94" t="n">
        <v>3.16</v>
      </c>
      <c r="J718" s="94" t="n">
        <v>6.240293674292907</v>
      </c>
      <c r="K718" s="94" t="n">
        <v>0</v>
      </c>
      <c r="L718" s="37" t="n">
        <v>31.9</v>
      </c>
      <c r="M718" s="18" t="n">
        <v>0</v>
      </c>
      <c r="N718" s="19" t="n">
        <v>17.5</v>
      </c>
      <c r="O718" s="108">
        <f>COUNTIFS($E:$E,$E718,$L:$L,"&gt;"&amp;$L718)+1</f>
        <v/>
      </c>
      <c r="P718" s="108">
        <f>COUNTIFS($E:$E,$E718,$M:$M,"&gt;"&amp;$M718)+1</f>
        <v/>
      </c>
      <c r="Q718" s="108">
        <f>COUNTIFS($E:$E,$E718,$N:$N,"&gt;"&amp;$N718)+1</f>
        <v/>
      </c>
      <c r="R718" s="95" t="inlineStr">
        <is>
          <t>📉 Weak</t>
        </is>
      </c>
      <c r="S718" s="95" t="inlineStr">
        <is>
          <t>⏳ New Fund</t>
        </is>
      </c>
      <c r="T718" s="95" t="inlineStr">
        <is>
          <t>⏳ New Fund</t>
        </is>
      </c>
      <c r="U718" s="96" t="inlineStr">
        <is>
          <t>MOMENTUM_ONLY</t>
        </is>
      </c>
    </row>
    <row r="719" ht="16" customHeight="1">
      <c r="A719" s="92" t="n">
        <v>715</v>
      </c>
      <c r="B719" s="93" t="inlineStr">
        <is>
          <t>Axis Nifty Bank Index Fund - Regular Plan - Growth Option</t>
        </is>
      </c>
      <c r="C719" s="93" t="inlineStr">
        <is>
          <t>Axis Mutual Fund</t>
        </is>
      </c>
      <c r="D719" s="93" t="inlineStr">
        <is>
          <t>Index Funds</t>
        </is>
      </c>
      <c r="E719" s="93" t="inlineStr">
        <is>
          <t>Banking/Financial</t>
        </is>
      </c>
      <c r="F719" s="97" t="n">
        <v>-2.08</v>
      </c>
      <c r="G719" s="94" t="n">
        <v>7.41</v>
      </c>
      <c r="H719" s="97" t="n">
        <v>-6.86</v>
      </c>
      <c r="I719" s="94" t="n">
        <v>3.03</v>
      </c>
      <c r="J719" s="94" t="n">
        <v>6.174384858119142</v>
      </c>
      <c r="K719" s="94" t="n">
        <v>0</v>
      </c>
      <c r="L719" s="37" t="n">
        <v>31.2</v>
      </c>
      <c r="M719" s="18" t="n">
        <v>0</v>
      </c>
      <c r="N719" s="19" t="n">
        <v>17.2</v>
      </c>
      <c r="O719" s="108">
        <f>COUNTIFS($E:$E,$E719,$L:$L,"&gt;"&amp;$L719)+1</f>
        <v/>
      </c>
      <c r="P719" s="108">
        <f>COUNTIFS($E:$E,$E719,$M:$M,"&gt;"&amp;$M719)+1</f>
        <v/>
      </c>
      <c r="Q719" s="108">
        <f>COUNTIFS($E:$E,$E719,$N:$N,"&gt;"&amp;$N719)+1</f>
        <v/>
      </c>
      <c r="R719" s="95" t="inlineStr">
        <is>
          <t>📉 Weak</t>
        </is>
      </c>
      <c r="S719" s="95" t="inlineStr">
        <is>
          <t>⏳ New Fund</t>
        </is>
      </c>
      <c r="T719" s="95" t="inlineStr">
        <is>
          <t>⏳ New Fund</t>
        </is>
      </c>
      <c r="U719" s="96" t="inlineStr">
        <is>
          <t>MOMENTUM_ONLY</t>
        </is>
      </c>
    </row>
    <row r="720" ht="16" customHeight="1">
      <c r="A720" s="92" t="n">
        <v>716</v>
      </c>
      <c r="B720" s="93" t="inlineStr">
        <is>
          <t>Bandhan Nifty Bank Index Fund - Regular Plan - Growth</t>
        </is>
      </c>
      <c r="C720" s="93" t="inlineStr">
        <is>
          <t>Bandhan Mutual Fund</t>
        </is>
      </c>
      <c r="D720" s="93" t="inlineStr">
        <is>
          <t>Index Funds</t>
        </is>
      </c>
      <c r="E720" s="93" t="inlineStr">
        <is>
          <t>Banking/Financial</t>
        </is>
      </c>
      <c r="F720" s="97" t="n">
        <v>-2.09</v>
      </c>
      <c r="G720" s="94" t="n">
        <v>7.4</v>
      </c>
      <c r="H720" s="97" t="n">
        <v>-6.94</v>
      </c>
      <c r="I720" s="94" t="n">
        <v>2.94</v>
      </c>
      <c r="J720" s="94" t="n">
        <v>0</v>
      </c>
      <c r="K720" s="94" t="n">
        <v>0</v>
      </c>
      <c r="L720" s="37" t="n">
        <v>30.6</v>
      </c>
      <c r="M720" s="18" t="n">
        <v>0</v>
      </c>
      <c r="N720" s="19" t="n">
        <v>16.8</v>
      </c>
      <c r="O720" s="108">
        <f>COUNTIFS($E:$E,$E720,$L:$L,"&gt;"&amp;$L720)+1</f>
        <v/>
      </c>
      <c r="P720" s="108">
        <f>COUNTIFS($E:$E,$E720,$M:$M,"&gt;"&amp;$M720)+1</f>
        <v/>
      </c>
      <c r="Q720" s="108">
        <f>COUNTIFS($E:$E,$E720,$N:$N,"&gt;"&amp;$N720)+1</f>
        <v/>
      </c>
      <c r="R720" s="95" t="inlineStr">
        <is>
          <t>📉 Weak</t>
        </is>
      </c>
      <c r="S720" s="95" t="inlineStr">
        <is>
          <t>⏳ New Fund</t>
        </is>
      </c>
      <c r="T720" s="95" t="inlineStr">
        <is>
          <t>⏳ New Fund</t>
        </is>
      </c>
      <c r="U720" s="96" t="inlineStr">
        <is>
          <t>MOMENTUM_ONLY</t>
        </is>
      </c>
    </row>
    <row r="721" ht="16" customHeight="1">
      <c r="A721" s="92" t="n">
        <v>717</v>
      </c>
      <c r="B721" s="93" t="inlineStr">
        <is>
          <t>Zerodha Nifty 50 ETF</t>
        </is>
      </c>
      <c r="C721" s="93" t="inlineStr">
        <is>
          <t>Zerodha Mutual Fund</t>
        </is>
      </c>
      <c r="D721" s="93" t="inlineStr">
        <is>
          <t>Other  Etfs</t>
        </is>
      </c>
      <c r="E721" s="93" t="inlineStr">
        <is>
          <t>Index Fund</t>
        </is>
      </c>
      <c r="F721" s="97" t="n">
        <v>-0.54</v>
      </c>
      <c r="G721" s="94" t="n">
        <v>3.03</v>
      </c>
      <c r="H721" s="97" t="n">
        <v>-5.6</v>
      </c>
      <c r="I721" s="94" t="n">
        <v>0</v>
      </c>
      <c r="J721" s="94" t="n">
        <v>0</v>
      </c>
      <c r="K721" s="94" t="n">
        <v>0</v>
      </c>
      <c r="L721" s="37" t="n">
        <v>30.4</v>
      </c>
      <c r="M721" s="18" t="n">
        <v>0</v>
      </c>
      <c r="N721" s="19" t="n">
        <v>16.7</v>
      </c>
      <c r="O721" s="108">
        <f>COUNTIFS($E:$E,$E721,$L:$L,"&gt;"&amp;$L721)+1</f>
        <v/>
      </c>
      <c r="P721" s="108">
        <f>COUNTIFS($E:$E,$E721,$M:$M,"&gt;"&amp;$M721)+1</f>
        <v/>
      </c>
      <c r="Q721" s="108">
        <f>COUNTIFS($E:$E,$E721,$N:$N,"&gt;"&amp;$N721)+1</f>
        <v/>
      </c>
      <c r="R721" s="95" t="inlineStr">
        <is>
          <t>📉 Weak</t>
        </is>
      </c>
      <c r="S721" s="95" t="inlineStr">
        <is>
          <t>⏳ New Fund</t>
        </is>
      </c>
      <c r="T721" s="95" t="inlineStr">
        <is>
          <t>⏳ New Fund</t>
        </is>
      </c>
      <c r="U721" s="96" t="inlineStr">
        <is>
          <t>MOMENTUM_ONLY</t>
        </is>
      </c>
    </row>
    <row r="722" ht="16" customHeight="1">
      <c r="A722" s="92" t="n">
        <v>718</v>
      </c>
      <c r="B722" s="93" t="inlineStr">
        <is>
          <t>Navi NiftyIT Index Fund - Regular Plan -Growth</t>
        </is>
      </c>
      <c r="C722" s="93" t="inlineStr">
        <is>
          <t>Navi Mutual Fund</t>
        </is>
      </c>
      <c r="D722" s="93" t="inlineStr">
        <is>
          <t>Index Funds</t>
        </is>
      </c>
      <c r="E722" s="93" t="inlineStr">
        <is>
          <t>Index Fund</t>
        </is>
      </c>
      <c r="F722" s="94" t="n">
        <v>3.26</v>
      </c>
      <c r="G722" s="94" t="n">
        <v>3.25</v>
      </c>
      <c r="H722" s="97" t="n">
        <v>-7.34</v>
      </c>
      <c r="I722" s="97" t="n">
        <v>-12.44</v>
      </c>
      <c r="J722" s="97" t="n">
        <v>-13.07474475159708</v>
      </c>
      <c r="K722" s="94" t="n">
        <v>0</v>
      </c>
      <c r="L722" s="37" t="n">
        <v>28.8</v>
      </c>
      <c r="M722" s="18" t="n">
        <v>0</v>
      </c>
      <c r="N722" s="19" t="n">
        <v>15.9</v>
      </c>
      <c r="O722" s="108">
        <f>COUNTIFS($E:$E,$E722,$L:$L,"&gt;"&amp;$L722)+1</f>
        <v/>
      </c>
      <c r="P722" s="108">
        <f>COUNTIFS($E:$E,$E722,$M:$M,"&gt;"&amp;$M722)+1</f>
        <v/>
      </c>
      <c r="Q722" s="108">
        <f>COUNTIFS($E:$E,$E722,$N:$N,"&gt;"&amp;$N722)+1</f>
        <v/>
      </c>
      <c r="R722" s="95" t="inlineStr">
        <is>
          <t>📉 Weak</t>
        </is>
      </c>
      <c r="S722" s="95" t="inlineStr">
        <is>
          <t>⏳ New Fund</t>
        </is>
      </c>
      <c r="T722" s="95" t="inlineStr">
        <is>
          <t>⏳ New Fund</t>
        </is>
      </c>
      <c r="U722" s="96" t="inlineStr">
        <is>
          <t>MOMENTUM_ONLY</t>
        </is>
      </c>
    </row>
    <row r="723" ht="16" customHeight="1">
      <c r="A723" s="92" t="n">
        <v>719</v>
      </c>
      <c r="B723" s="93" t="inlineStr">
        <is>
          <t>ICICI Prudential Nifty Private Bank Index Fund - Growth</t>
        </is>
      </c>
      <c r="C723" s="93" t="inlineStr">
        <is>
          <t>ICICI Prudential Mutual Fund</t>
        </is>
      </c>
      <c r="D723" s="93" t="inlineStr">
        <is>
          <t>Index Funds</t>
        </is>
      </c>
      <c r="E723" s="93" t="inlineStr">
        <is>
          <t>Banking/Financial</t>
        </is>
      </c>
      <c r="F723" s="97" t="n">
        <v>-4.21</v>
      </c>
      <c r="G723" s="94" t="n">
        <v>5.32</v>
      </c>
      <c r="H723" s="97" t="n">
        <v>-6.47</v>
      </c>
      <c r="I723" s="94" t="n">
        <v>1.75</v>
      </c>
      <c r="J723" s="94" t="n">
        <v>0</v>
      </c>
      <c r="K723" s="94" t="n">
        <v>0</v>
      </c>
      <c r="L723" s="37" t="n">
        <v>28.5</v>
      </c>
      <c r="M723" s="18" t="n">
        <v>0</v>
      </c>
      <c r="N723" s="19" t="n">
        <v>15.7</v>
      </c>
      <c r="O723" s="108">
        <f>COUNTIFS($E:$E,$E723,$L:$L,"&gt;"&amp;$L723)+1</f>
        <v/>
      </c>
      <c r="P723" s="108">
        <f>COUNTIFS($E:$E,$E723,$M:$M,"&gt;"&amp;$M723)+1</f>
        <v/>
      </c>
      <c r="Q723" s="108">
        <f>COUNTIFS($E:$E,$E723,$N:$N,"&gt;"&amp;$N723)+1</f>
        <v/>
      </c>
      <c r="R723" s="95" t="inlineStr">
        <is>
          <t>📉 Weak</t>
        </is>
      </c>
      <c r="S723" s="95" t="inlineStr">
        <is>
          <t>⏳ New Fund</t>
        </is>
      </c>
      <c r="T723" s="95" t="inlineStr">
        <is>
          <t>⏳ New Fund</t>
        </is>
      </c>
      <c r="U723" s="96" t="inlineStr">
        <is>
          <t>MOMENTUM_ONLY</t>
        </is>
      </c>
    </row>
    <row r="724" ht="16" customHeight="1">
      <c r="A724" s="92" t="n">
        <v>720</v>
      </c>
      <c r="B724" s="93" t="inlineStr">
        <is>
          <t>Edelweiss Nifty 50 ETF - Growth</t>
        </is>
      </c>
      <c r="C724" s="93" t="inlineStr">
        <is>
          <t>Edelweiss Mutual Fund</t>
        </is>
      </c>
      <c r="D724" s="93" t="inlineStr">
        <is>
          <t>Other  Etfs</t>
        </is>
      </c>
      <c r="E724" s="93" t="inlineStr">
        <is>
          <t>Index Fund</t>
        </is>
      </c>
      <c r="F724" s="97" t="n">
        <v>-0.55</v>
      </c>
      <c r="G724" s="94" t="n">
        <v>2.98</v>
      </c>
      <c r="H724" s="97" t="n">
        <v>-5.7</v>
      </c>
      <c r="I724" s="94" t="n">
        <v>0</v>
      </c>
      <c r="J724" s="94" t="n">
        <v>0</v>
      </c>
      <c r="K724" s="94" t="n">
        <v>0</v>
      </c>
      <c r="L724" s="37" t="n">
        <v>28.5</v>
      </c>
      <c r="M724" s="18" t="n">
        <v>0</v>
      </c>
      <c r="N724" s="19" t="n">
        <v>15.7</v>
      </c>
      <c r="O724" s="108">
        <f>COUNTIFS($E:$E,$E724,$L:$L,"&gt;"&amp;$L724)+1</f>
        <v/>
      </c>
      <c r="P724" s="108">
        <f>COUNTIFS($E:$E,$E724,$M:$M,"&gt;"&amp;$M724)+1</f>
        <v/>
      </c>
      <c r="Q724" s="108">
        <f>COUNTIFS($E:$E,$E724,$N:$N,"&gt;"&amp;$N724)+1</f>
        <v/>
      </c>
      <c r="R724" s="95" t="inlineStr">
        <is>
          <t>📉 Weak</t>
        </is>
      </c>
      <c r="S724" s="95" t="inlineStr">
        <is>
          <t>⏳ New Fund</t>
        </is>
      </c>
      <c r="T724" s="95" t="inlineStr">
        <is>
          <t>⏳ New Fund</t>
        </is>
      </c>
      <c r="U724" s="96" t="inlineStr">
        <is>
          <t>MOMENTUM_ONLY</t>
        </is>
      </c>
    </row>
    <row r="725" ht="16" customHeight="1">
      <c r="A725" s="92" t="n">
        <v>721</v>
      </c>
      <c r="B725" s="93" t="inlineStr">
        <is>
          <t>UTI Nifty Private Bank Index Fund - Regular Plan - Growth Option</t>
        </is>
      </c>
      <c r="C725" s="93" t="inlineStr">
        <is>
          <t>UTI Mutual Fund</t>
        </is>
      </c>
      <c r="D725" s="93" t="inlineStr">
        <is>
          <t>Index Funds</t>
        </is>
      </c>
      <c r="E725" s="93" t="inlineStr">
        <is>
          <t>Banking/Financial</t>
        </is>
      </c>
      <c r="F725" s="97" t="n">
        <v>-4.28</v>
      </c>
      <c r="G725" s="94" t="n">
        <v>5.31</v>
      </c>
      <c r="H725" s="97" t="n">
        <v>-6.56</v>
      </c>
      <c r="I725" s="94" t="n">
        <v>1.79</v>
      </c>
      <c r="J725" s="94" t="n">
        <v>0</v>
      </c>
      <c r="K725" s="94" t="n">
        <v>0</v>
      </c>
      <c r="L725" s="37" t="n">
        <v>28.2</v>
      </c>
      <c r="M725" s="18" t="n">
        <v>0</v>
      </c>
      <c r="N725" s="19" t="n">
        <v>15.5</v>
      </c>
      <c r="O725" s="108">
        <f>COUNTIFS($E:$E,$E725,$L:$L,"&gt;"&amp;$L725)+1</f>
        <v/>
      </c>
      <c r="P725" s="108">
        <f>COUNTIFS($E:$E,$E725,$M:$M,"&gt;"&amp;$M725)+1</f>
        <v/>
      </c>
      <c r="Q725" s="108">
        <f>COUNTIFS($E:$E,$E725,$N:$N,"&gt;"&amp;$N725)+1</f>
        <v/>
      </c>
      <c r="R725" s="95" t="inlineStr">
        <is>
          <t>📉 Weak</t>
        </is>
      </c>
      <c r="S725" s="95" t="inlineStr">
        <is>
          <t>⏳ New Fund</t>
        </is>
      </c>
      <c r="T725" s="95" t="inlineStr">
        <is>
          <t>⏳ New Fund</t>
        </is>
      </c>
      <c r="U725" s="96" t="inlineStr">
        <is>
          <t>MOMENTUM_ONLY</t>
        </is>
      </c>
    </row>
    <row r="726" ht="16" customHeight="1">
      <c r="A726" s="92" t="n">
        <v>722</v>
      </c>
      <c r="B726" s="93" t="inlineStr">
        <is>
          <t>Motilal Oswal Gold ETF</t>
        </is>
      </c>
      <c r="C726" s="93" t="inlineStr">
        <is>
          <t>Motilal Oswal Mutual Fund</t>
        </is>
      </c>
      <c r="D726" s="93" t="inlineStr">
        <is>
          <t>Gold Etf</t>
        </is>
      </c>
      <c r="E726" s="93" t="inlineStr">
        <is>
          <t>Gold</t>
        </is>
      </c>
      <c r="F726" s="94" t="n">
        <v>8.92</v>
      </c>
      <c r="G726" s="97" t="n">
        <v>-3.13</v>
      </c>
      <c r="H726" s="94" t="n">
        <v>1.27</v>
      </c>
      <c r="I726" s="94" t="n">
        <v>51.68</v>
      </c>
      <c r="J726" s="94" t="n">
        <v>0</v>
      </c>
      <c r="K726" s="94" t="n">
        <v>0</v>
      </c>
      <c r="L726" s="37" t="n">
        <v>28</v>
      </c>
      <c r="M726" s="18" t="n">
        <v>0</v>
      </c>
      <c r="N726" s="19" t="n">
        <v>15.4</v>
      </c>
      <c r="O726" s="108">
        <f>COUNTIFS($E:$E,$E726,$L:$L,"&gt;"&amp;$L726)+1</f>
        <v/>
      </c>
      <c r="P726" s="108">
        <f>COUNTIFS($E:$E,$E726,$M:$M,"&gt;"&amp;$M726)+1</f>
        <v/>
      </c>
      <c r="Q726" s="108">
        <f>COUNTIFS($E:$E,$E726,$N:$N,"&gt;"&amp;$N726)+1</f>
        <v/>
      </c>
      <c r="R726" s="95" t="inlineStr">
        <is>
          <t>📉 Weak</t>
        </is>
      </c>
      <c r="S726" s="95" t="inlineStr">
        <is>
          <t>⏳ New Fund</t>
        </is>
      </c>
      <c r="T726" s="95" t="inlineStr">
        <is>
          <t>⏳ New Fund</t>
        </is>
      </c>
      <c r="U726" s="96" t="inlineStr">
        <is>
          <t>MOMENTUM_ONLY</t>
        </is>
      </c>
    </row>
    <row r="727" ht="16" customHeight="1">
      <c r="A727" s="92" t="n">
        <v>723</v>
      </c>
      <c r="B727" s="93" t="inlineStr">
        <is>
          <t>Motilal Oswal Nifty PSE ETF</t>
        </is>
      </c>
      <c r="C727" s="93" t="inlineStr">
        <is>
          <t>Motilal Oswal Mutual Fund</t>
        </is>
      </c>
      <c r="D727" s="93" t="inlineStr">
        <is>
          <t>Other  Etfs</t>
        </is>
      </c>
      <c r="E727" s="93" t="inlineStr">
        <is>
          <t>Index Fund</t>
        </is>
      </c>
      <c r="F727" s="97" t="n">
        <v>-0.71</v>
      </c>
      <c r="G727" s="97" t="n">
        <v>-4.78</v>
      </c>
      <c r="H727" s="97" t="n">
        <v>-5.09</v>
      </c>
      <c r="I727" s="94" t="n">
        <v>4.14</v>
      </c>
      <c r="J727" s="94" t="n">
        <v>0</v>
      </c>
      <c r="K727" s="94" t="n">
        <v>0</v>
      </c>
      <c r="L727" s="37" t="n">
        <v>27.5</v>
      </c>
      <c r="M727" s="18" t="n">
        <v>0</v>
      </c>
      <c r="N727" s="19" t="n">
        <v>15.1</v>
      </c>
      <c r="O727" s="108">
        <f>COUNTIFS($E:$E,$E727,$L:$L,"&gt;"&amp;$L727)+1</f>
        <v/>
      </c>
      <c r="P727" s="108">
        <f>COUNTIFS($E:$E,$E727,$M:$M,"&gt;"&amp;$M727)+1</f>
        <v/>
      </c>
      <c r="Q727" s="108">
        <f>COUNTIFS($E:$E,$E727,$N:$N,"&gt;"&amp;$N727)+1</f>
        <v/>
      </c>
      <c r="R727" s="95" t="inlineStr">
        <is>
          <t>📉 Weak</t>
        </is>
      </c>
      <c r="S727" s="95" t="inlineStr">
        <is>
          <t>⏳ New Fund</t>
        </is>
      </c>
      <c r="T727" s="95" t="inlineStr">
        <is>
          <t>⏳ New Fund</t>
        </is>
      </c>
      <c r="U727" s="96" t="inlineStr">
        <is>
          <t>MOMENTUM_ONLY</t>
        </is>
      </c>
    </row>
    <row r="728" ht="16" customHeight="1">
      <c r="A728" s="92" t="n">
        <v>724</v>
      </c>
      <c r="B728" s="93" t="inlineStr">
        <is>
          <t>DSP Nifty Private Bank Index Fund - Regular - Growth</t>
        </is>
      </c>
      <c r="C728" s="93" t="inlineStr">
        <is>
          <t>DSP Mutual Fund</t>
        </is>
      </c>
      <c r="D728" s="93" t="inlineStr">
        <is>
          <t>Index Funds</t>
        </is>
      </c>
      <c r="E728" s="93" t="inlineStr">
        <is>
          <t>Banking/Financial</t>
        </is>
      </c>
      <c r="F728" s="97" t="n">
        <v>-4.26</v>
      </c>
      <c r="G728" s="94" t="n">
        <v>5.28</v>
      </c>
      <c r="H728" s="97" t="n">
        <v>-6.65</v>
      </c>
      <c r="I728" s="94" t="n">
        <v>1.57</v>
      </c>
      <c r="J728" s="94" t="n">
        <v>0</v>
      </c>
      <c r="K728" s="94" t="n">
        <v>0</v>
      </c>
      <c r="L728" s="37" t="n">
        <v>27.4</v>
      </c>
      <c r="M728" s="18" t="n">
        <v>0</v>
      </c>
      <c r="N728" s="19" t="n">
        <v>15.1</v>
      </c>
      <c r="O728" s="108">
        <f>COUNTIFS($E:$E,$E728,$L:$L,"&gt;"&amp;$L728)+1</f>
        <v/>
      </c>
      <c r="P728" s="108">
        <f>COUNTIFS($E:$E,$E728,$M:$M,"&gt;"&amp;$M728)+1</f>
        <v/>
      </c>
      <c r="Q728" s="108">
        <f>COUNTIFS($E:$E,$E728,$N:$N,"&gt;"&amp;$N728)+1</f>
        <v/>
      </c>
      <c r="R728" s="95" t="inlineStr">
        <is>
          <t>📉 Weak</t>
        </is>
      </c>
      <c r="S728" s="95" t="inlineStr">
        <is>
          <t>⏳ New Fund</t>
        </is>
      </c>
      <c r="T728" s="95" t="inlineStr">
        <is>
          <t>⏳ New Fund</t>
        </is>
      </c>
      <c r="U728" s="96" t="inlineStr">
        <is>
          <t>MOMENTUM_ONLY</t>
        </is>
      </c>
    </row>
    <row r="729" ht="16" customHeight="1">
      <c r="A729" s="92" t="n">
        <v>725</v>
      </c>
      <c r="B729" s="93" t="inlineStr">
        <is>
          <t>Motilal Oswal BSE India Infrastructure ETF</t>
        </is>
      </c>
      <c r="C729" s="93" t="inlineStr">
        <is>
          <t>Motilal Oswal Mutual Fund</t>
        </is>
      </c>
      <c r="D729" s="93" t="inlineStr">
        <is>
          <t>Other  Etfs</t>
        </is>
      </c>
      <c r="E729" s="93" t="inlineStr">
        <is>
          <t>Infrastructure</t>
        </is>
      </c>
      <c r="F729" s="97" t="n">
        <v>-2.32</v>
      </c>
      <c r="G729" s="97" t="n">
        <v>-4.21</v>
      </c>
      <c r="H729" s="97" t="n">
        <v>-2.64</v>
      </c>
      <c r="I729" s="94" t="n">
        <v>2.18</v>
      </c>
      <c r="J729" s="94" t="n">
        <v>0</v>
      </c>
      <c r="K729" s="94" t="n">
        <v>0</v>
      </c>
      <c r="L729" s="37" t="n">
        <v>26.7</v>
      </c>
      <c r="M729" s="18" t="n">
        <v>0</v>
      </c>
      <c r="N729" s="19" t="n">
        <v>14.7</v>
      </c>
      <c r="O729" s="108">
        <f>COUNTIFS($E:$E,$E729,$L:$L,"&gt;"&amp;$L729)+1</f>
        <v/>
      </c>
      <c r="P729" s="108">
        <f>COUNTIFS($E:$E,$E729,$M:$M,"&gt;"&amp;$M729)+1</f>
        <v/>
      </c>
      <c r="Q729" s="108">
        <f>COUNTIFS($E:$E,$E729,$N:$N,"&gt;"&amp;$N729)+1</f>
        <v/>
      </c>
      <c r="R729" s="95" t="inlineStr">
        <is>
          <t>📉 Weak</t>
        </is>
      </c>
      <c r="S729" s="95" t="inlineStr">
        <is>
          <t>⏳ New Fund</t>
        </is>
      </c>
      <c r="T729" s="95" t="inlineStr">
        <is>
          <t>⏳ New Fund</t>
        </is>
      </c>
      <c r="U729" s="96" t="inlineStr">
        <is>
          <t>MOMENTUM_ONLY</t>
        </is>
      </c>
    </row>
    <row r="730" ht="16" customHeight="1">
      <c r="A730" s="92" t="n">
        <v>726</v>
      </c>
      <c r="B730" s="93" t="inlineStr">
        <is>
          <t>ANGEL ONE NIFTY 50 ETF</t>
        </is>
      </c>
      <c r="C730" s="93" t="inlineStr">
        <is>
          <t>Angel One Mutual Fund</t>
        </is>
      </c>
      <c r="D730" s="93" t="inlineStr">
        <is>
          <t>Other  Etfs</t>
        </is>
      </c>
      <c r="E730" s="93" t="inlineStr">
        <is>
          <t>Index Fund</t>
        </is>
      </c>
      <c r="F730" s="97" t="n">
        <v>-0.55</v>
      </c>
      <c r="G730" s="94" t="n">
        <v>2.96</v>
      </c>
      <c r="H730" s="97" t="n">
        <v>-5.72</v>
      </c>
      <c r="I730" s="97" t="n">
        <v>-0.9399999999999999</v>
      </c>
      <c r="J730" s="94" t="n">
        <v>0</v>
      </c>
      <c r="K730" s="94" t="n">
        <v>0</v>
      </c>
      <c r="L730" s="37" t="n">
        <v>25</v>
      </c>
      <c r="M730" s="18" t="n">
        <v>0</v>
      </c>
      <c r="N730" s="19" t="n">
        <v>13.8</v>
      </c>
      <c r="O730" s="108">
        <f>COUNTIFS($E:$E,$E730,$L:$L,"&gt;"&amp;$L730)+1</f>
        <v/>
      </c>
      <c r="P730" s="108">
        <f>COUNTIFS($E:$E,$E730,$M:$M,"&gt;"&amp;$M730)+1</f>
        <v/>
      </c>
      <c r="Q730" s="108">
        <f>COUNTIFS($E:$E,$E730,$N:$N,"&gt;"&amp;$N730)+1</f>
        <v/>
      </c>
      <c r="R730" s="95" t="inlineStr">
        <is>
          <t>📉 Weak</t>
        </is>
      </c>
      <c r="S730" s="95" t="inlineStr">
        <is>
          <t>⏳ New Fund</t>
        </is>
      </c>
      <c r="T730" s="95" t="inlineStr">
        <is>
          <t>⏳ New Fund</t>
        </is>
      </c>
      <c r="U730" s="96" t="inlineStr">
        <is>
          <t>MOMENTUM_ONLY</t>
        </is>
      </c>
    </row>
    <row r="731" ht="16" customHeight="1">
      <c r="A731" s="92" t="n">
        <v>727</v>
      </c>
      <c r="B731" s="93" t="inlineStr">
        <is>
          <t>Bajaj Finserv Nifty 50 ETF</t>
        </is>
      </c>
      <c r="C731" s="93" t="inlineStr">
        <is>
          <t>Bajaj Finserv Mutual Fund</t>
        </is>
      </c>
      <c r="D731" s="93" t="inlineStr">
        <is>
          <t>Other  Etfs</t>
        </is>
      </c>
      <c r="E731" s="93" t="inlineStr">
        <is>
          <t>Index Fund</t>
        </is>
      </c>
      <c r="F731" s="97" t="n">
        <v>-0.55</v>
      </c>
      <c r="G731" s="94" t="n">
        <v>2.96</v>
      </c>
      <c r="H731" s="97" t="n">
        <v>-5.74</v>
      </c>
      <c r="I731" s="97" t="n">
        <v>-0.93</v>
      </c>
      <c r="J731" s="94" t="n">
        <v>0.3095209838029245</v>
      </c>
      <c r="K731" s="94" t="n">
        <v>0</v>
      </c>
      <c r="L731" s="37" t="n">
        <v>24.9</v>
      </c>
      <c r="M731" s="18" t="n">
        <v>0</v>
      </c>
      <c r="N731" s="19" t="n">
        <v>13.7</v>
      </c>
      <c r="O731" s="108">
        <f>COUNTIFS($E:$E,$E731,$L:$L,"&gt;"&amp;$L731)+1</f>
        <v/>
      </c>
      <c r="P731" s="108">
        <f>COUNTIFS($E:$E,$E731,$M:$M,"&gt;"&amp;$M731)+1</f>
        <v/>
      </c>
      <c r="Q731" s="108">
        <f>COUNTIFS($E:$E,$E731,$N:$N,"&gt;"&amp;$N731)+1</f>
        <v/>
      </c>
      <c r="R731" s="95" t="inlineStr">
        <is>
          <t>📉 Weak</t>
        </is>
      </c>
      <c r="S731" s="95" t="inlineStr">
        <is>
          <t>⏳ New Fund</t>
        </is>
      </c>
      <c r="T731" s="95" t="inlineStr">
        <is>
          <t>⏳ New Fund</t>
        </is>
      </c>
      <c r="U731" s="96" t="inlineStr">
        <is>
          <t>MOMENTUM_ONLY</t>
        </is>
      </c>
    </row>
    <row r="732" ht="16" customHeight="1">
      <c r="A732" s="92" t="n">
        <v>728</v>
      </c>
      <c r="B732" s="93" t="inlineStr">
        <is>
          <t>ICICI Prudential Nifty Oil &amp; Gas ETF</t>
        </is>
      </c>
      <c r="C732" s="93" t="inlineStr">
        <is>
          <t>ICICI Prudential Mutual Fund</t>
        </is>
      </c>
      <c r="D732" s="93" t="inlineStr">
        <is>
          <t>Other  Etfs</t>
        </is>
      </c>
      <c r="E732" s="93" t="inlineStr">
        <is>
          <t>Commodities</t>
        </is>
      </c>
      <c r="F732" s="97" t="n">
        <v>-0.54</v>
      </c>
      <c r="G732" s="94" t="n">
        <v>0.64</v>
      </c>
      <c r="H732" s="97" t="n">
        <v>-7.41</v>
      </c>
      <c r="I732" s="94" t="n">
        <v>2.5</v>
      </c>
      <c r="J732" s="97" t="n">
        <v>-6.421156237106662</v>
      </c>
      <c r="K732" s="94" t="n">
        <v>0</v>
      </c>
      <c r="L732" s="37" t="n">
        <v>24.5</v>
      </c>
      <c r="M732" s="18" t="n">
        <v>0</v>
      </c>
      <c r="N732" s="19" t="n">
        <v>13.5</v>
      </c>
      <c r="O732" s="108">
        <f>COUNTIFS($E:$E,$E732,$L:$L,"&gt;"&amp;$L732)+1</f>
        <v/>
      </c>
      <c r="P732" s="108">
        <f>COUNTIFS($E:$E,$E732,$M:$M,"&gt;"&amp;$M732)+1</f>
        <v/>
      </c>
      <c r="Q732" s="108">
        <f>COUNTIFS($E:$E,$E732,$N:$N,"&gt;"&amp;$N732)+1</f>
        <v/>
      </c>
      <c r="R732" s="95" t="inlineStr">
        <is>
          <t>📉 Weak</t>
        </is>
      </c>
      <c r="S732" s="95" t="inlineStr">
        <is>
          <t>⏳ New Fund</t>
        </is>
      </c>
      <c r="T732" s="95" t="inlineStr">
        <is>
          <t>⏳ New Fund</t>
        </is>
      </c>
      <c r="U732" s="96" t="inlineStr">
        <is>
          <t>MOMENTUM_ONLY</t>
        </is>
      </c>
    </row>
    <row r="733" ht="16" customHeight="1">
      <c r="A733" s="92" t="n">
        <v>729</v>
      </c>
      <c r="B733" s="93" t="inlineStr">
        <is>
          <t>Bandhan Silver ETF FOF-Regular-Growth</t>
        </is>
      </c>
      <c r="C733" s="93" t="inlineStr">
        <is>
          <t>Bandhan Mutual Fund</t>
        </is>
      </c>
      <c r="D733" s="93" t="inlineStr">
        <is>
          <t>Fof Domestic</t>
        </is>
      </c>
      <c r="E733" s="93" t="inlineStr">
        <is>
          <t>Silver</t>
        </is>
      </c>
      <c r="F733" s="94" t="n">
        <v>8.01</v>
      </c>
      <c r="G733" s="97" t="n">
        <v>-12.28</v>
      </c>
      <c r="H733" s="97" t="n">
        <v>-1.28</v>
      </c>
      <c r="I733" s="94" t="n">
        <v>0</v>
      </c>
      <c r="J733" s="94" t="n">
        <v>0</v>
      </c>
      <c r="K733" s="94" t="n">
        <v>0</v>
      </c>
      <c r="L733" s="37" t="n">
        <v>24.4</v>
      </c>
      <c r="M733" s="18" t="n">
        <v>0</v>
      </c>
      <c r="N733" s="19" t="n">
        <v>13.4</v>
      </c>
      <c r="O733" s="108">
        <f>COUNTIFS($E:$E,$E733,$L:$L,"&gt;"&amp;$L733)+1</f>
        <v/>
      </c>
      <c r="P733" s="108">
        <f>COUNTIFS($E:$E,$E733,$M:$M,"&gt;"&amp;$M733)+1</f>
        <v/>
      </c>
      <c r="Q733" s="108">
        <f>COUNTIFS($E:$E,$E733,$N:$N,"&gt;"&amp;$N733)+1</f>
        <v/>
      </c>
      <c r="R733" s="95" t="inlineStr">
        <is>
          <t>📉 Weak</t>
        </is>
      </c>
      <c r="S733" s="95" t="inlineStr">
        <is>
          <t>⏳ New Fund</t>
        </is>
      </c>
      <c r="T733" s="95" t="inlineStr">
        <is>
          <t>⏳ New Fund</t>
        </is>
      </c>
      <c r="U733" s="96" t="inlineStr">
        <is>
          <t>MOMENTUM_ONLY</t>
        </is>
      </c>
    </row>
    <row r="734" ht="16" customHeight="1">
      <c r="A734" s="92" t="n">
        <v>730</v>
      </c>
      <c r="B734" s="93" t="inlineStr">
        <is>
          <t>Motilal Oswal Nifty Services Sector ETF</t>
        </is>
      </c>
      <c r="C734" s="93" t="inlineStr">
        <is>
          <t>Motilal Oswal Mutual Fund</t>
        </is>
      </c>
      <c r="D734" s="93" t="inlineStr">
        <is>
          <t>Other  Etfs</t>
        </is>
      </c>
      <c r="E734" s="93" t="inlineStr">
        <is>
          <t>Index Fund</t>
        </is>
      </c>
      <c r="F734" s="97" t="n">
        <v>-1.96</v>
      </c>
      <c r="G734" s="94" t="n">
        <v>3.63</v>
      </c>
      <c r="H734" s="97" t="n">
        <v>-7.25</v>
      </c>
      <c r="I734" s="94" t="n">
        <v>0</v>
      </c>
      <c r="J734" s="94" t="n">
        <v>0</v>
      </c>
      <c r="K734" s="94" t="n">
        <v>0</v>
      </c>
      <c r="L734" s="37" t="n">
        <v>23</v>
      </c>
      <c r="M734" s="18" t="n">
        <v>0</v>
      </c>
      <c r="N734" s="19" t="n">
        <v>12.6</v>
      </c>
      <c r="O734" s="108">
        <f>COUNTIFS($E:$E,$E734,$L:$L,"&gt;"&amp;$L734)+1</f>
        <v/>
      </c>
      <c r="P734" s="108">
        <f>COUNTIFS($E:$E,$E734,$M:$M,"&gt;"&amp;$M734)+1</f>
        <v/>
      </c>
      <c r="Q734" s="108">
        <f>COUNTIFS($E:$E,$E734,$N:$N,"&gt;"&amp;$N734)+1</f>
        <v/>
      </c>
      <c r="R734" s="95" t="inlineStr">
        <is>
          <t>📉 Weak</t>
        </is>
      </c>
      <c r="S734" s="95" t="inlineStr">
        <is>
          <t>⏳ New Fund</t>
        </is>
      </c>
      <c r="T734" s="95" t="inlineStr">
        <is>
          <t>⏳ New Fund</t>
        </is>
      </c>
      <c r="U734" s="96" t="inlineStr">
        <is>
          <t>MOMENTUM_ONLY</t>
        </is>
      </c>
    </row>
    <row r="735" ht="16" customHeight="1">
      <c r="A735" s="92" t="n">
        <v>731</v>
      </c>
      <c r="B735" s="93" t="inlineStr">
        <is>
          <t>Edelweiss BSE Sensex ETF - Growth</t>
        </is>
      </c>
      <c r="C735" s="93" t="inlineStr">
        <is>
          <t>Edelweiss Mutual Fund</t>
        </is>
      </c>
      <c r="D735" s="93" t="inlineStr">
        <is>
          <t>Other  Etfs</t>
        </is>
      </c>
      <c r="E735" s="93" t="inlineStr">
        <is>
          <t>Index Fund</t>
        </is>
      </c>
      <c r="F735" s="97" t="n">
        <v>-0.99</v>
      </c>
      <c r="G735" s="94" t="n">
        <v>3.36</v>
      </c>
      <c r="H735" s="97" t="n">
        <v>-7.06</v>
      </c>
      <c r="I735" s="94" t="n">
        <v>0</v>
      </c>
      <c r="J735" s="94" t="n">
        <v>0</v>
      </c>
      <c r="K735" s="94" t="n">
        <v>0</v>
      </c>
      <c r="L735" s="37" t="n">
        <v>22.5</v>
      </c>
      <c r="M735" s="18" t="n">
        <v>0</v>
      </c>
      <c r="N735" s="19" t="n">
        <v>12.4</v>
      </c>
      <c r="O735" s="108">
        <f>COUNTIFS($E:$E,$E735,$L:$L,"&gt;"&amp;$L735)+1</f>
        <v/>
      </c>
      <c r="P735" s="108">
        <f>COUNTIFS($E:$E,$E735,$M:$M,"&gt;"&amp;$M735)+1</f>
        <v/>
      </c>
      <c r="Q735" s="108">
        <f>COUNTIFS($E:$E,$E735,$N:$N,"&gt;"&amp;$N735)+1</f>
        <v/>
      </c>
      <c r="R735" s="95" t="inlineStr">
        <is>
          <t>📉 Weak</t>
        </is>
      </c>
      <c r="S735" s="95" t="inlineStr">
        <is>
          <t>⏳ New Fund</t>
        </is>
      </c>
      <c r="T735" s="95" t="inlineStr">
        <is>
          <t>⏳ New Fund</t>
        </is>
      </c>
      <c r="U735" s="96" t="inlineStr">
        <is>
          <t>MOMENTUM_ONLY</t>
        </is>
      </c>
    </row>
    <row r="736" ht="16" customHeight="1">
      <c r="A736" s="92" t="n">
        <v>732</v>
      </c>
      <c r="B736" s="93" t="inlineStr">
        <is>
          <t>ICICI Prudential Nifty Top 15 Equal Weight ETF</t>
        </is>
      </c>
      <c r="C736" s="93" t="inlineStr">
        <is>
          <t>ICICI Prudential Mutual Fund</t>
        </is>
      </c>
      <c r="D736" s="93" t="inlineStr">
        <is>
          <t>Other  Etfs</t>
        </is>
      </c>
      <c r="E736" s="93" t="inlineStr">
        <is>
          <t>Index Fund</t>
        </is>
      </c>
      <c r="F736" s="97" t="n">
        <v>-0.42</v>
      </c>
      <c r="G736" s="94" t="n">
        <v>3.17</v>
      </c>
      <c r="H736" s="97" t="n">
        <v>-8.5</v>
      </c>
      <c r="I736" s="97" t="n">
        <v>-1.6</v>
      </c>
      <c r="J736" s="94" t="n">
        <v>0</v>
      </c>
      <c r="K736" s="94" t="n">
        <v>0</v>
      </c>
      <c r="L736" s="37" t="n">
        <v>22</v>
      </c>
      <c r="M736" s="18" t="n">
        <v>0</v>
      </c>
      <c r="N736" s="19" t="n">
        <v>12.1</v>
      </c>
      <c r="O736" s="108">
        <f>COUNTIFS($E:$E,$E736,$L:$L,"&gt;"&amp;$L736)+1</f>
        <v/>
      </c>
      <c r="P736" s="108">
        <f>COUNTIFS($E:$E,$E736,$M:$M,"&gt;"&amp;$M736)+1</f>
        <v/>
      </c>
      <c r="Q736" s="108">
        <f>COUNTIFS($E:$E,$E736,$N:$N,"&gt;"&amp;$N736)+1</f>
        <v/>
      </c>
      <c r="R736" s="95" t="inlineStr">
        <is>
          <t>📉 Weak</t>
        </is>
      </c>
      <c r="S736" s="95" t="inlineStr">
        <is>
          <t>⏳ New Fund</t>
        </is>
      </c>
      <c r="T736" s="95" t="inlineStr">
        <is>
          <t>⏳ New Fund</t>
        </is>
      </c>
      <c r="U736" s="96" t="inlineStr">
        <is>
          <t>MOMENTUM_ONLY</t>
        </is>
      </c>
    </row>
    <row r="737" ht="16" customHeight="1">
      <c r="A737" s="92" t="n">
        <v>733</v>
      </c>
      <c r="B737" s="93" t="inlineStr">
        <is>
          <t>Aditya Birla Sun Life US Treasury 1-3 Year Bond ETFs Fund Of Funds-Regular Growth</t>
        </is>
      </c>
      <c r="C737" s="93" t="inlineStr">
        <is>
          <t>Aditya Birla Sun Life Mutual Fund</t>
        </is>
      </c>
      <c r="D737" s="93" t="inlineStr">
        <is>
          <t>Fof Overseas</t>
        </is>
      </c>
      <c r="E737" s="93" t="inlineStr">
        <is>
          <t>Standard Equity/Debt</t>
        </is>
      </c>
      <c r="F737" s="97" t="n">
        <v>-0.38</v>
      </c>
      <c r="G737" s="94" t="n">
        <v>0.02</v>
      </c>
      <c r="H737" s="94" t="n">
        <v>6.06</v>
      </c>
      <c r="I737" s="94" t="n">
        <v>12.25</v>
      </c>
      <c r="J737" s="94" t="n">
        <v>10.48076755707303</v>
      </c>
      <c r="K737" s="94" t="n">
        <v>0</v>
      </c>
      <c r="L737" s="37" t="n">
        <v>21</v>
      </c>
      <c r="M737" s="18" t="n">
        <v>0</v>
      </c>
      <c r="N737" s="19" t="n">
        <v>11.6</v>
      </c>
      <c r="O737" s="108">
        <f>COUNTIFS($E:$E,$E737,$L:$L,"&gt;"&amp;$L737)+1</f>
        <v/>
      </c>
      <c r="P737" s="108">
        <f>COUNTIFS($E:$E,$E737,$M:$M,"&gt;"&amp;$M737)+1</f>
        <v/>
      </c>
      <c r="Q737" s="108">
        <f>COUNTIFS($E:$E,$E737,$N:$N,"&gt;"&amp;$N737)+1</f>
        <v/>
      </c>
      <c r="R737" s="95" t="inlineStr">
        <is>
          <t>📉 Weak</t>
        </is>
      </c>
      <c r="S737" s="95" t="inlineStr">
        <is>
          <t>⏳ New Fund</t>
        </is>
      </c>
      <c r="T737" s="95" t="inlineStr">
        <is>
          <t>⏳ New Fund</t>
        </is>
      </c>
      <c r="U737" s="96" t="inlineStr">
        <is>
          <t>MOMENTUM_ONLY</t>
        </is>
      </c>
    </row>
    <row r="738" ht="16" customHeight="1">
      <c r="A738" s="92" t="n">
        <v>734</v>
      </c>
      <c r="B738" s="93" t="inlineStr">
        <is>
          <t>Zerodha BSE SENSEX Index Fund</t>
        </is>
      </c>
      <c r="C738" s="93" t="inlineStr">
        <is>
          <t>Zerodha Mutual Fund</t>
        </is>
      </c>
      <c r="D738" s="93" t="inlineStr">
        <is>
          <t>Index Funds</t>
        </is>
      </c>
      <c r="E738" s="93" t="inlineStr">
        <is>
          <t>Index Fund</t>
        </is>
      </c>
      <c r="F738" s="97" t="n">
        <v>-1</v>
      </c>
      <c r="G738" s="94" t="n">
        <v>3.32</v>
      </c>
      <c r="H738" s="97" t="n">
        <v>-7.17</v>
      </c>
      <c r="I738" s="94" t="n">
        <v>0</v>
      </c>
      <c r="J738" s="94" t="n">
        <v>0</v>
      </c>
      <c r="K738" s="94" t="n">
        <v>0</v>
      </c>
      <c r="L738" s="37" t="n">
        <v>20.7</v>
      </c>
      <c r="M738" s="18" t="n">
        <v>0</v>
      </c>
      <c r="N738" s="19" t="n">
        <v>11.4</v>
      </c>
      <c r="O738" s="108">
        <f>COUNTIFS($E:$E,$E738,$L:$L,"&gt;"&amp;$L738)+1</f>
        <v/>
      </c>
      <c r="P738" s="108">
        <f>COUNTIFS($E:$E,$E738,$M:$M,"&gt;"&amp;$M738)+1</f>
        <v/>
      </c>
      <c r="Q738" s="108">
        <f>COUNTIFS($E:$E,$E738,$N:$N,"&gt;"&amp;$N738)+1</f>
        <v/>
      </c>
      <c r="R738" s="95" t="inlineStr">
        <is>
          <t>📉 Weak</t>
        </is>
      </c>
      <c r="S738" s="95" t="inlineStr">
        <is>
          <t>⏳ New Fund</t>
        </is>
      </c>
      <c r="T738" s="95" t="inlineStr">
        <is>
          <t>⏳ New Fund</t>
        </is>
      </c>
      <c r="U738" s="96" t="inlineStr">
        <is>
          <t>MOMENTUM_ONLY</t>
        </is>
      </c>
    </row>
    <row r="739" ht="16" customHeight="1">
      <c r="A739" s="92" t="n">
        <v>735</v>
      </c>
      <c r="B739" s="93" t="inlineStr">
        <is>
          <t>Baroda BNP Paribas Nifty 50 Index Fund - Regular Plan - Growth option</t>
        </is>
      </c>
      <c r="C739" s="93" t="inlineStr">
        <is>
          <t>Baroda BNP Paribas Mutual Fund</t>
        </is>
      </c>
      <c r="D739" s="93" t="inlineStr">
        <is>
          <t>Index Funds</t>
        </is>
      </c>
      <c r="E739" s="93" t="inlineStr">
        <is>
          <t>Index Fund</t>
        </is>
      </c>
      <c r="F739" s="97" t="n">
        <v>-0.59</v>
      </c>
      <c r="G739" s="94" t="n">
        <v>2.84</v>
      </c>
      <c r="H739" s="97" t="n">
        <v>-6</v>
      </c>
      <c r="I739" s="97" t="n">
        <v>-1.51</v>
      </c>
      <c r="J739" s="97" t="n">
        <v>-0.3154976939745202</v>
      </c>
      <c r="K739" s="94" t="n">
        <v>0</v>
      </c>
      <c r="L739" s="37" t="n">
        <v>20.5</v>
      </c>
      <c r="M739" s="18" t="n">
        <v>0</v>
      </c>
      <c r="N739" s="19" t="n">
        <v>11.3</v>
      </c>
      <c r="O739" s="108">
        <f>COUNTIFS($E:$E,$E739,$L:$L,"&gt;"&amp;$L739)+1</f>
        <v/>
      </c>
      <c r="P739" s="108">
        <f>COUNTIFS($E:$E,$E739,$M:$M,"&gt;"&amp;$M739)+1</f>
        <v/>
      </c>
      <c r="Q739" s="108">
        <f>COUNTIFS($E:$E,$E739,$N:$N,"&gt;"&amp;$N739)+1</f>
        <v/>
      </c>
      <c r="R739" s="95" t="inlineStr">
        <is>
          <t>📉 Weak</t>
        </is>
      </c>
      <c r="S739" s="95" t="inlineStr">
        <is>
          <t>⏳ New Fund</t>
        </is>
      </c>
      <c r="T739" s="95" t="inlineStr">
        <is>
          <t>⏳ New Fund</t>
        </is>
      </c>
      <c r="U739" s="96" t="inlineStr">
        <is>
          <t>MOMENTUM_ONLY</t>
        </is>
      </c>
    </row>
    <row r="740" ht="16" customHeight="1">
      <c r="A740" s="92" t="n">
        <v>736</v>
      </c>
      <c r="B740" s="93" t="inlineStr">
        <is>
          <t>Mirae Asset BSE Sensex ETF</t>
        </is>
      </c>
      <c r="C740" s="93" t="inlineStr">
        <is>
          <t>Mirae Asset Mutual Fund</t>
        </is>
      </c>
      <c r="D740" s="93" t="inlineStr">
        <is>
          <t>Other  Etfs</t>
        </is>
      </c>
      <c r="E740" s="93" t="inlineStr">
        <is>
          <t>Index Fund</t>
        </is>
      </c>
      <c r="F740" s="97" t="n">
        <v>-0.98</v>
      </c>
      <c r="G740" s="94" t="n">
        <v>3.38</v>
      </c>
      <c r="H740" s="97" t="n">
        <v>-7.05</v>
      </c>
      <c r="I740" s="97" t="n">
        <v>-3.23</v>
      </c>
      <c r="J740" s="97" t="n">
        <v>-0.9596042011139838</v>
      </c>
      <c r="K740" s="94" t="n">
        <v>0</v>
      </c>
      <c r="L740" s="37" t="n">
        <v>20.2</v>
      </c>
      <c r="M740" s="18" t="n">
        <v>0</v>
      </c>
      <c r="N740" s="19" t="n">
        <v>11.1</v>
      </c>
      <c r="O740" s="108">
        <f>COUNTIFS($E:$E,$E740,$L:$L,"&gt;"&amp;$L740)+1</f>
        <v/>
      </c>
      <c r="P740" s="108">
        <f>COUNTIFS($E:$E,$E740,$M:$M,"&gt;"&amp;$M740)+1</f>
        <v/>
      </c>
      <c r="Q740" s="108">
        <f>COUNTIFS($E:$E,$E740,$N:$N,"&gt;"&amp;$N740)+1</f>
        <v/>
      </c>
      <c r="R740" s="95" t="inlineStr">
        <is>
          <t>📉 Weak</t>
        </is>
      </c>
      <c r="S740" s="95" t="inlineStr">
        <is>
          <t>⏳ New Fund</t>
        </is>
      </c>
      <c r="T740" s="95" t="inlineStr">
        <is>
          <t>⏳ New Fund</t>
        </is>
      </c>
      <c r="U740" s="96" t="inlineStr">
        <is>
          <t>MOMENTUM_ONLY</t>
        </is>
      </c>
    </row>
    <row r="741" ht="16" customHeight="1">
      <c r="A741" s="92" t="n">
        <v>737</v>
      </c>
      <c r="B741" s="93" t="inlineStr">
        <is>
          <t>Bajaj Finserv Nifty 50 Index Fund - Regular - Growth</t>
        </is>
      </c>
      <c r="C741" s="93" t="inlineStr">
        <is>
          <t>Bajaj Finserv Mutual Fund</t>
        </is>
      </c>
      <c r="D741" s="93" t="inlineStr">
        <is>
          <t>Index Funds</t>
        </is>
      </c>
      <c r="E741" s="93" t="inlineStr">
        <is>
          <t>Index Fund</t>
        </is>
      </c>
      <c r="F741" s="97" t="n">
        <v>-0.64</v>
      </c>
      <c r="G741" s="94" t="n">
        <v>2.7</v>
      </c>
      <c r="H741" s="97" t="n">
        <v>-5.85</v>
      </c>
      <c r="I741" s="97" t="n">
        <v>-2.07</v>
      </c>
      <c r="J741" s="94" t="n">
        <v>0</v>
      </c>
      <c r="K741" s="94" t="n">
        <v>0</v>
      </c>
      <c r="L741" s="37" t="n">
        <v>20</v>
      </c>
      <c r="M741" s="18" t="n">
        <v>0</v>
      </c>
      <c r="N741" s="19" t="n">
        <v>11</v>
      </c>
      <c r="O741" s="108">
        <f>COUNTIFS($E:$E,$E741,$L:$L,"&gt;"&amp;$L741)+1</f>
        <v/>
      </c>
      <c r="P741" s="108">
        <f>COUNTIFS($E:$E,$E741,$M:$M,"&gt;"&amp;$M741)+1</f>
        <v/>
      </c>
      <c r="Q741" s="108">
        <f>COUNTIFS($E:$E,$E741,$N:$N,"&gt;"&amp;$N741)+1</f>
        <v/>
      </c>
      <c r="R741" s="95" t="inlineStr">
        <is>
          <t>📉 Weak</t>
        </is>
      </c>
      <c r="S741" s="95" t="inlineStr">
        <is>
          <t>⏳ New Fund</t>
        </is>
      </c>
      <c r="T741" s="95" t="inlineStr">
        <is>
          <t>⏳ New Fund</t>
        </is>
      </c>
      <c r="U741" s="96" t="inlineStr">
        <is>
          <t>MOMENTUM_ONLY</t>
        </is>
      </c>
    </row>
    <row r="742" ht="16" customHeight="1">
      <c r="A742" s="92" t="n">
        <v>738</v>
      </c>
      <c r="B742" s="93" t="inlineStr">
        <is>
          <t>ANGEL ONE NIFTY 50 INDEX FUND-REGULAR-GROWTH</t>
        </is>
      </c>
      <c r="C742" s="93" t="inlineStr">
        <is>
          <t>Angel One Mutual Fund</t>
        </is>
      </c>
      <c r="D742" s="93" t="inlineStr">
        <is>
          <t>Index Funds</t>
        </is>
      </c>
      <c r="E742" s="93" t="inlineStr">
        <is>
          <t>Index Fund</t>
        </is>
      </c>
      <c r="F742" s="97" t="n">
        <v>-0.61</v>
      </c>
      <c r="G742" s="94" t="n">
        <v>2.79</v>
      </c>
      <c r="H742" s="97" t="n">
        <v>-6.05</v>
      </c>
      <c r="I742" s="97" t="n">
        <v>-1.63</v>
      </c>
      <c r="J742" s="94" t="n">
        <v>0</v>
      </c>
      <c r="K742" s="94" t="n">
        <v>0</v>
      </c>
      <c r="L742" s="37" t="n">
        <v>19.6</v>
      </c>
      <c r="M742" s="18" t="n">
        <v>0</v>
      </c>
      <c r="N742" s="19" t="n">
        <v>10.8</v>
      </c>
      <c r="O742" s="108">
        <f>COUNTIFS($E:$E,$E742,$L:$L,"&gt;"&amp;$L742)+1</f>
        <v/>
      </c>
      <c r="P742" s="108">
        <f>COUNTIFS($E:$E,$E742,$M:$M,"&gt;"&amp;$M742)+1</f>
        <v/>
      </c>
      <c r="Q742" s="108">
        <f>COUNTIFS($E:$E,$E742,$N:$N,"&gt;"&amp;$N742)+1</f>
        <v/>
      </c>
      <c r="R742" s="95" t="inlineStr">
        <is>
          <t>📉 Weak</t>
        </is>
      </c>
      <c r="S742" s="95" t="inlineStr">
        <is>
          <t>⏳ New Fund</t>
        </is>
      </c>
      <c r="T742" s="95" t="inlineStr">
        <is>
          <t>⏳ New Fund</t>
        </is>
      </c>
      <c r="U742" s="96" t="inlineStr">
        <is>
          <t>MOMENTUM_ONLY</t>
        </is>
      </c>
    </row>
    <row r="743" ht="16" customHeight="1">
      <c r="A743" s="92" t="n">
        <v>739</v>
      </c>
      <c r="B743" s="93" t="inlineStr">
        <is>
          <t>Mirae Asset Nifty 50 Index Fund - Regular Plan - Growth</t>
        </is>
      </c>
      <c r="C743" s="93" t="inlineStr">
        <is>
          <t>Mirae Asset Mutual Fund</t>
        </is>
      </c>
      <c r="D743" s="93" t="inlineStr">
        <is>
          <t>Index Funds</t>
        </is>
      </c>
      <c r="E743" s="93" t="inlineStr">
        <is>
          <t>Index Fund</t>
        </is>
      </c>
      <c r="F743" s="97" t="n">
        <v>-0.61</v>
      </c>
      <c r="G743" s="94" t="n">
        <v>2.76</v>
      </c>
      <c r="H743" s="97" t="n">
        <v>-6.15</v>
      </c>
      <c r="I743" s="97" t="n">
        <v>-1.71</v>
      </c>
      <c r="J743" s="94" t="n">
        <v>0</v>
      </c>
      <c r="K743" s="94" t="n">
        <v>0</v>
      </c>
      <c r="L743" s="37" t="n">
        <v>19.4</v>
      </c>
      <c r="M743" s="18" t="n">
        <v>0</v>
      </c>
      <c r="N743" s="19" t="n">
        <v>10.7</v>
      </c>
      <c r="O743" s="108">
        <f>COUNTIFS($E:$E,$E743,$L:$L,"&gt;"&amp;$L743)+1</f>
        <v/>
      </c>
      <c r="P743" s="108">
        <f>COUNTIFS($E:$E,$E743,$M:$M,"&gt;"&amp;$M743)+1</f>
        <v/>
      </c>
      <c r="Q743" s="108">
        <f>COUNTIFS($E:$E,$E743,$N:$N,"&gt;"&amp;$N743)+1</f>
        <v/>
      </c>
      <c r="R743" s="95" t="inlineStr">
        <is>
          <t>📉 Weak</t>
        </is>
      </c>
      <c r="S743" s="95" t="inlineStr">
        <is>
          <t>⏳ New Fund</t>
        </is>
      </c>
      <c r="T743" s="95" t="inlineStr">
        <is>
          <t>⏳ New Fund</t>
        </is>
      </c>
      <c r="U743" s="96" t="inlineStr">
        <is>
          <t>MOMENTUM_ONLY</t>
        </is>
      </c>
    </row>
    <row r="744" ht="16" customHeight="1">
      <c r="A744" s="92" t="n">
        <v>740</v>
      </c>
      <c r="B744" s="93" t="inlineStr">
        <is>
          <t>ICICI Prudential Nifty Top 15 Equal Weight Index Fund - Growth</t>
        </is>
      </c>
      <c r="C744" s="93" t="inlineStr">
        <is>
          <t>ICICI Prudential Mutual Fund</t>
        </is>
      </c>
      <c r="D744" s="93" t="inlineStr">
        <is>
          <t>Index Funds</t>
        </is>
      </c>
      <c r="E744" s="93" t="inlineStr">
        <is>
          <t>Index Fund</t>
        </is>
      </c>
      <c r="F744" s="97" t="n">
        <v>-0.47</v>
      </c>
      <c r="G744" s="94" t="n">
        <v>3.04</v>
      </c>
      <c r="H744" s="97" t="n">
        <v>-8.539999999999999</v>
      </c>
      <c r="I744" s="97" t="n">
        <v>-2.12</v>
      </c>
      <c r="J744" s="94" t="n">
        <v>0</v>
      </c>
      <c r="K744" s="94" t="n">
        <v>0</v>
      </c>
      <c r="L744" s="37" t="n">
        <v>18.2</v>
      </c>
      <c r="M744" s="18" t="n">
        <v>0</v>
      </c>
      <c r="N744" s="19" t="n">
        <v>10</v>
      </c>
      <c r="O744" s="108">
        <f>COUNTIFS($E:$E,$E744,$L:$L,"&gt;"&amp;$L744)+1</f>
        <v/>
      </c>
      <c r="P744" s="108">
        <f>COUNTIFS($E:$E,$E744,$M:$M,"&gt;"&amp;$M744)+1</f>
        <v/>
      </c>
      <c r="Q744" s="108">
        <f>COUNTIFS($E:$E,$E744,$N:$N,"&gt;"&amp;$N744)+1</f>
        <v/>
      </c>
      <c r="R744" s="95" t="inlineStr">
        <is>
          <t>📉 Weak</t>
        </is>
      </c>
      <c r="S744" s="95" t="inlineStr">
        <is>
          <t>⏳ New Fund</t>
        </is>
      </c>
      <c r="T744" s="95" t="inlineStr">
        <is>
          <t>⏳ New Fund</t>
        </is>
      </c>
      <c r="U744" s="96" t="inlineStr">
        <is>
          <t>MOMENTUM_ONLY</t>
        </is>
      </c>
    </row>
    <row r="745" ht="16" customHeight="1">
      <c r="A745" s="92" t="n">
        <v>741</v>
      </c>
      <c r="B745" s="93" t="inlineStr">
        <is>
          <t>Tata Nifty Financial Services Index Fund - Regular Plan - Growth</t>
        </is>
      </c>
      <c r="C745" s="93" t="inlineStr">
        <is>
          <t>Tata Mutual Fund</t>
        </is>
      </c>
      <c r="D745" s="93" t="inlineStr">
        <is>
          <t>Index Funds</t>
        </is>
      </c>
      <c r="E745" s="93" t="inlineStr">
        <is>
          <t>Banking/Financial</t>
        </is>
      </c>
      <c r="F745" s="97" t="n">
        <v>-2.88</v>
      </c>
      <c r="G745" s="94" t="n">
        <v>3.57</v>
      </c>
      <c r="H745" s="97" t="n">
        <v>-8.06</v>
      </c>
      <c r="I745" s="97" t="n">
        <v>-1.23</v>
      </c>
      <c r="J745" s="94" t="n">
        <v>6.099010362962387</v>
      </c>
      <c r="K745" s="94" t="n">
        <v>0</v>
      </c>
      <c r="L745" s="37" t="n">
        <v>17.8</v>
      </c>
      <c r="M745" s="18" t="n">
        <v>0</v>
      </c>
      <c r="N745" s="19" t="n">
        <v>9.800000000000001</v>
      </c>
      <c r="O745" s="108">
        <f>COUNTIFS($E:$E,$E745,$L:$L,"&gt;"&amp;$L745)+1</f>
        <v/>
      </c>
      <c r="P745" s="108">
        <f>COUNTIFS($E:$E,$E745,$M:$M,"&gt;"&amp;$M745)+1</f>
        <v/>
      </c>
      <c r="Q745" s="108">
        <f>COUNTIFS($E:$E,$E745,$N:$N,"&gt;"&amp;$N745)+1</f>
        <v/>
      </c>
      <c r="R745" s="95" t="inlineStr">
        <is>
          <t>📉 Weak</t>
        </is>
      </c>
      <c r="S745" s="95" t="inlineStr">
        <is>
          <t>⏳ New Fund</t>
        </is>
      </c>
      <c r="T745" s="95" t="inlineStr">
        <is>
          <t>⏳ New Fund</t>
        </is>
      </c>
      <c r="U745" s="96" t="inlineStr">
        <is>
          <t>MOMENTUM_ONLY</t>
        </is>
      </c>
    </row>
    <row r="746" ht="16" customHeight="1">
      <c r="A746" s="92" t="n">
        <v>742</v>
      </c>
      <c r="B746" s="93" t="inlineStr">
        <is>
          <t>Kotak BSE Sensex Index Fund - Regular - Growth</t>
        </is>
      </c>
      <c r="C746" s="93" t="inlineStr">
        <is>
          <t>Kotak Mahindra Mutual Fund</t>
        </is>
      </c>
      <c r="D746" s="93" t="inlineStr">
        <is>
          <t>Index Funds</t>
        </is>
      </c>
      <c r="E746" s="93" t="inlineStr">
        <is>
          <t>Index Fund</t>
        </is>
      </c>
      <c r="F746" s="97" t="n">
        <v>-1</v>
      </c>
      <c r="G746" s="94" t="n">
        <v>3.3</v>
      </c>
      <c r="H746" s="97" t="n">
        <v>-7.21</v>
      </c>
      <c r="I746" s="97" t="n">
        <v>-3.63</v>
      </c>
      <c r="J746" s="94" t="n">
        <v>0</v>
      </c>
      <c r="K746" s="94" t="n">
        <v>0</v>
      </c>
      <c r="L746" s="37" t="n">
        <v>17.5</v>
      </c>
      <c r="M746" s="18" t="n">
        <v>0</v>
      </c>
      <c r="N746" s="19" t="n">
        <v>9.6</v>
      </c>
      <c r="O746" s="108">
        <f>COUNTIFS($E:$E,$E746,$L:$L,"&gt;"&amp;$L746)+1</f>
        <v/>
      </c>
      <c r="P746" s="108">
        <f>COUNTIFS($E:$E,$E746,$M:$M,"&gt;"&amp;$M746)+1</f>
        <v/>
      </c>
      <c r="Q746" s="108">
        <f>COUNTIFS($E:$E,$E746,$N:$N,"&gt;"&amp;$N746)+1</f>
        <v/>
      </c>
      <c r="R746" s="95" t="inlineStr">
        <is>
          <t>📉 Weak</t>
        </is>
      </c>
      <c r="S746" s="95" t="inlineStr">
        <is>
          <t>⏳ New Fund</t>
        </is>
      </c>
      <c r="T746" s="95" t="inlineStr">
        <is>
          <t>⏳ New Fund</t>
        </is>
      </c>
      <c r="U746" s="96" t="inlineStr">
        <is>
          <t>MOMENTUM_ONLY</t>
        </is>
      </c>
    </row>
    <row r="747" ht="16" customHeight="1">
      <c r="A747" s="92" t="n">
        <v>743</v>
      </c>
      <c r="B747" s="93" t="inlineStr">
        <is>
          <t>DSP Nifty Healthcare ETF</t>
        </is>
      </c>
      <c r="C747" s="93" t="inlineStr">
        <is>
          <t>DSP Mutual Fund</t>
        </is>
      </c>
      <c r="D747" s="93" t="inlineStr">
        <is>
          <t>Other  Etfs</t>
        </is>
      </c>
      <c r="E747" s="93" t="inlineStr">
        <is>
          <t>Pharma/Healthcare</t>
        </is>
      </c>
      <c r="F747" s="94" t="n">
        <v>1.15</v>
      </c>
      <c r="G747" s="97" t="n">
        <v>-89.58</v>
      </c>
      <c r="H747" s="97" t="n">
        <v>-88.7</v>
      </c>
      <c r="I747" s="97" t="n">
        <v>-88.73</v>
      </c>
      <c r="J747" s="97" t="n">
        <v>-65.44569491365802</v>
      </c>
      <c r="K747" s="94" t="n">
        <v>0</v>
      </c>
      <c r="L747" s="37" t="n">
        <v>16.8</v>
      </c>
      <c r="M747" s="18" t="n">
        <v>0</v>
      </c>
      <c r="N747" s="19" t="n">
        <v>9.300000000000001</v>
      </c>
      <c r="O747" s="108">
        <f>COUNTIFS($E:$E,$E747,$L:$L,"&gt;"&amp;$L747)+1</f>
        <v/>
      </c>
      <c r="P747" s="108">
        <f>COUNTIFS($E:$E,$E747,$M:$M,"&gt;"&amp;$M747)+1</f>
        <v/>
      </c>
      <c r="Q747" s="108">
        <f>COUNTIFS($E:$E,$E747,$N:$N,"&gt;"&amp;$N747)+1</f>
        <v/>
      </c>
      <c r="R747" s="95" t="inlineStr">
        <is>
          <t>📉 Weak</t>
        </is>
      </c>
      <c r="S747" s="95" t="inlineStr">
        <is>
          <t>⏳ New Fund</t>
        </is>
      </c>
      <c r="T747" s="95" t="inlineStr">
        <is>
          <t>⏳ New Fund</t>
        </is>
      </c>
      <c r="U747" s="96" t="inlineStr">
        <is>
          <t>MOMENTUM_ONLY</t>
        </is>
      </c>
    </row>
    <row r="748" ht="16" customHeight="1">
      <c r="A748" s="92" t="n">
        <v>744</v>
      </c>
      <c r="B748" s="93" t="inlineStr">
        <is>
          <t>Axis BSE Sensex Index Fund - Regular Plan - Growth</t>
        </is>
      </c>
      <c r="C748" s="93" t="inlineStr">
        <is>
          <t>Axis Mutual Fund</t>
        </is>
      </c>
      <c r="D748" s="93" t="inlineStr">
        <is>
          <t>Index Funds</t>
        </is>
      </c>
      <c r="E748" s="93" t="inlineStr">
        <is>
          <t>Index Fund</t>
        </is>
      </c>
      <c r="F748" s="97" t="n">
        <v>-1.04</v>
      </c>
      <c r="G748" s="94" t="n">
        <v>3.22</v>
      </c>
      <c r="H748" s="97" t="n">
        <v>-7.21</v>
      </c>
      <c r="I748" s="97" t="n">
        <v>-3.69</v>
      </c>
      <c r="J748" s="97" t="n">
        <v>-1.52157596711856</v>
      </c>
      <c r="K748" s="94" t="n">
        <v>0</v>
      </c>
      <c r="L748" s="37" t="n">
        <v>16.2</v>
      </c>
      <c r="M748" s="18" t="n">
        <v>0</v>
      </c>
      <c r="N748" s="19" t="n">
        <v>8.9</v>
      </c>
      <c r="O748" s="108">
        <f>COUNTIFS($E:$E,$E748,$L:$L,"&gt;"&amp;$L748)+1</f>
        <v/>
      </c>
      <c r="P748" s="108">
        <f>COUNTIFS($E:$E,$E748,$M:$M,"&gt;"&amp;$M748)+1</f>
        <v/>
      </c>
      <c r="Q748" s="108">
        <f>COUNTIFS($E:$E,$E748,$N:$N,"&gt;"&amp;$N748)+1</f>
        <v/>
      </c>
      <c r="R748" s="95" t="inlineStr">
        <is>
          <t>📉 Weak</t>
        </is>
      </c>
      <c r="S748" s="95" t="inlineStr">
        <is>
          <t>⏳ New Fund</t>
        </is>
      </c>
      <c r="T748" s="95" t="inlineStr">
        <is>
          <t>⏳ New Fund</t>
        </is>
      </c>
      <c r="U748" s="96" t="inlineStr">
        <is>
          <t>MOMENTUM_ONLY</t>
        </is>
      </c>
    </row>
    <row r="749" ht="16" customHeight="1">
      <c r="A749" s="92" t="n">
        <v>745</v>
      </c>
      <c r="B749" s="93" t="inlineStr">
        <is>
          <t>Aditya Birla Sun Life US Treasury 3-10 Year Bond ETFs Fund Of Funds-Regular Growth</t>
        </is>
      </c>
      <c r="C749" s="93" t="inlineStr">
        <is>
          <t>Aditya Birla Sun Life Mutual Fund</t>
        </is>
      </c>
      <c r="D749" s="93" t="inlineStr">
        <is>
          <t>Fof Overseas</t>
        </is>
      </c>
      <c r="E749" s="93" t="inlineStr">
        <is>
          <t>Standard Equity/Debt</t>
        </is>
      </c>
      <c r="F749" s="97" t="n">
        <v>-0.92</v>
      </c>
      <c r="G749" s="94" t="n">
        <v>0.06</v>
      </c>
      <c r="H749" s="94" t="n">
        <v>3.99</v>
      </c>
      <c r="I749" s="94" t="n">
        <v>10.83</v>
      </c>
      <c r="J749" s="94" t="n">
        <v>9.444049632677597</v>
      </c>
      <c r="K749" s="94" t="n">
        <v>0</v>
      </c>
      <c r="L749" s="37" t="n">
        <v>15.6</v>
      </c>
      <c r="M749" s="18" t="n">
        <v>0</v>
      </c>
      <c r="N749" s="19" t="n">
        <v>8.6</v>
      </c>
      <c r="O749" s="108">
        <f>COUNTIFS($E:$E,$E749,$L:$L,"&gt;"&amp;$L749)+1</f>
        <v/>
      </c>
      <c r="P749" s="108">
        <f>COUNTIFS($E:$E,$E749,$M:$M,"&gt;"&amp;$M749)+1</f>
        <v/>
      </c>
      <c r="Q749" s="108">
        <f>COUNTIFS($E:$E,$E749,$N:$N,"&gt;"&amp;$N749)+1</f>
        <v/>
      </c>
      <c r="R749" s="95" t="inlineStr">
        <is>
          <t>📉 Weak</t>
        </is>
      </c>
      <c r="S749" s="95" t="inlineStr">
        <is>
          <t>⏳ New Fund</t>
        </is>
      </c>
      <c r="T749" s="95" t="inlineStr">
        <is>
          <t>⏳ New Fund</t>
        </is>
      </c>
      <c r="U749" s="96" t="inlineStr">
        <is>
          <t>MOMENTUM_ONLY</t>
        </is>
      </c>
    </row>
    <row r="750" ht="16" customHeight="1">
      <c r="A750" s="92" t="n">
        <v>746</v>
      </c>
      <c r="B750" s="93" t="inlineStr">
        <is>
          <t>DSP US Specific Debt Passive FoF - Regular - Growth</t>
        </is>
      </c>
      <c r="C750" s="93" t="inlineStr">
        <is>
          <t>DSP Mutual Fund</t>
        </is>
      </c>
      <c r="D750" s="93" t="inlineStr">
        <is>
          <t>Fof Overseas</t>
        </is>
      </c>
      <c r="E750" s="93" t="inlineStr">
        <is>
          <t>Standard Equity/Debt</t>
        </is>
      </c>
      <c r="F750" s="97" t="n">
        <v>-1.32</v>
      </c>
      <c r="G750" s="94" t="n">
        <v>0.21</v>
      </c>
      <c r="H750" s="94" t="n">
        <v>3.53</v>
      </c>
      <c r="I750" s="94" t="n">
        <v>10.85</v>
      </c>
      <c r="J750" s="94" t="n">
        <v>8.903627120495861</v>
      </c>
      <c r="K750" s="94" t="n">
        <v>0</v>
      </c>
      <c r="L750" s="37" t="n">
        <v>15.2</v>
      </c>
      <c r="M750" s="18" t="n">
        <v>0</v>
      </c>
      <c r="N750" s="19" t="n">
        <v>8.4</v>
      </c>
      <c r="O750" s="108">
        <f>COUNTIFS($E:$E,$E750,$L:$L,"&gt;"&amp;$L750)+1</f>
        <v/>
      </c>
      <c r="P750" s="108">
        <f>COUNTIFS($E:$E,$E750,$M:$M,"&gt;"&amp;$M750)+1</f>
        <v/>
      </c>
      <c r="Q750" s="108">
        <f>COUNTIFS($E:$E,$E750,$N:$N,"&gt;"&amp;$N750)+1</f>
        <v/>
      </c>
      <c r="R750" s="95" t="inlineStr">
        <is>
          <t>📉 Weak</t>
        </is>
      </c>
      <c r="S750" s="95" t="inlineStr">
        <is>
          <t>⏳ New Fund</t>
        </is>
      </c>
      <c r="T750" s="95" t="inlineStr">
        <is>
          <t>⏳ New Fund</t>
        </is>
      </c>
      <c r="U750" s="96" t="inlineStr">
        <is>
          <t>MOMENTUM_ONLY</t>
        </is>
      </c>
    </row>
    <row r="751" ht="16" customHeight="1">
      <c r="A751" s="92" t="n">
        <v>747</v>
      </c>
      <c r="B751" s="93" t="inlineStr">
        <is>
          <t>NAVI BSE SENSEX INDEX FUND - REGULAR PLAN - GROWTH</t>
        </is>
      </c>
      <c r="C751" s="93" t="inlineStr">
        <is>
          <t>Navi Mutual Fund</t>
        </is>
      </c>
      <c r="D751" s="93" t="inlineStr">
        <is>
          <t>Index Funds</t>
        </is>
      </c>
      <c r="E751" s="93" t="inlineStr">
        <is>
          <t>Index Fund</t>
        </is>
      </c>
      <c r="F751" s="97" t="n">
        <v>-1.07</v>
      </c>
      <c r="G751" s="94" t="n">
        <v>3.11</v>
      </c>
      <c r="H751" s="97" t="n">
        <v>-7.51</v>
      </c>
      <c r="I751" s="97" t="n">
        <v>-3.92</v>
      </c>
      <c r="J751" s="97" t="n">
        <v>-1.765586478057501</v>
      </c>
      <c r="K751" s="94" t="n">
        <v>0</v>
      </c>
      <c r="L751" s="37" t="n">
        <v>14.7</v>
      </c>
      <c r="M751" s="18" t="n">
        <v>0</v>
      </c>
      <c r="N751" s="19" t="n">
        <v>8.1</v>
      </c>
      <c r="O751" s="108">
        <f>COUNTIFS($E:$E,$E751,$L:$L,"&gt;"&amp;$L751)+1</f>
        <v/>
      </c>
      <c r="P751" s="108">
        <f>COUNTIFS($E:$E,$E751,$M:$M,"&gt;"&amp;$M751)+1</f>
        <v/>
      </c>
      <c r="Q751" s="108">
        <f>COUNTIFS($E:$E,$E751,$N:$N,"&gt;"&amp;$N751)+1</f>
        <v/>
      </c>
      <c r="R751" s="95" t="inlineStr">
        <is>
          <t>📉 Weak</t>
        </is>
      </c>
      <c r="S751" s="95" t="inlineStr">
        <is>
          <t>⏳ New Fund</t>
        </is>
      </c>
      <c r="T751" s="95" t="inlineStr">
        <is>
          <t>⏳ New Fund</t>
        </is>
      </c>
      <c r="U751" s="96" t="inlineStr">
        <is>
          <t>MOMENTUM_ONLY</t>
        </is>
      </c>
    </row>
    <row r="752" ht="16" customHeight="1">
      <c r="A752" s="92" t="n">
        <v>748</v>
      </c>
      <c r="B752" s="93" t="inlineStr">
        <is>
          <t>Axis US Specific Treasury Dynamic Debt Passive FOF - Regular Plan - Growth Option</t>
        </is>
      </c>
      <c r="C752" s="93" t="inlineStr">
        <is>
          <t>Axis Mutual Fund</t>
        </is>
      </c>
      <c r="D752" s="93" t="inlineStr">
        <is>
          <t>Fof Overseas</t>
        </is>
      </c>
      <c r="E752" s="93" t="inlineStr">
        <is>
          <t>Standard Equity/Debt</t>
        </is>
      </c>
      <c r="F752" s="97" t="n">
        <v>-1.46</v>
      </c>
      <c r="G752" s="94" t="n">
        <v>0.23</v>
      </c>
      <c r="H752" s="94" t="n">
        <v>3.04</v>
      </c>
      <c r="I752" s="94" t="n">
        <v>10.43</v>
      </c>
      <c r="J752" s="94" t="n">
        <v>8.494239478416542</v>
      </c>
      <c r="K752" s="94" t="n">
        <v>0</v>
      </c>
      <c r="L752" s="37" t="n">
        <v>13.3</v>
      </c>
      <c r="M752" s="18" t="n">
        <v>0</v>
      </c>
      <c r="N752" s="19" t="n">
        <v>7.3</v>
      </c>
      <c r="O752" s="108">
        <f>COUNTIFS($E:$E,$E752,$L:$L,"&gt;"&amp;$L752)+1</f>
        <v/>
      </c>
      <c r="P752" s="108">
        <f>COUNTIFS($E:$E,$E752,$M:$M,"&gt;"&amp;$M752)+1</f>
        <v/>
      </c>
      <c r="Q752" s="108">
        <f>COUNTIFS($E:$E,$E752,$N:$N,"&gt;"&amp;$N752)+1</f>
        <v/>
      </c>
      <c r="R752" s="95" t="inlineStr">
        <is>
          <t>📉 Weak</t>
        </is>
      </c>
      <c r="S752" s="95" t="inlineStr">
        <is>
          <t>⏳ New Fund</t>
        </is>
      </c>
      <c r="T752" s="95" t="inlineStr">
        <is>
          <t>⏳ New Fund</t>
        </is>
      </c>
      <c r="U752" s="96" t="inlineStr">
        <is>
          <t>MOMENTUM_ONLY</t>
        </is>
      </c>
    </row>
    <row r="753" ht="16" customHeight="1">
      <c r="A753" s="92" t="n">
        <v>749</v>
      </c>
      <c r="B753" s="93" t="inlineStr">
        <is>
          <t>Kotak Nifty200 Value 30 Index Fund - Regular - Growth</t>
        </is>
      </c>
      <c r="C753" s="93" t="inlineStr">
        <is>
          <t>Kotak Mahindra Mutual Fund</t>
        </is>
      </c>
      <c r="D753" s="93" t="inlineStr">
        <is>
          <t>Index Funds</t>
        </is>
      </c>
      <c r="E753" s="93" t="inlineStr">
        <is>
          <t>Index Fund</t>
        </is>
      </c>
      <c r="F753" s="97" t="n">
        <v>-0.31</v>
      </c>
      <c r="G753" s="97" t="n">
        <v>-1.73</v>
      </c>
      <c r="H753" s="97" t="n">
        <v>-5.83</v>
      </c>
      <c r="I753" s="94" t="n">
        <v>0</v>
      </c>
      <c r="J753" s="94" t="n">
        <v>0</v>
      </c>
      <c r="K753" s="94" t="n">
        <v>0</v>
      </c>
      <c r="L753" s="37" t="n">
        <v>13.2</v>
      </c>
      <c r="M753" s="18" t="n">
        <v>0</v>
      </c>
      <c r="N753" s="19" t="n">
        <v>7.2</v>
      </c>
      <c r="O753" s="108">
        <f>COUNTIFS($E:$E,$E753,$L:$L,"&gt;"&amp;$L753)+1</f>
        <v/>
      </c>
      <c r="P753" s="108">
        <f>COUNTIFS($E:$E,$E753,$M:$M,"&gt;"&amp;$M753)+1</f>
        <v/>
      </c>
      <c r="Q753" s="108">
        <f>COUNTIFS($E:$E,$E753,$N:$N,"&gt;"&amp;$N753)+1</f>
        <v/>
      </c>
      <c r="R753" s="95" t="inlineStr">
        <is>
          <t>📉 Weak</t>
        </is>
      </c>
      <c r="S753" s="95" t="inlineStr">
        <is>
          <t>⏳ New Fund</t>
        </is>
      </c>
      <c r="T753" s="95" t="inlineStr">
        <is>
          <t>⏳ New Fund</t>
        </is>
      </c>
      <c r="U753" s="96" t="inlineStr">
        <is>
          <t>MOMENTUM_ONLY</t>
        </is>
      </c>
    </row>
    <row r="754" ht="16" customHeight="1">
      <c r="A754" s="92" t="n">
        <v>750</v>
      </c>
      <c r="B754" s="93" t="inlineStr">
        <is>
          <t>DSP Nifty Top 10 Equal Weight ETF</t>
        </is>
      </c>
      <c r="C754" s="93" t="inlineStr">
        <is>
          <t>DSP Mutual Fund</t>
        </is>
      </c>
      <c r="D754" s="93" t="inlineStr">
        <is>
          <t>Other  Etfs</t>
        </is>
      </c>
      <c r="E754" s="93" t="inlineStr">
        <is>
          <t>Index Fund</t>
        </is>
      </c>
      <c r="F754" s="97" t="n">
        <v>-1.38</v>
      </c>
      <c r="G754" s="94" t="n">
        <v>0.91</v>
      </c>
      <c r="H754" s="97" t="n">
        <v>-9.859999999999999</v>
      </c>
      <c r="I754" s="97" t="n">
        <v>-7.5</v>
      </c>
      <c r="J754" s="94" t="n">
        <v>0</v>
      </c>
      <c r="K754" s="94" t="n">
        <v>0</v>
      </c>
      <c r="L754" s="37" t="n">
        <v>12.2</v>
      </c>
      <c r="M754" s="18" t="n">
        <v>0</v>
      </c>
      <c r="N754" s="19" t="n">
        <v>6.7</v>
      </c>
      <c r="O754" s="108">
        <f>COUNTIFS($E:$E,$E754,$L:$L,"&gt;"&amp;$L754)+1</f>
        <v/>
      </c>
      <c r="P754" s="108">
        <f>COUNTIFS($E:$E,$E754,$M:$M,"&gt;"&amp;$M754)+1</f>
        <v/>
      </c>
      <c r="Q754" s="108">
        <f>COUNTIFS($E:$E,$E754,$N:$N,"&gt;"&amp;$N754)+1</f>
        <v/>
      </c>
      <c r="R754" s="95" t="inlineStr">
        <is>
          <t>📉 Weak</t>
        </is>
      </c>
      <c r="S754" s="95" t="inlineStr">
        <is>
          <t>⏳ New Fund</t>
        </is>
      </c>
      <c r="T754" s="95" t="inlineStr">
        <is>
          <t>⏳ New Fund</t>
        </is>
      </c>
      <c r="U754" s="96" t="inlineStr">
        <is>
          <t>MOMENTUM_ONLY</t>
        </is>
      </c>
    </row>
    <row r="755" ht="16" customHeight="1">
      <c r="A755" s="92" t="n">
        <v>751</v>
      </c>
      <c r="B755" s="93" t="inlineStr">
        <is>
          <t>Kotak Nifty Top 10 Equal Weight Index Fund-Regular Plan-Growth</t>
        </is>
      </c>
      <c r="C755" s="93" t="inlineStr">
        <is>
          <t>Kotak Mahindra Mutual Fund</t>
        </is>
      </c>
      <c r="D755" s="93" t="inlineStr">
        <is>
          <t>Index Funds</t>
        </is>
      </c>
      <c r="E755" s="93" t="inlineStr">
        <is>
          <t>Index Fund</t>
        </is>
      </c>
      <c r="F755" s="97" t="n">
        <v>-1.43</v>
      </c>
      <c r="G755" s="94" t="n">
        <v>0.7</v>
      </c>
      <c r="H755" s="97" t="n">
        <v>-10.21</v>
      </c>
      <c r="I755" s="97" t="n">
        <v>-8.31</v>
      </c>
      <c r="J755" s="94" t="n">
        <v>0</v>
      </c>
      <c r="K755" s="94" t="n">
        <v>0</v>
      </c>
      <c r="L755" s="37" t="n">
        <v>5.7</v>
      </c>
      <c r="M755" s="18" t="n">
        <v>0</v>
      </c>
      <c r="N755" s="19" t="n">
        <v>3.1</v>
      </c>
      <c r="O755" s="108">
        <f>COUNTIFS($E:$E,$E755,$L:$L,"&gt;"&amp;$L755)+1</f>
        <v/>
      </c>
      <c r="P755" s="108">
        <f>COUNTIFS($E:$E,$E755,$M:$M,"&gt;"&amp;$M755)+1</f>
        <v/>
      </c>
      <c r="Q755" s="108">
        <f>COUNTIFS($E:$E,$E755,$N:$N,"&gt;"&amp;$N755)+1</f>
        <v/>
      </c>
      <c r="R755" s="95" t="inlineStr">
        <is>
          <t>📉 Weak</t>
        </is>
      </c>
      <c r="S755" s="95" t="inlineStr">
        <is>
          <t>⏳ New Fund</t>
        </is>
      </c>
      <c r="T755" s="95" t="inlineStr">
        <is>
          <t>⏳ New Fund</t>
        </is>
      </c>
      <c r="U755" s="96" t="inlineStr">
        <is>
          <t>MOMENTUM_ONLY</t>
        </is>
      </c>
    </row>
    <row r="756" ht="16" customHeight="1">
      <c r="A756" s="92" t="n">
        <v>752</v>
      </c>
      <c r="B756" s="93" t="inlineStr">
        <is>
          <t>DSP Nifty Top 10 Equal Weight Index Fund - Regular - Growth</t>
        </is>
      </c>
      <c r="C756" s="93" t="inlineStr">
        <is>
          <t>DSP Mutual Fund</t>
        </is>
      </c>
      <c r="D756" s="93" t="inlineStr">
        <is>
          <t>Index Funds</t>
        </is>
      </c>
      <c r="E756" s="93" t="inlineStr">
        <is>
          <t>Index Fund</t>
        </is>
      </c>
      <c r="F756" s="97" t="n">
        <v>-1.45</v>
      </c>
      <c r="G756" s="94" t="n">
        <v>0.71</v>
      </c>
      <c r="H756" s="97" t="n">
        <v>-10.23</v>
      </c>
      <c r="I756" s="97" t="n">
        <v>-8.279999999999999</v>
      </c>
      <c r="J756" s="94" t="n">
        <v>0</v>
      </c>
      <c r="K756" s="94" t="n">
        <v>0</v>
      </c>
      <c r="L756" s="37" t="n">
        <v>5.7</v>
      </c>
      <c r="M756" s="18" t="n">
        <v>0</v>
      </c>
      <c r="N756" s="19" t="n">
        <v>3.1</v>
      </c>
      <c r="O756" s="108">
        <f>COUNTIFS($E:$E,$E756,$L:$L,"&gt;"&amp;$L756)+1</f>
        <v/>
      </c>
      <c r="P756" s="108">
        <f>COUNTIFS($E:$E,$E756,$M:$M,"&gt;"&amp;$M756)+1</f>
        <v/>
      </c>
      <c r="Q756" s="108">
        <f>COUNTIFS($E:$E,$E756,$N:$N,"&gt;"&amp;$N756)+1</f>
        <v/>
      </c>
      <c r="R756" s="95" t="inlineStr">
        <is>
          <t>📉 Weak</t>
        </is>
      </c>
      <c r="S756" s="95" t="inlineStr">
        <is>
          <t>⏳ New Fund</t>
        </is>
      </c>
      <c r="T756" s="95" t="inlineStr">
        <is>
          <t>⏳ New Fund</t>
        </is>
      </c>
      <c r="U756" s="96" t="inlineStr">
        <is>
          <t>MOMENTUM_ONLY</t>
        </is>
      </c>
    </row>
    <row r="757" ht="16" customHeight="1">
      <c r="A757" s="92" t="n">
        <v>753</v>
      </c>
      <c r="B757" s="93" t="inlineStr">
        <is>
          <t>ICICI Prudential Nifty50 Value 20 Index Fund - Growth</t>
        </is>
      </c>
      <c r="C757" s="93" t="inlineStr">
        <is>
          <t>ICICI Prudential Mutual Fund</t>
        </is>
      </c>
      <c r="D757" s="93" t="inlineStr">
        <is>
          <t>Index Funds</t>
        </is>
      </c>
      <c r="E757" s="93" t="inlineStr">
        <is>
          <t>Index Fund</t>
        </is>
      </c>
      <c r="F757" s="97" t="n">
        <v>-2.28</v>
      </c>
      <c r="G757" s="97" t="n">
        <v>-0.87</v>
      </c>
      <c r="H757" s="97" t="n">
        <v>-9.619999999999999</v>
      </c>
      <c r="I757" s="97" t="n">
        <v>-4.45</v>
      </c>
      <c r="J757" s="97" t="n">
        <v>-6.871057130449509</v>
      </c>
      <c r="K757" s="94" t="n">
        <v>0</v>
      </c>
      <c r="L757" s="37" t="n">
        <v>5</v>
      </c>
      <c r="M757" s="18" t="n">
        <v>0</v>
      </c>
      <c r="N757" s="19" t="n">
        <v>2.7</v>
      </c>
      <c r="O757" s="108">
        <f>COUNTIFS($E:$E,$E757,$L:$L,"&gt;"&amp;$L757)+1</f>
        <v/>
      </c>
      <c r="P757" s="108">
        <f>COUNTIFS($E:$E,$E757,$M:$M,"&gt;"&amp;$M757)+1</f>
        <v/>
      </c>
      <c r="Q757" s="108">
        <f>COUNTIFS($E:$E,$E757,$N:$N,"&gt;"&amp;$N757)+1</f>
        <v/>
      </c>
      <c r="R757" s="95" t="inlineStr">
        <is>
          <t>📉 Weak</t>
        </is>
      </c>
      <c r="S757" s="95" t="inlineStr">
        <is>
          <t>⏳ New Fund</t>
        </is>
      </c>
      <c r="T757" s="95" t="inlineStr">
        <is>
          <t>⏳ New Fund</t>
        </is>
      </c>
      <c r="U757" s="96" t="inlineStr">
        <is>
          <t>MOMENTUM_ONLY</t>
        </is>
      </c>
    </row>
    <row r="758" ht="16" customHeight="1">
      <c r="A758" s="98" t="n">
        <v>754</v>
      </c>
      <c r="B758" s="99" t="inlineStr">
        <is>
          <t>Kotak Quality Overseas Equity Omni FOF - Regular Plan - Growth</t>
        </is>
      </c>
      <c r="C758" s="99" t="inlineStr">
        <is>
          <t>Kotak Mahindra Mutual Fund</t>
        </is>
      </c>
      <c r="D758" s="99" t="inlineStr">
        <is>
          <t>Fof Overseas</t>
        </is>
      </c>
      <c r="E758" s="99" t="inlineStr">
        <is>
          <t>International</t>
        </is>
      </c>
      <c r="F758" s="100" t="n">
        <v>3.39</v>
      </c>
      <c r="G758" s="100" t="n">
        <v>5.2</v>
      </c>
      <c r="H758" s="100" t="n">
        <v>0</v>
      </c>
      <c r="I758" s="100" t="n">
        <v>0</v>
      </c>
      <c r="J758" s="100" t="n">
        <v>0</v>
      </c>
      <c r="K758" s="100" t="n">
        <v>0</v>
      </c>
      <c r="L758" s="37" t="n">
        <v>0</v>
      </c>
      <c r="M758" s="18" t="n">
        <v>0</v>
      </c>
      <c r="N758" s="19" t="n">
        <v>0</v>
      </c>
      <c r="O758" s="108">
        <f>COUNTIFS($E:$E,$E758,$L:$L,"&gt;"&amp;$L758)+1</f>
        <v/>
      </c>
      <c r="P758" s="108">
        <f>COUNTIFS($E:$E,$E758,$M:$M,"&gt;"&amp;$M758)+1</f>
        <v/>
      </c>
      <c r="Q758" s="108">
        <f>COUNTIFS($E:$E,$E758,$N:$N,"&gt;"&amp;$N758)+1</f>
        <v/>
      </c>
      <c r="R758" s="101" t="inlineStr">
        <is>
          <t>❌ N/A</t>
        </is>
      </c>
      <c r="S758" s="101" t="inlineStr">
        <is>
          <t>❌ N/A</t>
        </is>
      </c>
      <c r="T758" s="101" t="inlineStr">
        <is>
          <t>❌ Missing Data</t>
        </is>
      </c>
      <c r="U758" s="102" t="inlineStr">
        <is>
          <t>MISSING</t>
        </is>
      </c>
    </row>
    <row r="759" ht="16" customHeight="1">
      <c r="A759" s="98" t="n">
        <v>755</v>
      </c>
      <c r="B759" s="99" t="inlineStr">
        <is>
          <t>ICICI Prudential Multi-Asset Active FOF - Growth</t>
        </is>
      </c>
      <c r="C759" s="99" t="inlineStr">
        <is>
          <t>ICICI Prudential Mutual Fund</t>
        </is>
      </c>
      <c r="D759" s="99" t="inlineStr">
        <is>
          <t>Fof Domestic</t>
        </is>
      </c>
      <c r="E759" s="99" t="inlineStr">
        <is>
          <t>Standard Equity/Debt</t>
        </is>
      </c>
      <c r="F759" s="100" t="n">
        <v>0</v>
      </c>
      <c r="G759" s="100" t="n">
        <v>0</v>
      </c>
      <c r="H759" s="100" t="n">
        <v>0</v>
      </c>
      <c r="I759" s="100" t="n">
        <v>0</v>
      </c>
      <c r="J759" s="100" t="n">
        <v>0</v>
      </c>
      <c r="K759" s="100" t="n">
        <v>0</v>
      </c>
      <c r="L759" s="37" t="n">
        <v>0</v>
      </c>
      <c r="M759" s="18" t="n">
        <v>0</v>
      </c>
      <c r="N759" s="19" t="n">
        <v>0</v>
      </c>
      <c r="O759" s="108">
        <f>COUNTIFS($E:$E,$E759,$L:$L,"&gt;"&amp;$L759)+1</f>
        <v/>
      </c>
      <c r="P759" s="108">
        <f>COUNTIFS($E:$E,$E759,$M:$M,"&gt;"&amp;$M759)+1</f>
        <v/>
      </c>
      <c r="Q759" s="108">
        <f>COUNTIFS($E:$E,$E759,$N:$N,"&gt;"&amp;$N759)+1</f>
        <v/>
      </c>
      <c r="R759" s="101" t="inlineStr">
        <is>
          <t>❌ N/A</t>
        </is>
      </c>
      <c r="S759" s="101" t="inlineStr">
        <is>
          <t>❌ N/A</t>
        </is>
      </c>
      <c r="T759" s="101" t="inlineStr">
        <is>
          <t>❌ Missing Data</t>
        </is>
      </c>
      <c r="U759" s="102" t="inlineStr">
        <is>
          <t>MISSING</t>
        </is>
      </c>
    </row>
    <row r="760" ht="16" customHeight="1">
      <c r="A760" s="98" t="n">
        <v>756</v>
      </c>
      <c r="B760" s="99" t="inlineStr">
        <is>
          <t>Edelweiss Gold ETF Fund of Fund Regular Plan Growth Option</t>
        </is>
      </c>
      <c r="C760" s="99" t="inlineStr">
        <is>
          <t>Edelweiss Mutual Fund</t>
        </is>
      </c>
      <c r="D760" s="99" t="inlineStr">
        <is>
          <t>Fof Domestic</t>
        </is>
      </c>
      <c r="E760" s="99" t="inlineStr">
        <is>
          <t>Gold</t>
        </is>
      </c>
      <c r="F760" s="100" t="n">
        <v>9</v>
      </c>
      <c r="G760" s="103" t="n">
        <v>-3.32</v>
      </c>
      <c r="H760" s="100" t="n">
        <v>0</v>
      </c>
      <c r="I760" s="100" t="n">
        <v>0</v>
      </c>
      <c r="J760" s="100" t="n">
        <v>0</v>
      </c>
      <c r="K760" s="100" t="n">
        <v>0</v>
      </c>
      <c r="L760" s="37" t="n">
        <v>0</v>
      </c>
      <c r="M760" s="18" t="n">
        <v>0</v>
      </c>
      <c r="N760" s="19" t="n">
        <v>0</v>
      </c>
      <c r="O760" s="108">
        <f>COUNTIFS($E:$E,$E760,$L:$L,"&gt;"&amp;$L760)+1</f>
        <v/>
      </c>
      <c r="P760" s="108">
        <f>COUNTIFS($E:$E,$E760,$M:$M,"&gt;"&amp;$M760)+1</f>
        <v/>
      </c>
      <c r="Q760" s="108">
        <f>COUNTIFS($E:$E,$E760,$N:$N,"&gt;"&amp;$N760)+1</f>
        <v/>
      </c>
      <c r="R760" s="101" t="inlineStr">
        <is>
          <t>❌ N/A</t>
        </is>
      </c>
      <c r="S760" s="101" t="inlineStr">
        <is>
          <t>❌ N/A</t>
        </is>
      </c>
      <c r="T760" s="101" t="inlineStr">
        <is>
          <t>❌ Missing Data</t>
        </is>
      </c>
      <c r="U760" s="102" t="inlineStr">
        <is>
          <t>MISSING</t>
        </is>
      </c>
    </row>
    <row r="761" ht="16" customHeight="1">
      <c r="A761" s="98" t="n">
        <v>757</v>
      </c>
      <c r="B761" s="99" t="inlineStr">
        <is>
          <t>ANGEL ONE SILVER ETF</t>
        </is>
      </c>
      <c r="C761" s="99" t="inlineStr">
        <is>
          <t>Angel One Mutual Fund</t>
        </is>
      </c>
      <c r="D761" s="99" t="inlineStr">
        <is>
          <t>Other  Etfs</t>
        </is>
      </c>
      <c r="E761" s="99" t="inlineStr">
        <is>
          <t>Silver</t>
        </is>
      </c>
      <c r="F761" s="100" t="n">
        <v>8.94</v>
      </c>
      <c r="G761" s="103" t="n">
        <v>-11.87</v>
      </c>
      <c r="H761" s="100" t="n">
        <v>0</v>
      </c>
      <c r="I761" s="100" t="n">
        <v>0</v>
      </c>
      <c r="J761" s="100" t="n">
        <v>0</v>
      </c>
      <c r="K761" s="100" t="n">
        <v>0</v>
      </c>
      <c r="L761" s="37" t="n">
        <v>0</v>
      </c>
      <c r="M761" s="18" t="n">
        <v>0</v>
      </c>
      <c r="N761" s="19" t="n">
        <v>0</v>
      </c>
      <c r="O761" s="108">
        <f>COUNTIFS($E:$E,$E761,$L:$L,"&gt;"&amp;$L761)+1</f>
        <v/>
      </c>
      <c r="P761" s="108">
        <f>COUNTIFS($E:$E,$E761,$M:$M,"&gt;"&amp;$M761)+1</f>
        <v/>
      </c>
      <c r="Q761" s="108">
        <f>COUNTIFS($E:$E,$E761,$N:$N,"&gt;"&amp;$N761)+1</f>
        <v/>
      </c>
      <c r="R761" s="101" t="inlineStr">
        <is>
          <t>❌ N/A</t>
        </is>
      </c>
      <c r="S761" s="101" t="inlineStr">
        <is>
          <t>❌ N/A</t>
        </is>
      </c>
      <c r="T761" s="101" t="inlineStr">
        <is>
          <t>❌ Missing Data</t>
        </is>
      </c>
      <c r="U761" s="102" t="inlineStr">
        <is>
          <t>MISSING</t>
        </is>
      </c>
    </row>
    <row r="762" ht="16" customHeight="1">
      <c r="A762" s="98" t="n">
        <v>758</v>
      </c>
      <c r="B762" s="99" t="inlineStr">
        <is>
          <t>DSP Multi Asset Omni Fund of Funds - Regular - Growth</t>
        </is>
      </c>
      <c r="C762" s="99" t="inlineStr">
        <is>
          <t>DSP Mutual Fund</t>
        </is>
      </c>
      <c r="D762" s="99" t="inlineStr">
        <is>
          <t>Fof Domestic</t>
        </is>
      </c>
      <c r="E762" s="99" t="inlineStr">
        <is>
          <t>Standard Equity/Debt</t>
        </is>
      </c>
      <c r="F762" s="100" t="n">
        <v>1.76</v>
      </c>
      <c r="G762" s="100" t="n">
        <v>3.6</v>
      </c>
      <c r="H762" s="100" t="n">
        <v>0</v>
      </c>
      <c r="I762" s="100" t="n">
        <v>0</v>
      </c>
      <c r="J762" s="100" t="n">
        <v>0</v>
      </c>
      <c r="K762" s="100" t="n">
        <v>0</v>
      </c>
      <c r="L762" s="37" t="n">
        <v>0</v>
      </c>
      <c r="M762" s="18" t="n">
        <v>0</v>
      </c>
      <c r="N762" s="19" t="n">
        <v>0</v>
      </c>
      <c r="O762" s="108">
        <f>COUNTIFS($E:$E,$E762,$L:$L,"&gt;"&amp;$L762)+1</f>
        <v/>
      </c>
      <c r="P762" s="108">
        <f>COUNTIFS($E:$E,$E762,$M:$M,"&gt;"&amp;$M762)+1</f>
        <v/>
      </c>
      <c r="Q762" s="108">
        <f>COUNTIFS($E:$E,$E762,$N:$N,"&gt;"&amp;$N762)+1</f>
        <v/>
      </c>
      <c r="R762" s="101" t="inlineStr">
        <is>
          <t>❌ N/A</t>
        </is>
      </c>
      <c r="S762" s="101" t="inlineStr">
        <is>
          <t>❌ N/A</t>
        </is>
      </c>
      <c r="T762" s="101" t="inlineStr">
        <is>
          <t>❌ Missing Data</t>
        </is>
      </c>
      <c r="U762" s="102" t="inlineStr">
        <is>
          <t>MISSING</t>
        </is>
      </c>
    </row>
    <row r="763" ht="16" customHeight="1">
      <c r="A763" s="98" t="n">
        <v>759</v>
      </c>
      <c r="B763" s="99" t="inlineStr">
        <is>
          <t>SBI Nifty Smallcap 250 ETF</t>
        </is>
      </c>
      <c r="C763" s="99" t="inlineStr">
        <is>
          <t>SBI Mutual Fund</t>
        </is>
      </c>
      <c r="D763" s="99" t="inlineStr">
        <is>
          <t>Other  Etfs</t>
        </is>
      </c>
      <c r="E763" s="99" t="inlineStr">
        <is>
          <t>Index Fund</t>
        </is>
      </c>
      <c r="F763" s="100" t="n">
        <v>2.04</v>
      </c>
      <c r="G763" s="100" t="n">
        <v>0</v>
      </c>
      <c r="H763" s="100" t="n">
        <v>0</v>
      </c>
      <c r="I763" s="100" t="n">
        <v>0</v>
      </c>
      <c r="J763" s="100" t="n">
        <v>0</v>
      </c>
      <c r="K763" s="100" t="n">
        <v>0</v>
      </c>
      <c r="L763" s="37" t="n">
        <v>0</v>
      </c>
      <c r="M763" s="18" t="n">
        <v>0</v>
      </c>
      <c r="N763" s="19" t="n">
        <v>0</v>
      </c>
      <c r="O763" s="108">
        <f>COUNTIFS($E:$E,$E763,$L:$L,"&gt;"&amp;$L763)+1</f>
        <v/>
      </c>
      <c r="P763" s="108">
        <f>COUNTIFS($E:$E,$E763,$M:$M,"&gt;"&amp;$M763)+1</f>
        <v/>
      </c>
      <c r="Q763" s="108">
        <f>COUNTIFS($E:$E,$E763,$N:$N,"&gt;"&amp;$N763)+1</f>
        <v/>
      </c>
      <c r="R763" s="101" t="inlineStr">
        <is>
          <t>❌ N/A</t>
        </is>
      </c>
      <c r="S763" s="101" t="inlineStr">
        <is>
          <t>❌ N/A</t>
        </is>
      </c>
      <c r="T763" s="101" t="inlineStr">
        <is>
          <t>❌ Missing Data</t>
        </is>
      </c>
      <c r="U763" s="102" t="inlineStr">
        <is>
          <t>MISSING</t>
        </is>
      </c>
    </row>
    <row r="764" ht="16" customHeight="1">
      <c r="A764" s="98" t="n">
        <v>760</v>
      </c>
      <c r="B764" s="99" t="inlineStr">
        <is>
          <t>DSP Nifty FMCG ETF</t>
        </is>
      </c>
      <c r="C764" s="99" t="inlineStr">
        <is>
          <t>DSP Mutual Fund</t>
        </is>
      </c>
      <c r="D764" s="99" t="inlineStr">
        <is>
          <t>Other  Etfs</t>
        </is>
      </c>
      <c r="E764" s="99" t="inlineStr">
        <is>
          <t>Index Fund</t>
        </is>
      </c>
      <c r="F764" s="103" t="n">
        <v>-1.94</v>
      </c>
      <c r="G764" s="103" t="n">
        <v>-5.66</v>
      </c>
      <c r="H764" s="100" t="n">
        <v>0</v>
      </c>
      <c r="I764" s="100" t="n">
        <v>0</v>
      </c>
      <c r="J764" s="100" t="n">
        <v>0</v>
      </c>
      <c r="K764" s="100" t="n">
        <v>0</v>
      </c>
      <c r="L764" s="37" t="n">
        <v>0</v>
      </c>
      <c r="M764" s="18" t="n">
        <v>0</v>
      </c>
      <c r="N764" s="19" t="n">
        <v>0</v>
      </c>
      <c r="O764" s="108">
        <f>COUNTIFS($E:$E,$E764,$L:$L,"&gt;"&amp;$L764)+1</f>
        <v/>
      </c>
      <c r="P764" s="108">
        <f>COUNTIFS($E:$E,$E764,$M:$M,"&gt;"&amp;$M764)+1</f>
        <v/>
      </c>
      <c r="Q764" s="108">
        <f>COUNTIFS($E:$E,$E764,$N:$N,"&gt;"&amp;$N764)+1</f>
        <v/>
      </c>
      <c r="R764" s="101" t="inlineStr">
        <is>
          <t>❌ N/A</t>
        </is>
      </c>
      <c r="S764" s="101" t="inlineStr">
        <is>
          <t>❌ N/A</t>
        </is>
      </c>
      <c r="T764" s="101" t="inlineStr">
        <is>
          <t>❌ Missing Data</t>
        </is>
      </c>
      <c r="U764" s="102" t="inlineStr">
        <is>
          <t>MISSING</t>
        </is>
      </c>
    </row>
    <row r="765" ht="16" customHeight="1">
      <c r="A765" s="98" t="n">
        <v>761</v>
      </c>
      <c r="B765" s="99" t="inlineStr">
        <is>
          <t>SBI Nifty200 Value 30 ETF</t>
        </is>
      </c>
      <c r="C765" s="99" t="inlineStr">
        <is>
          <t>SBI Mutual Fund</t>
        </is>
      </c>
      <c r="D765" s="99" t="inlineStr">
        <is>
          <t>Other  Etfs</t>
        </is>
      </c>
      <c r="E765" s="99" t="inlineStr">
        <is>
          <t>Index Fund</t>
        </is>
      </c>
      <c r="F765" s="103" t="n">
        <v>-0.25</v>
      </c>
      <c r="G765" s="100" t="n">
        <v>0</v>
      </c>
      <c r="H765" s="100" t="n">
        <v>0</v>
      </c>
      <c r="I765" s="100" t="n">
        <v>0</v>
      </c>
      <c r="J765" s="100" t="n">
        <v>0</v>
      </c>
      <c r="K765" s="100" t="n">
        <v>0</v>
      </c>
      <c r="L765" s="37" t="n">
        <v>0</v>
      </c>
      <c r="M765" s="18" t="n">
        <v>0</v>
      </c>
      <c r="N765" s="19" t="n">
        <v>0</v>
      </c>
      <c r="O765" s="108">
        <f>COUNTIFS($E:$E,$E765,$L:$L,"&gt;"&amp;$L765)+1</f>
        <v/>
      </c>
      <c r="P765" s="108">
        <f>COUNTIFS($E:$E,$E765,$M:$M,"&gt;"&amp;$M765)+1</f>
        <v/>
      </c>
      <c r="Q765" s="108">
        <f>COUNTIFS($E:$E,$E765,$N:$N,"&gt;"&amp;$N765)+1</f>
        <v/>
      </c>
      <c r="R765" s="101" t="inlineStr">
        <is>
          <t>❌ N/A</t>
        </is>
      </c>
      <c r="S765" s="101" t="inlineStr">
        <is>
          <t>❌ N/A</t>
        </is>
      </c>
      <c r="T765" s="101" t="inlineStr">
        <is>
          <t>❌ Missing Data</t>
        </is>
      </c>
      <c r="U765" s="102" t="inlineStr">
        <is>
          <t>MISSING</t>
        </is>
      </c>
    </row>
    <row r="766" ht="16" customHeight="1">
      <c r="A766" s="98" t="n">
        <v>762</v>
      </c>
      <c r="B766" s="99" t="inlineStr">
        <is>
          <t>Edelweiss Nifty Next 50 ETF</t>
        </is>
      </c>
      <c r="C766" s="99" t="inlineStr">
        <is>
          <t>Edelweiss Mutual Fund</t>
        </is>
      </c>
      <c r="D766" s="99" t="inlineStr">
        <is>
          <t>Other  Etfs</t>
        </is>
      </c>
      <c r="E766" s="99" t="inlineStr">
        <is>
          <t>Index Fund</t>
        </is>
      </c>
      <c r="F766" s="100" t="n">
        <v>3.69</v>
      </c>
      <c r="G766" s="100" t="n">
        <v>0</v>
      </c>
      <c r="H766" s="100" t="n">
        <v>0</v>
      </c>
      <c r="I766" s="100" t="n">
        <v>0</v>
      </c>
      <c r="J766" s="100" t="n">
        <v>0</v>
      </c>
      <c r="K766" s="100" t="n">
        <v>0</v>
      </c>
      <c r="L766" s="37" t="n">
        <v>0</v>
      </c>
      <c r="M766" s="18" t="n">
        <v>0</v>
      </c>
      <c r="N766" s="19" t="n">
        <v>0</v>
      </c>
      <c r="O766" s="108">
        <f>COUNTIFS($E:$E,$E766,$L:$L,"&gt;"&amp;$L766)+1</f>
        <v/>
      </c>
      <c r="P766" s="108">
        <f>COUNTIFS($E:$E,$E766,$M:$M,"&gt;"&amp;$M766)+1</f>
        <v/>
      </c>
      <c r="Q766" s="108">
        <f>COUNTIFS($E:$E,$E766,$N:$N,"&gt;"&amp;$N766)+1</f>
        <v/>
      </c>
      <c r="R766" s="101" t="inlineStr">
        <is>
          <t>❌ N/A</t>
        </is>
      </c>
      <c r="S766" s="101" t="inlineStr">
        <is>
          <t>❌ N/A</t>
        </is>
      </c>
      <c r="T766" s="101" t="inlineStr">
        <is>
          <t>❌ Missing Data</t>
        </is>
      </c>
      <c r="U766" s="102" t="inlineStr">
        <is>
          <t>MISSING</t>
        </is>
      </c>
    </row>
    <row r="767" ht="16" customHeight="1">
      <c r="A767" s="98" t="n">
        <v>763</v>
      </c>
      <c r="B767" s="99" t="inlineStr">
        <is>
          <t>Axis Nifty Capital Markets Index Fund- Regular Plan</t>
        </is>
      </c>
      <c r="C767" s="99" t="inlineStr">
        <is>
          <t>Axis Mutual Fund</t>
        </is>
      </c>
      <c r="D767" s="99" t="inlineStr">
        <is>
          <t>Index Funds</t>
        </is>
      </c>
      <c r="E767" s="99" t="inlineStr">
        <is>
          <t>Index Fund</t>
        </is>
      </c>
      <c r="F767" s="103" t="n">
        <v>-1.34</v>
      </c>
      <c r="G767" s="100" t="n">
        <v>0</v>
      </c>
      <c r="H767" s="100" t="n">
        <v>0</v>
      </c>
      <c r="I767" s="100" t="n">
        <v>0</v>
      </c>
      <c r="J767" s="100" t="n">
        <v>0</v>
      </c>
      <c r="K767" s="100" t="n">
        <v>0</v>
      </c>
      <c r="L767" s="37" t="n">
        <v>0</v>
      </c>
      <c r="M767" s="18" t="n">
        <v>0</v>
      </c>
      <c r="N767" s="19" t="n">
        <v>0</v>
      </c>
      <c r="O767" s="108">
        <f>COUNTIFS($E:$E,$E767,$L:$L,"&gt;"&amp;$L767)+1</f>
        <v/>
      </c>
      <c r="P767" s="108">
        <f>COUNTIFS($E:$E,$E767,$M:$M,"&gt;"&amp;$M767)+1</f>
        <v/>
      </c>
      <c r="Q767" s="108">
        <f>COUNTIFS($E:$E,$E767,$N:$N,"&gt;"&amp;$N767)+1</f>
        <v/>
      </c>
      <c r="R767" s="101" t="inlineStr">
        <is>
          <t>❌ N/A</t>
        </is>
      </c>
      <c r="S767" s="101" t="inlineStr">
        <is>
          <t>❌ N/A</t>
        </is>
      </c>
      <c r="T767" s="101" t="inlineStr">
        <is>
          <t>❌ Missing Data</t>
        </is>
      </c>
      <c r="U767" s="102" t="inlineStr">
        <is>
          <t>MISSING</t>
        </is>
      </c>
    </row>
    <row r="768" ht="16" customHeight="1">
      <c r="A768" s="98" t="n">
        <v>764</v>
      </c>
      <c r="B768" s="99" t="inlineStr">
        <is>
          <t>360 ONE MSCI India ETF</t>
        </is>
      </c>
      <c r="C768" s="99" t="inlineStr">
        <is>
          <t>360 ONE Mutual Fund</t>
        </is>
      </c>
      <c r="D768" s="99" t="inlineStr">
        <is>
          <t>Other  Etfs</t>
        </is>
      </c>
      <c r="E768" s="99" t="inlineStr">
        <is>
          <t>Standard Equity/Debt</t>
        </is>
      </c>
      <c r="F768" s="100" t="n">
        <v>0.46</v>
      </c>
      <c r="G768" s="100" t="n">
        <v>0</v>
      </c>
      <c r="H768" s="100" t="n">
        <v>0</v>
      </c>
      <c r="I768" s="100" t="n">
        <v>0</v>
      </c>
      <c r="J768" s="100" t="n">
        <v>0</v>
      </c>
      <c r="K768" s="100" t="n">
        <v>0</v>
      </c>
      <c r="L768" s="37" t="n">
        <v>0</v>
      </c>
      <c r="M768" s="18" t="n">
        <v>0</v>
      </c>
      <c r="N768" s="19" t="n">
        <v>0</v>
      </c>
      <c r="O768" s="108">
        <f>COUNTIFS($E:$E,$E768,$L:$L,"&gt;"&amp;$L768)+1</f>
        <v/>
      </c>
      <c r="P768" s="108">
        <f>COUNTIFS($E:$E,$E768,$M:$M,"&gt;"&amp;$M768)+1</f>
        <v/>
      </c>
      <c r="Q768" s="108">
        <f>COUNTIFS($E:$E,$E768,$N:$N,"&gt;"&amp;$N768)+1</f>
        <v/>
      </c>
      <c r="R768" s="101" t="inlineStr">
        <is>
          <t>❌ N/A</t>
        </is>
      </c>
      <c r="S768" s="101" t="inlineStr">
        <is>
          <t>❌ N/A</t>
        </is>
      </c>
      <c r="T768" s="101" t="inlineStr">
        <is>
          <t>❌ Missing Data</t>
        </is>
      </c>
      <c r="U768" s="102" t="inlineStr">
        <is>
          <t>MISSING</t>
        </is>
      </c>
    </row>
    <row r="769" ht="16" customHeight="1">
      <c r="A769" s="98" t="n">
        <v>765</v>
      </c>
      <c r="B769" s="99" t="inlineStr">
        <is>
          <t>Motilal Oswal BSE Clean Environment Index Fund - Growth</t>
        </is>
      </c>
      <c r="C769" s="99" t="inlineStr">
        <is>
          <t>Motilal Oswal Mutual Fund</t>
        </is>
      </c>
      <c r="D769" s="99" t="inlineStr">
        <is>
          <t>Index Funds</t>
        </is>
      </c>
      <c r="E769" s="99" t="inlineStr">
        <is>
          <t>Index Fund</t>
        </is>
      </c>
      <c r="F769" s="103" t="n">
        <v>-3.19</v>
      </c>
      <c r="G769" s="100" t="n">
        <v>0</v>
      </c>
      <c r="H769" s="100" t="n">
        <v>0</v>
      </c>
      <c r="I769" s="100" t="n">
        <v>0</v>
      </c>
      <c r="J769" s="100" t="n">
        <v>0</v>
      </c>
      <c r="K769" s="100" t="n">
        <v>0</v>
      </c>
      <c r="L769" s="37" t="n">
        <v>0</v>
      </c>
      <c r="M769" s="18" t="n">
        <v>0</v>
      </c>
      <c r="N769" s="19" t="n">
        <v>0</v>
      </c>
      <c r="O769" s="108">
        <f>COUNTIFS($E:$E,$E769,$L:$L,"&gt;"&amp;$L769)+1</f>
        <v/>
      </c>
      <c r="P769" s="108">
        <f>COUNTIFS($E:$E,$E769,$M:$M,"&gt;"&amp;$M769)+1</f>
        <v/>
      </c>
      <c r="Q769" s="108">
        <f>COUNTIFS($E:$E,$E769,$N:$N,"&gt;"&amp;$N769)+1</f>
        <v/>
      </c>
      <c r="R769" s="101" t="inlineStr">
        <is>
          <t>❌ N/A</t>
        </is>
      </c>
      <c r="S769" s="101" t="inlineStr">
        <is>
          <t>❌ N/A</t>
        </is>
      </c>
      <c r="T769" s="101" t="inlineStr">
        <is>
          <t>❌ Missing Data</t>
        </is>
      </c>
      <c r="U769" s="102" t="inlineStr">
        <is>
          <t>MISSING</t>
        </is>
      </c>
    </row>
    <row r="770" ht="16" customHeight="1">
      <c r="A770" s="98" t="n">
        <v>766</v>
      </c>
      <c r="B770" s="99" t="inlineStr">
        <is>
          <t>Motilal Oswal BSE Top 10 Banks ETF</t>
        </is>
      </c>
      <c r="C770" s="99" t="inlineStr">
        <is>
          <t>Motilal Oswal Mutual Fund</t>
        </is>
      </c>
      <c r="D770" s="99" t="inlineStr">
        <is>
          <t>Other  Etfs</t>
        </is>
      </c>
      <c r="E770" s="99" t="inlineStr">
        <is>
          <t>Banking/Financial</t>
        </is>
      </c>
      <c r="F770" s="103" t="n">
        <v>-4.38</v>
      </c>
      <c r="G770" s="100" t="n">
        <v>5.7</v>
      </c>
      <c r="H770" s="100" t="n">
        <v>0</v>
      </c>
      <c r="I770" s="100" t="n">
        <v>0</v>
      </c>
      <c r="J770" s="100" t="n">
        <v>0</v>
      </c>
      <c r="K770" s="100" t="n">
        <v>0</v>
      </c>
      <c r="L770" s="37" t="n">
        <v>0</v>
      </c>
      <c r="M770" s="18" t="n">
        <v>0</v>
      </c>
      <c r="N770" s="19" t="n">
        <v>0</v>
      </c>
      <c r="O770" s="108">
        <f>COUNTIFS($E:$E,$E770,$L:$L,"&gt;"&amp;$L770)+1</f>
        <v/>
      </c>
      <c r="P770" s="108">
        <f>COUNTIFS($E:$E,$E770,$M:$M,"&gt;"&amp;$M770)+1</f>
        <v/>
      </c>
      <c r="Q770" s="108">
        <f>COUNTIFS($E:$E,$E770,$N:$N,"&gt;"&amp;$N770)+1</f>
        <v/>
      </c>
      <c r="R770" s="101" t="inlineStr">
        <is>
          <t>❌ N/A</t>
        </is>
      </c>
      <c r="S770" s="101" t="inlineStr">
        <is>
          <t>❌ N/A</t>
        </is>
      </c>
      <c r="T770" s="101" t="inlineStr">
        <is>
          <t>❌ Missing Data</t>
        </is>
      </c>
      <c r="U770" s="102" t="inlineStr">
        <is>
          <t>MISSING</t>
        </is>
      </c>
    </row>
    <row r="771" ht="16" customHeight="1">
      <c r="A771" s="98" t="n">
        <v>767</v>
      </c>
      <c r="B771" s="99" t="inlineStr">
        <is>
          <t>SBI CRISIL-IBX 10:90 Gilt + SDL Index - Dec 2029 Index Fund - Regular - Growth</t>
        </is>
      </c>
      <c r="C771" s="99" t="inlineStr">
        <is>
          <t>SBI Mutual Fund</t>
        </is>
      </c>
      <c r="D771" s="99" t="inlineStr">
        <is>
          <t>Index Funds</t>
        </is>
      </c>
      <c r="E771" s="99" t="inlineStr">
        <is>
          <t>GILT</t>
        </is>
      </c>
      <c r="F771" s="100" t="n">
        <v>0.52</v>
      </c>
      <c r="G771" s="100" t="n">
        <v>0</v>
      </c>
      <c r="H771" s="100" t="n">
        <v>0</v>
      </c>
      <c r="I771" s="100" t="n">
        <v>0</v>
      </c>
      <c r="J771" s="100" t="n">
        <v>0</v>
      </c>
      <c r="K771" s="100" t="n">
        <v>0</v>
      </c>
      <c r="L771" s="37" t="n">
        <v>0</v>
      </c>
      <c r="M771" s="18" t="n">
        <v>0</v>
      </c>
      <c r="N771" s="19" t="n">
        <v>0</v>
      </c>
      <c r="O771" s="108">
        <f>COUNTIFS($E:$E,$E771,$L:$L,"&gt;"&amp;$L771)+1</f>
        <v/>
      </c>
      <c r="P771" s="108">
        <f>COUNTIFS($E:$E,$E771,$M:$M,"&gt;"&amp;$M771)+1</f>
        <v/>
      </c>
      <c r="Q771" s="108">
        <f>COUNTIFS($E:$E,$E771,$N:$N,"&gt;"&amp;$N771)+1</f>
        <v/>
      </c>
      <c r="R771" s="101" t="inlineStr">
        <is>
          <t>❌ N/A</t>
        </is>
      </c>
      <c r="S771" s="101" t="inlineStr">
        <is>
          <t>❌ N/A</t>
        </is>
      </c>
      <c r="T771" s="101" t="inlineStr">
        <is>
          <t>❌ Missing Data</t>
        </is>
      </c>
      <c r="U771" s="102" t="inlineStr">
        <is>
          <t>MISSING</t>
        </is>
      </c>
    </row>
    <row r="772" ht="16" customHeight="1">
      <c r="A772" s="98" t="n">
        <v>768</v>
      </c>
      <c r="B772" s="99" t="inlineStr">
        <is>
          <t>SBI Nifty G-sec Jul 2031 Index Fund - REGULAR - GROWTH</t>
        </is>
      </c>
      <c r="C772" s="99" t="inlineStr">
        <is>
          <t>SBI Mutual Fund</t>
        </is>
      </c>
      <c r="D772" s="99" t="inlineStr">
        <is>
          <t>Index Funds</t>
        </is>
      </c>
      <c r="E772" s="99" t="inlineStr">
        <is>
          <t>G-SEC</t>
        </is>
      </c>
      <c r="F772" s="100" t="n">
        <v>0.43</v>
      </c>
      <c r="G772" s="100" t="n">
        <v>0</v>
      </c>
      <c r="H772" s="100" t="n">
        <v>0</v>
      </c>
      <c r="I772" s="100" t="n">
        <v>0</v>
      </c>
      <c r="J772" s="100" t="n">
        <v>0</v>
      </c>
      <c r="K772" s="100" t="n">
        <v>0</v>
      </c>
      <c r="L772" s="37" t="n">
        <v>0</v>
      </c>
      <c r="M772" s="18" t="n">
        <v>0</v>
      </c>
      <c r="N772" s="19" t="n">
        <v>0</v>
      </c>
      <c r="O772" s="108">
        <f>COUNTIFS($E:$E,$E772,$L:$L,"&gt;"&amp;$L772)+1</f>
        <v/>
      </c>
      <c r="P772" s="108">
        <f>COUNTIFS($E:$E,$E772,$M:$M,"&gt;"&amp;$M772)+1</f>
        <v/>
      </c>
      <c r="Q772" s="108">
        <f>COUNTIFS($E:$E,$E772,$N:$N,"&gt;"&amp;$N772)+1</f>
        <v/>
      </c>
      <c r="R772" s="101" t="inlineStr">
        <is>
          <t>❌ N/A</t>
        </is>
      </c>
      <c r="S772" s="101" t="inlineStr">
        <is>
          <t>❌ N/A</t>
        </is>
      </c>
      <c r="T772" s="101" t="inlineStr">
        <is>
          <t>❌ Missing Data</t>
        </is>
      </c>
      <c r="U772" s="102" t="inlineStr">
        <is>
          <t>MISSING</t>
        </is>
      </c>
    </row>
    <row r="773" ht="16" customHeight="1">
      <c r="A773" s="98" t="n">
        <v>769</v>
      </c>
      <c r="B773" s="99" t="inlineStr">
        <is>
          <t>Axis Nifty India Defence Index Fund - Regular Plan - Growth</t>
        </is>
      </c>
      <c r="C773" s="99" t="inlineStr">
        <is>
          <t>Axis Mutual Fund</t>
        </is>
      </c>
      <c r="D773" s="99" t="inlineStr">
        <is>
          <t>Index Funds</t>
        </is>
      </c>
      <c r="E773" s="99" t="inlineStr">
        <is>
          <t>Index Fund</t>
        </is>
      </c>
      <c r="F773" s="100" t="n">
        <v>6.65</v>
      </c>
      <c r="G773" s="100" t="n">
        <v>11.56</v>
      </c>
      <c r="H773" s="100" t="n">
        <v>0</v>
      </c>
      <c r="I773" s="100" t="n">
        <v>0</v>
      </c>
      <c r="J773" s="100" t="n">
        <v>0</v>
      </c>
      <c r="K773" s="100" t="n">
        <v>0</v>
      </c>
      <c r="L773" s="37" t="n">
        <v>0</v>
      </c>
      <c r="M773" s="18" t="n">
        <v>0</v>
      </c>
      <c r="N773" s="19" t="n">
        <v>0</v>
      </c>
      <c r="O773" s="108">
        <f>COUNTIFS($E:$E,$E773,$L:$L,"&gt;"&amp;$L773)+1</f>
        <v/>
      </c>
      <c r="P773" s="108">
        <f>COUNTIFS($E:$E,$E773,$M:$M,"&gt;"&amp;$M773)+1</f>
        <v/>
      </c>
      <c r="Q773" s="108">
        <f>COUNTIFS($E:$E,$E773,$N:$N,"&gt;"&amp;$N773)+1</f>
        <v/>
      </c>
      <c r="R773" s="101" t="inlineStr">
        <is>
          <t>❌ N/A</t>
        </is>
      </c>
      <c r="S773" s="101" t="inlineStr">
        <is>
          <t>❌ N/A</t>
        </is>
      </c>
      <c r="T773" s="101" t="inlineStr">
        <is>
          <t>❌ Missing Data</t>
        </is>
      </c>
      <c r="U773" s="102" t="inlineStr">
        <is>
          <t>MISSING</t>
        </is>
      </c>
    </row>
    <row r="774" ht="16" customHeight="1">
      <c r="A774" s="98" t="n">
        <v>770</v>
      </c>
      <c r="B774" s="99" t="inlineStr">
        <is>
          <t>SBI CRISIL - IBX Financial Services 3-6 Months Debt Index Fund - Regular Plan - Growth</t>
        </is>
      </c>
      <c r="C774" s="99" t="inlineStr">
        <is>
          <t>SBI Mutual Fund</t>
        </is>
      </c>
      <c r="D774" s="99" t="inlineStr">
        <is>
          <t>Index Funds</t>
        </is>
      </c>
      <c r="E774" s="99" t="inlineStr">
        <is>
          <t>Banking/Financial</t>
        </is>
      </c>
      <c r="F774" s="100" t="n">
        <v>0.68</v>
      </c>
      <c r="G774" s="100" t="n">
        <v>1.98</v>
      </c>
      <c r="H774" s="100" t="n">
        <v>0</v>
      </c>
      <c r="I774" s="100" t="n">
        <v>0</v>
      </c>
      <c r="J774" s="100" t="n">
        <v>0</v>
      </c>
      <c r="K774" s="100" t="n">
        <v>0</v>
      </c>
      <c r="L774" s="37" t="n">
        <v>0</v>
      </c>
      <c r="M774" s="18" t="n">
        <v>0</v>
      </c>
      <c r="N774" s="19" t="n">
        <v>0</v>
      </c>
      <c r="O774" s="108">
        <f>COUNTIFS($E:$E,$E774,$L:$L,"&gt;"&amp;$L774)+1</f>
        <v/>
      </c>
      <c r="P774" s="108">
        <f>COUNTIFS($E:$E,$E774,$M:$M,"&gt;"&amp;$M774)+1</f>
        <v/>
      </c>
      <c r="Q774" s="108">
        <f>COUNTIFS($E:$E,$E774,$N:$N,"&gt;"&amp;$N774)+1</f>
        <v/>
      </c>
      <c r="R774" s="101" t="inlineStr">
        <is>
          <t>❌ N/A</t>
        </is>
      </c>
      <c r="S774" s="101" t="inlineStr">
        <is>
          <t>❌ N/A</t>
        </is>
      </c>
      <c r="T774" s="101" t="inlineStr">
        <is>
          <t>❌ Missing Data</t>
        </is>
      </c>
      <c r="U774" s="102" t="inlineStr">
        <is>
          <t>MISSING</t>
        </is>
      </c>
    </row>
    <row r="775" ht="16" customHeight="1">
      <c r="A775" s="98" t="n">
        <v>771</v>
      </c>
      <c r="B775" s="99" t="inlineStr">
        <is>
          <t>SBI CRISIL - IBX Financial Services 9-12 Months Debt Index Fund - Regular Plan - Growth</t>
        </is>
      </c>
      <c r="C775" s="99" t="inlineStr">
        <is>
          <t>SBI Mutual Fund</t>
        </is>
      </c>
      <c r="D775" s="99" t="inlineStr">
        <is>
          <t>Index Funds</t>
        </is>
      </c>
      <c r="E775" s="99" t="inlineStr">
        <is>
          <t>Banking/Financial</t>
        </is>
      </c>
      <c r="F775" s="100" t="n">
        <v>0.71</v>
      </c>
      <c r="G775" s="100" t="n">
        <v>2.14</v>
      </c>
      <c r="H775" s="100" t="n">
        <v>0</v>
      </c>
      <c r="I775" s="100" t="n">
        <v>0</v>
      </c>
      <c r="J775" s="100" t="n">
        <v>0</v>
      </c>
      <c r="K775" s="100" t="n">
        <v>0</v>
      </c>
      <c r="L775" s="37" t="n">
        <v>0</v>
      </c>
      <c r="M775" s="18" t="n">
        <v>0</v>
      </c>
      <c r="N775" s="19" t="n">
        <v>0</v>
      </c>
      <c r="O775" s="108">
        <f>COUNTIFS($E:$E,$E775,$L:$L,"&gt;"&amp;$L775)+1</f>
        <v/>
      </c>
      <c r="P775" s="108">
        <f>COUNTIFS($E:$E,$E775,$M:$M,"&gt;"&amp;$M775)+1</f>
        <v/>
      </c>
      <c r="Q775" s="108">
        <f>COUNTIFS($E:$E,$E775,$N:$N,"&gt;"&amp;$N775)+1</f>
        <v/>
      </c>
      <c r="R775" s="101" t="inlineStr">
        <is>
          <t>❌ N/A</t>
        </is>
      </c>
      <c r="S775" s="101" t="inlineStr">
        <is>
          <t>❌ N/A</t>
        </is>
      </c>
      <c r="T775" s="101" t="inlineStr">
        <is>
          <t>❌ Missing Data</t>
        </is>
      </c>
      <c r="U775" s="102" t="inlineStr">
        <is>
          <t>MISSING</t>
        </is>
      </c>
    </row>
    <row r="776" ht="16" customHeight="1">
      <c r="A776" s="98" t="n">
        <v>772</v>
      </c>
      <c r="B776" s="99" t="inlineStr">
        <is>
          <t>ICICI Prudential Nifty Smallcap 250 ETF</t>
        </is>
      </c>
      <c r="C776" s="99" t="inlineStr">
        <is>
          <t>ICICI Prudential Mutual Fund</t>
        </is>
      </c>
      <c r="D776" s="99" t="inlineStr">
        <is>
          <t>Other  Etfs</t>
        </is>
      </c>
      <c r="E776" s="99" t="inlineStr">
        <is>
          <t>Index Fund</t>
        </is>
      </c>
      <c r="F776" s="100" t="n">
        <v>2.04</v>
      </c>
      <c r="G776" s="100" t="n">
        <v>0</v>
      </c>
      <c r="H776" s="100" t="n">
        <v>0</v>
      </c>
      <c r="I776" s="100" t="n">
        <v>0</v>
      </c>
      <c r="J776" s="100" t="n">
        <v>0</v>
      </c>
      <c r="K776" s="100" t="n">
        <v>0</v>
      </c>
      <c r="L776" s="37" t="n">
        <v>0</v>
      </c>
      <c r="M776" s="18" t="n">
        <v>0</v>
      </c>
      <c r="N776" s="19" t="n">
        <v>0</v>
      </c>
      <c r="O776" s="108">
        <f>COUNTIFS($E:$E,$E776,$L:$L,"&gt;"&amp;$L776)+1</f>
        <v/>
      </c>
      <c r="P776" s="108">
        <f>COUNTIFS($E:$E,$E776,$M:$M,"&gt;"&amp;$M776)+1</f>
        <v/>
      </c>
      <c r="Q776" s="108">
        <f>COUNTIFS($E:$E,$E776,$N:$N,"&gt;"&amp;$N776)+1</f>
        <v/>
      </c>
      <c r="R776" s="101" t="inlineStr">
        <is>
          <t>❌ N/A</t>
        </is>
      </c>
      <c r="S776" s="101" t="inlineStr">
        <is>
          <t>❌ N/A</t>
        </is>
      </c>
      <c r="T776" s="101" t="inlineStr">
        <is>
          <t>❌ Missing Data</t>
        </is>
      </c>
      <c r="U776" s="102" t="inlineStr">
        <is>
          <t>MISSING</t>
        </is>
      </c>
    </row>
    <row r="777" ht="16" customHeight="1">
      <c r="A777" s="98" t="n">
        <v>773</v>
      </c>
      <c r="B777" s="99" t="inlineStr">
        <is>
          <t>Axis Nifty50 Equal Weight Index Fund-Regular Plan- Growth Option</t>
        </is>
      </c>
      <c r="C777" s="99" t="inlineStr">
        <is>
          <t>Axis Mutual Fund</t>
        </is>
      </c>
      <c r="D777" s="99" t="inlineStr">
        <is>
          <t>Index Funds</t>
        </is>
      </c>
      <c r="E777" s="99" t="inlineStr">
        <is>
          <t>Index Fund</t>
        </is>
      </c>
      <c r="F777" s="100" t="n">
        <v>0</v>
      </c>
      <c r="G777" s="100" t="n">
        <v>0</v>
      </c>
      <c r="H777" s="100" t="n">
        <v>0</v>
      </c>
      <c r="I777" s="100" t="n">
        <v>0</v>
      </c>
      <c r="J777" s="100" t="n">
        <v>0</v>
      </c>
      <c r="K777" s="100" t="n">
        <v>0</v>
      </c>
      <c r="L777" s="37" t="n">
        <v>0</v>
      </c>
      <c r="M777" s="18" t="n">
        <v>0</v>
      </c>
      <c r="N777" s="19" t="n">
        <v>0</v>
      </c>
      <c r="O777" s="108">
        <f>COUNTIFS($E:$E,$E777,$L:$L,"&gt;"&amp;$L777)+1</f>
        <v/>
      </c>
      <c r="P777" s="108">
        <f>COUNTIFS($E:$E,$E777,$M:$M,"&gt;"&amp;$M777)+1</f>
        <v/>
      </c>
      <c r="Q777" s="108">
        <f>COUNTIFS($E:$E,$E777,$N:$N,"&gt;"&amp;$N777)+1</f>
        <v/>
      </c>
      <c r="R777" s="101" t="inlineStr">
        <is>
          <t>❌ N/A</t>
        </is>
      </c>
      <c r="S777" s="101" t="inlineStr">
        <is>
          <t>❌ N/A</t>
        </is>
      </c>
      <c r="T777" s="101" t="inlineStr">
        <is>
          <t>❌ Missing Data</t>
        </is>
      </c>
      <c r="U777" s="102" t="inlineStr">
        <is>
          <t>MISSING</t>
        </is>
      </c>
    </row>
    <row r="778" ht="16" customHeight="1">
      <c r="A778" s="98" t="n">
        <v>774</v>
      </c>
      <c r="B778" s="99" t="inlineStr">
        <is>
          <t>Edelweiss Nifty LargeMidcap 250 Plus 8-13 yr G-Sec 70-30 Index Fund Regular Plan Growth</t>
        </is>
      </c>
      <c r="C778" s="99" t="inlineStr">
        <is>
          <t>Edelweiss Mutual Fund</t>
        </is>
      </c>
      <c r="D778" s="99" t="inlineStr">
        <is>
          <t>Index Funds</t>
        </is>
      </c>
      <c r="E778" s="99" t="inlineStr">
        <is>
          <t>G-SEC</t>
        </is>
      </c>
      <c r="F778" s="100" t="n">
        <v>0.71</v>
      </c>
      <c r="G778" s="100" t="n">
        <v>3.83</v>
      </c>
      <c r="H778" s="100" t="n">
        <v>0</v>
      </c>
      <c r="I778" s="100" t="n">
        <v>0</v>
      </c>
      <c r="J778" s="100" t="n">
        <v>0</v>
      </c>
      <c r="K778" s="100" t="n">
        <v>0</v>
      </c>
      <c r="L778" s="37" t="n">
        <v>0</v>
      </c>
      <c r="M778" s="18" t="n">
        <v>0</v>
      </c>
      <c r="N778" s="19" t="n">
        <v>0</v>
      </c>
      <c r="O778" s="108">
        <f>COUNTIFS($E:$E,$E778,$L:$L,"&gt;"&amp;$L778)+1</f>
        <v/>
      </c>
      <c r="P778" s="108">
        <f>COUNTIFS($E:$E,$E778,$M:$M,"&gt;"&amp;$M778)+1</f>
        <v/>
      </c>
      <c r="Q778" s="108">
        <f>COUNTIFS($E:$E,$E778,$N:$N,"&gt;"&amp;$N778)+1</f>
        <v/>
      </c>
      <c r="R778" s="101" t="inlineStr">
        <is>
          <t>❌ N/A</t>
        </is>
      </c>
      <c r="S778" s="101" t="inlineStr">
        <is>
          <t>❌ N/A</t>
        </is>
      </c>
      <c r="T778" s="101" t="inlineStr">
        <is>
          <t>❌ Missing Data</t>
        </is>
      </c>
      <c r="U778" s="102" t="inlineStr">
        <is>
          <t>MISSING</t>
        </is>
      </c>
    </row>
    <row r="779" ht="16" customHeight="1">
      <c r="A779" s="98" t="n">
        <v>775</v>
      </c>
      <c r="B779" s="99" t="inlineStr">
        <is>
          <t>Motilal Oswal BSE Midcap 150 Momentum 30 Index Fund-Regular</t>
        </is>
      </c>
      <c r="C779" s="99" t="inlineStr">
        <is>
          <t>Motilal Oswal Mutual Fund</t>
        </is>
      </c>
      <c r="D779" s="99" t="inlineStr">
        <is>
          <t>Index Funds</t>
        </is>
      </c>
      <c r="E779" s="99" t="inlineStr">
        <is>
          <t>Index Fund</t>
        </is>
      </c>
      <c r="F779" s="100" t="n">
        <v>0</v>
      </c>
      <c r="G779" s="100" t="n">
        <v>0</v>
      </c>
      <c r="H779" s="100" t="n">
        <v>0</v>
      </c>
      <c r="I779" s="100" t="n">
        <v>0</v>
      </c>
      <c r="J779" s="100" t="n">
        <v>0</v>
      </c>
      <c r="K779" s="100" t="n">
        <v>0</v>
      </c>
      <c r="L779" s="37" t="n">
        <v>0</v>
      </c>
      <c r="M779" s="18" t="n">
        <v>0</v>
      </c>
      <c r="N779" s="19" t="n">
        <v>0</v>
      </c>
      <c r="O779" s="108">
        <f>COUNTIFS($E:$E,$E779,$L:$L,"&gt;"&amp;$L779)+1</f>
        <v/>
      </c>
      <c r="P779" s="108">
        <f>COUNTIFS($E:$E,$E779,$M:$M,"&gt;"&amp;$M779)+1</f>
        <v/>
      </c>
      <c r="Q779" s="108">
        <f>COUNTIFS($E:$E,$E779,$N:$N,"&gt;"&amp;$N779)+1</f>
        <v/>
      </c>
      <c r="R779" s="101" t="inlineStr">
        <is>
          <t>❌ N/A</t>
        </is>
      </c>
      <c r="S779" s="101" t="inlineStr">
        <is>
          <t>❌ N/A</t>
        </is>
      </c>
      <c r="T779" s="101" t="inlineStr">
        <is>
          <t>❌ Missing Data</t>
        </is>
      </c>
      <c r="U779" s="102" t="inlineStr">
        <is>
          <t>MISSING</t>
        </is>
      </c>
    </row>
    <row r="780" ht="16" customHeight="1">
      <c r="A780" s="98" t="n">
        <v>776</v>
      </c>
      <c r="B780" s="99" t="inlineStr">
        <is>
          <t>Kotak Nifty Alpha Low Volatility 30 Index Fund - Regular - Growth</t>
        </is>
      </c>
      <c r="C780" s="99" t="inlineStr">
        <is>
          <t>Kotak Mahindra Mutual Fund</t>
        </is>
      </c>
      <c r="D780" s="99" t="inlineStr">
        <is>
          <t>Index Funds</t>
        </is>
      </c>
      <c r="E780" s="99" t="inlineStr">
        <is>
          <t>Index Fund</t>
        </is>
      </c>
      <c r="F780" s="100" t="n">
        <v>1.92</v>
      </c>
      <c r="G780" s="100" t="n">
        <v>0</v>
      </c>
      <c r="H780" s="100" t="n">
        <v>0</v>
      </c>
      <c r="I780" s="100" t="n">
        <v>0</v>
      </c>
      <c r="J780" s="100" t="n">
        <v>0</v>
      </c>
      <c r="K780" s="100" t="n">
        <v>0</v>
      </c>
      <c r="L780" s="37" t="n">
        <v>0</v>
      </c>
      <c r="M780" s="18" t="n">
        <v>0</v>
      </c>
      <c r="N780" s="19" t="n">
        <v>0</v>
      </c>
      <c r="O780" s="108">
        <f>COUNTIFS($E:$E,$E780,$L:$L,"&gt;"&amp;$L780)+1</f>
        <v/>
      </c>
      <c r="P780" s="108">
        <f>COUNTIFS($E:$E,$E780,$M:$M,"&gt;"&amp;$M780)+1</f>
        <v/>
      </c>
      <c r="Q780" s="108">
        <f>COUNTIFS($E:$E,$E780,$N:$N,"&gt;"&amp;$N780)+1</f>
        <v/>
      </c>
      <c r="R780" s="101" t="inlineStr">
        <is>
          <t>❌ N/A</t>
        </is>
      </c>
      <c r="S780" s="101" t="inlineStr">
        <is>
          <t>❌ N/A</t>
        </is>
      </c>
      <c r="T780" s="101" t="inlineStr">
        <is>
          <t>❌ Missing Data</t>
        </is>
      </c>
      <c r="U780" s="102" t="inlineStr">
        <is>
          <t>MISSING</t>
        </is>
      </c>
    </row>
    <row r="781" ht="16" customHeight="1">
      <c r="A781" s="98" t="n">
        <v>777</v>
      </c>
      <c r="B781" s="99" t="inlineStr">
        <is>
          <t>HDFC CRISIL-IBX Financial Services 9-12 Months Debt Index Fund - Regular Growth Plan</t>
        </is>
      </c>
      <c r="C781" s="99" t="inlineStr">
        <is>
          <t>HDFC Mutual Fund</t>
        </is>
      </c>
      <c r="D781" s="99" t="inlineStr">
        <is>
          <t>Index Funds</t>
        </is>
      </c>
      <c r="E781" s="99" t="inlineStr">
        <is>
          <t>Banking/Financial</t>
        </is>
      </c>
      <c r="F781" s="100" t="n">
        <v>0.6899999999999999</v>
      </c>
      <c r="G781" s="100" t="n">
        <v>2.14</v>
      </c>
      <c r="H781" s="100" t="n">
        <v>0</v>
      </c>
      <c r="I781" s="100" t="n">
        <v>0</v>
      </c>
      <c r="J781" s="100" t="n">
        <v>0</v>
      </c>
      <c r="K781" s="100" t="n">
        <v>0</v>
      </c>
      <c r="L781" s="37" t="n">
        <v>0</v>
      </c>
      <c r="M781" s="18" t="n">
        <v>0</v>
      </c>
      <c r="N781" s="19" t="n">
        <v>0</v>
      </c>
      <c r="O781" s="108">
        <f>COUNTIFS($E:$E,$E781,$L:$L,"&gt;"&amp;$L781)+1</f>
        <v/>
      </c>
      <c r="P781" s="108">
        <f>COUNTIFS($E:$E,$E781,$M:$M,"&gt;"&amp;$M781)+1</f>
        <v/>
      </c>
      <c r="Q781" s="108">
        <f>COUNTIFS($E:$E,$E781,$N:$N,"&gt;"&amp;$N781)+1</f>
        <v/>
      </c>
      <c r="R781" s="101" t="inlineStr">
        <is>
          <t>❌ N/A</t>
        </is>
      </c>
      <c r="S781" s="101" t="inlineStr">
        <is>
          <t>❌ N/A</t>
        </is>
      </c>
      <c r="T781" s="101" t="inlineStr">
        <is>
          <t>❌ Missing Data</t>
        </is>
      </c>
      <c r="U781" s="102" t="inlineStr">
        <is>
          <t>MISSING</t>
        </is>
      </c>
    </row>
    <row r="782" ht="16" customHeight="1">
      <c r="A782" s="98" t="n">
        <v>778</v>
      </c>
      <c r="B782" s="99" t="inlineStr">
        <is>
          <t>HDFC INCOME PLUS ARBITRAGE OMNI FOF - GROWTH OPTION -REGULAR PLAN</t>
        </is>
      </c>
      <c r="C782" s="99" t="inlineStr">
        <is>
          <t>HDFC Mutual Fund</t>
        </is>
      </c>
      <c r="D782" s="99" t="inlineStr">
        <is>
          <t>Fof Domestic</t>
        </is>
      </c>
      <c r="E782" s="99" t="inlineStr">
        <is>
          <t>Standard Equity/Debt</t>
        </is>
      </c>
      <c r="F782" s="100" t="n">
        <v>0.72</v>
      </c>
      <c r="G782" s="100" t="n">
        <v>2.72</v>
      </c>
      <c r="H782" s="100" t="n">
        <v>0</v>
      </c>
      <c r="I782" s="100" t="n">
        <v>0</v>
      </c>
      <c r="J782" s="100" t="n">
        <v>0</v>
      </c>
      <c r="K782" s="100" t="n">
        <v>0</v>
      </c>
      <c r="L782" s="37" t="n">
        <v>0</v>
      </c>
      <c r="M782" s="18" t="n">
        <v>0</v>
      </c>
      <c r="N782" s="19" t="n">
        <v>0</v>
      </c>
      <c r="O782" s="108">
        <f>COUNTIFS($E:$E,$E782,$L:$L,"&gt;"&amp;$L782)+1</f>
        <v/>
      </c>
      <c r="P782" s="108">
        <f>COUNTIFS($E:$E,$E782,$M:$M,"&gt;"&amp;$M782)+1</f>
        <v/>
      </c>
      <c r="Q782" s="108">
        <f>COUNTIFS($E:$E,$E782,$N:$N,"&gt;"&amp;$N782)+1</f>
        <v/>
      </c>
      <c r="R782" s="101" t="inlineStr">
        <is>
          <t>❌ N/A</t>
        </is>
      </c>
      <c r="S782" s="101" t="inlineStr">
        <is>
          <t>❌ N/A</t>
        </is>
      </c>
      <c r="T782" s="101" t="inlineStr">
        <is>
          <t>❌ Missing Data</t>
        </is>
      </c>
      <c r="U782" s="102" t="inlineStr">
        <is>
          <t>MISSING</t>
        </is>
      </c>
    </row>
    <row r="783" ht="16" customHeight="1">
      <c r="A783" s="98" t="n">
        <v>779</v>
      </c>
      <c r="B783" s="99" t="inlineStr">
        <is>
          <t>DSP BSE Top 10 Banks ETF</t>
        </is>
      </c>
      <c r="C783" s="99" t="inlineStr">
        <is>
          <t>DSP Mutual Fund</t>
        </is>
      </c>
      <c r="D783" s="99" t="inlineStr">
        <is>
          <t>Other  Etfs</t>
        </is>
      </c>
      <c r="E783" s="99" t="inlineStr">
        <is>
          <t>Banking/Financial</t>
        </is>
      </c>
      <c r="F783" s="103" t="n">
        <v>-4.38</v>
      </c>
      <c r="G783" s="100" t="n">
        <v>5.69</v>
      </c>
      <c r="H783" s="100" t="n">
        <v>0</v>
      </c>
      <c r="I783" s="100" t="n">
        <v>0</v>
      </c>
      <c r="J783" s="100" t="n">
        <v>0</v>
      </c>
      <c r="K783" s="100" t="n">
        <v>0</v>
      </c>
      <c r="L783" s="37" t="n">
        <v>0</v>
      </c>
      <c r="M783" s="18" t="n">
        <v>0</v>
      </c>
      <c r="N783" s="19" t="n">
        <v>0</v>
      </c>
      <c r="O783" s="108">
        <f>COUNTIFS($E:$E,$E783,$L:$L,"&gt;"&amp;$L783)+1</f>
        <v/>
      </c>
      <c r="P783" s="108">
        <f>COUNTIFS($E:$E,$E783,$M:$M,"&gt;"&amp;$M783)+1</f>
        <v/>
      </c>
      <c r="Q783" s="108">
        <f>COUNTIFS($E:$E,$E783,$N:$N,"&gt;"&amp;$N783)+1</f>
        <v/>
      </c>
      <c r="R783" s="101" t="inlineStr">
        <is>
          <t>❌ N/A</t>
        </is>
      </c>
      <c r="S783" s="101" t="inlineStr">
        <is>
          <t>❌ N/A</t>
        </is>
      </c>
      <c r="T783" s="101" t="inlineStr">
        <is>
          <t>❌ Missing Data</t>
        </is>
      </c>
      <c r="U783" s="102" t="inlineStr">
        <is>
          <t>MISSING</t>
        </is>
      </c>
    </row>
    <row r="784" ht="16" customHeight="1">
      <c r="A784" s="98" t="n">
        <v>780</v>
      </c>
      <c r="B784" s="99" t="inlineStr">
        <is>
          <t>Nippon India CRISIL-IBX Financial Services 9-12 Months Debt Index Fund -Regular Plan - Growth Option</t>
        </is>
      </c>
      <c r="C784" s="99" t="inlineStr">
        <is>
          <t>Nippon India Mutual Fund</t>
        </is>
      </c>
      <c r="D784" s="99" t="inlineStr">
        <is>
          <t>Index Funds</t>
        </is>
      </c>
      <c r="E784" s="99" t="inlineStr">
        <is>
          <t>Banking/Financial</t>
        </is>
      </c>
      <c r="F784" s="100" t="n">
        <v>0.72</v>
      </c>
      <c r="G784" s="100" t="n">
        <v>2.14</v>
      </c>
      <c r="H784" s="100" t="n">
        <v>0</v>
      </c>
      <c r="I784" s="100" t="n">
        <v>0</v>
      </c>
      <c r="J784" s="100" t="n">
        <v>0</v>
      </c>
      <c r="K784" s="100" t="n">
        <v>0</v>
      </c>
      <c r="L784" s="37" t="n">
        <v>0</v>
      </c>
      <c r="M784" s="18" t="n">
        <v>0</v>
      </c>
      <c r="N784" s="19" t="n">
        <v>0</v>
      </c>
      <c r="O784" s="108">
        <f>COUNTIFS($E:$E,$E784,$L:$L,"&gt;"&amp;$L784)+1</f>
        <v/>
      </c>
      <c r="P784" s="108">
        <f>COUNTIFS($E:$E,$E784,$M:$M,"&gt;"&amp;$M784)+1</f>
        <v/>
      </c>
      <c r="Q784" s="108">
        <f>COUNTIFS($E:$E,$E784,$N:$N,"&gt;"&amp;$N784)+1</f>
        <v/>
      </c>
      <c r="R784" s="101" t="inlineStr">
        <is>
          <t>❌ N/A</t>
        </is>
      </c>
      <c r="S784" s="101" t="inlineStr">
        <is>
          <t>❌ N/A</t>
        </is>
      </c>
      <c r="T784" s="101" t="inlineStr">
        <is>
          <t>❌ Missing Data</t>
        </is>
      </c>
      <c r="U784" s="102" t="inlineStr">
        <is>
          <t>MISSING</t>
        </is>
      </c>
    </row>
    <row r="785" ht="16" customHeight="1">
      <c r="A785" s="98" t="n">
        <v>781</v>
      </c>
      <c r="B785" s="99" t="inlineStr">
        <is>
          <t>Motilal Oswal Multi Factor Passive Fund of Funds - Regular</t>
        </is>
      </c>
      <c r="C785" s="99" t="inlineStr">
        <is>
          <t>Motilal Oswal Mutual Fund</t>
        </is>
      </c>
      <c r="D785" s="99" t="inlineStr">
        <is>
          <t>Fof Domestic</t>
        </is>
      </c>
      <c r="E785" s="99" t="inlineStr">
        <is>
          <t>Standard Equity/Debt</t>
        </is>
      </c>
      <c r="F785" s="100" t="n">
        <v>1.02</v>
      </c>
      <c r="G785" s="100" t="n">
        <v>1.43</v>
      </c>
      <c r="H785" s="100" t="n">
        <v>0</v>
      </c>
      <c r="I785" s="100" t="n">
        <v>0</v>
      </c>
      <c r="J785" s="100" t="n">
        <v>0</v>
      </c>
      <c r="K785" s="100" t="n">
        <v>0</v>
      </c>
      <c r="L785" s="37" t="n">
        <v>0</v>
      </c>
      <c r="M785" s="18" t="n">
        <v>0</v>
      </c>
      <c r="N785" s="19" t="n">
        <v>0</v>
      </c>
      <c r="O785" s="108">
        <f>COUNTIFS($E:$E,$E785,$L:$L,"&gt;"&amp;$L785)+1</f>
        <v/>
      </c>
      <c r="P785" s="108">
        <f>COUNTIFS($E:$E,$E785,$M:$M,"&gt;"&amp;$M785)+1</f>
        <v/>
      </c>
      <c r="Q785" s="108">
        <f>COUNTIFS($E:$E,$E785,$N:$N,"&gt;"&amp;$N785)+1</f>
        <v/>
      </c>
      <c r="R785" s="101" t="inlineStr">
        <is>
          <t>❌ N/A</t>
        </is>
      </c>
      <c r="S785" s="101" t="inlineStr">
        <is>
          <t>❌ N/A</t>
        </is>
      </c>
      <c r="T785" s="101" t="inlineStr">
        <is>
          <t>❌ Missing Data</t>
        </is>
      </c>
      <c r="U785" s="102" t="inlineStr">
        <is>
          <t>MISSING</t>
        </is>
      </c>
    </row>
    <row r="786" ht="16" customHeight="1">
      <c r="A786" s="98" t="n">
        <v>782</v>
      </c>
      <c r="B786" s="99" t="inlineStr">
        <is>
          <t>SBI Nifty Midcap 150 Momentum 50 ETF</t>
        </is>
      </c>
      <c r="C786" s="99" t="inlineStr">
        <is>
          <t>SBI Mutual Fund</t>
        </is>
      </c>
      <c r="D786" s="99" t="inlineStr">
        <is>
          <t>Other  Etfs</t>
        </is>
      </c>
      <c r="E786" s="99" t="inlineStr">
        <is>
          <t>Index Fund</t>
        </is>
      </c>
      <c r="F786" s="100" t="n">
        <v>3.24</v>
      </c>
      <c r="G786" s="100" t="n">
        <v>3.29</v>
      </c>
      <c r="H786" s="100" t="n">
        <v>0</v>
      </c>
      <c r="I786" s="100" t="n">
        <v>0</v>
      </c>
      <c r="J786" s="100" t="n">
        <v>0</v>
      </c>
      <c r="K786" s="100" t="n">
        <v>0</v>
      </c>
      <c r="L786" s="37" t="n">
        <v>0</v>
      </c>
      <c r="M786" s="18" t="n">
        <v>0</v>
      </c>
      <c r="N786" s="19" t="n">
        <v>0</v>
      </c>
      <c r="O786" s="108">
        <f>COUNTIFS($E:$E,$E786,$L:$L,"&gt;"&amp;$L786)+1</f>
        <v/>
      </c>
      <c r="P786" s="108">
        <f>COUNTIFS($E:$E,$E786,$M:$M,"&gt;"&amp;$M786)+1</f>
        <v/>
      </c>
      <c r="Q786" s="108">
        <f>COUNTIFS($E:$E,$E786,$N:$N,"&gt;"&amp;$N786)+1</f>
        <v/>
      </c>
      <c r="R786" s="101" t="inlineStr">
        <is>
          <t>❌ N/A</t>
        </is>
      </c>
      <c r="S786" s="101" t="inlineStr">
        <is>
          <t>❌ N/A</t>
        </is>
      </c>
      <c r="T786" s="101" t="inlineStr">
        <is>
          <t>❌ Missing Data</t>
        </is>
      </c>
      <c r="U786" s="102" t="inlineStr">
        <is>
          <t>MISSING</t>
        </is>
      </c>
    </row>
    <row r="787" ht="16" customHeight="1">
      <c r="A787" s="98" t="n">
        <v>783</v>
      </c>
      <c r="B787" s="99" t="inlineStr">
        <is>
          <t>HSBC Gold ETF</t>
        </is>
      </c>
      <c r="C787" s="99" t="inlineStr">
        <is>
          <t>HSBC Mutual Fund</t>
        </is>
      </c>
      <c r="D787" s="99" t="inlineStr">
        <is>
          <t>Gold Etf</t>
        </is>
      </c>
      <c r="E787" s="99" t="inlineStr">
        <is>
          <t>Gold</t>
        </is>
      </c>
      <c r="F787" s="100" t="n">
        <v>8.880000000000001</v>
      </c>
      <c r="G787" s="103" t="n">
        <v>-3.12</v>
      </c>
      <c r="H787" s="100" t="n">
        <v>0</v>
      </c>
      <c r="I787" s="100" t="n">
        <v>0</v>
      </c>
      <c r="J787" s="100" t="n">
        <v>0</v>
      </c>
      <c r="K787" s="100" t="n">
        <v>0</v>
      </c>
      <c r="L787" s="37" t="n">
        <v>0</v>
      </c>
      <c r="M787" s="18" t="n">
        <v>0</v>
      </c>
      <c r="N787" s="19" t="n">
        <v>0</v>
      </c>
      <c r="O787" s="108">
        <f>COUNTIFS($E:$E,$E787,$L:$L,"&gt;"&amp;$L787)+1</f>
        <v/>
      </c>
      <c r="P787" s="108">
        <f>COUNTIFS($E:$E,$E787,$M:$M,"&gt;"&amp;$M787)+1</f>
        <v/>
      </c>
      <c r="Q787" s="108">
        <f>COUNTIFS($E:$E,$E787,$N:$N,"&gt;"&amp;$N787)+1</f>
        <v/>
      </c>
      <c r="R787" s="101" t="inlineStr">
        <is>
          <t>❌ N/A</t>
        </is>
      </c>
      <c r="S787" s="101" t="inlineStr">
        <is>
          <t>❌ N/A</t>
        </is>
      </c>
      <c r="T787" s="101" t="inlineStr">
        <is>
          <t>❌ Missing Data</t>
        </is>
      </c>
      <c r="U787" s="102" t="inlineStr">
        <is>
          <t>MISSING</t>
        </is>
      </c>
    </row>
    <row r="788" ht="16" customHeight="1">
      <c r="A788" s="98" t="n">
        <v>784</v>
      </c>
      <c r="B788" s="99" t="inlineStr">
        <is>
          <t>SBI Nifty Midcap 150 ETF</t>
        </is>
      </c>
      <c r="C788" s="99" t="inlineStr">
        <is>
          <t>SBI Mutual Fund</t>
        </is>
      </c>
      <c r="D788" s="99" t="inlineStr">
        <is>
          <t>Other  Etfs</t>
        </is>
      </c>
      <c r="E788" s="99" t="inlineStr">
        <is>
          <t>Index Fund</t>
        </is>
      </c>
      <c r="F788" s="100" t="n">
        <v>1.8</v>
      </c>
      <c r="G788" s="100" t="n">
        <v>4.65</v>
      </c>
      <c r="H788" s="100" t="n">
        <v>0</v>
      </c>
      <c r="I788" s="100" t="n">
        <v>0</v>
      </c>
      <c r="J788" s="100" t="n">
        <v>0</v>
      </c>
      <c r="K788" s="100" t="n">
        <v>0</v>
      </c>
      <c r="L788" s="37" t="n">
        <v>0</v>
      </c>
      <c r="M788" s="18" t="n">
        <v>0</v>
      </c>
      <c r="N788" s="19" t="n">
        <v>0</v>
      </c>
      <c r="O788" s="108">
        <f>COUNTIFS($E:$E,$E788,$L:$L,"&gt;"&amp;$L788)+1</f>
        <v/>
      </c>
      <c r="P788" s="108">
        <f>COUNTIFS($E:$E,$E788,$M:$M,"&gt;"&amp;$M788)+1</f>
        <v/>
      </c>
      <c r="Q788" s="108">
        <f>COUNTIFS($E:$E,$E788,$N:$N,"&gt;"&amp;$N788)+1</f>
        <v/>
      </c>
      <c r="R788" s="101" t="inlineStr">
        <is>
          <t>❌ N/A</t>
        </is>
      </c>
      <c r="S788" s="101" t="inlineStr">
        <is>
          <t>❌ N/A</t>
        </is>
      </c>
      <c r="T788" s="101" t="inlineStr">
        <is>
          <t>❌ Missing Data</t>
        </is>
      </c>
      <c r="U788" s="102" t="inlineStr">
        <is>
          <t>MISSING</t>
        </is>
      </c>
    </row>
    <row r="789" ht="16" customHeight="1">
      <c r="A789" s="98" t="n">
        <v>785</v>
      </c>
      <c r="B789" s="99" t="inlineStr">
        <is>
          <t>Mirae Asset Nifty 500 Value 50 ETF</t>
        </is>
      </c>
      <c r="C789" s="99" t="inlineStr">
        <is>
          <t>Mirae Asset Mutual Fund</t>
        </is>
      </c>
      <c r="D789" s="99" t="inlineStr">
        <is>
          <t>Other  Etfs</t>
        </is>
      </c>
      <c r="E789" s="99" t="inlineStr">
        <is>
          <t>Index Fund</t>
        </is>
      </c>
      <c r="F789" s="100" t="n">
        <v>0.45</v>
      </c>
      <c r="G789" s="103" t="n">
        <v>-1.76</v>
      </c>
      <c r="H789" s="100" t="n">
        <v>0</v>
      </c>
      <c r="I789" s="100" t="n">
        <v>0</v>
      </c>
      <c r="J789" s="100" t="n">
        <v>0</v>
      </c>
      <c r="K789" s="100" t="n">
        <v>0</v>
      </c>
      <c r="L789" s="37" t="n">
        <v>0</v>
      </c>
      <c r="M789" s="18" t="n">
        <v>0</v>
      </c>
      <c r="N789" s="19" t="n">
        <v>0</v>
      </c>
      <c r="O789" s="108">
        <f>COUNTIFS($E:$E,$E789,$L:$L,"&gt;"&amp;$L789)+1</f>
        <v/>
      </c>
      <c r="P789" s="108">
        <f>COUNTIFS($E:$E,$E789,$M:$M,"&gt;"&amp;$M789)+1</f>
        <v/>
      </c>
      <c r="Q789" s="108">
        <f>COUNTIFS($E:$E,$E789,$N:$N,"&gt;"&amp;$N789)+1</f>
        <v/>
      </c>
      <c r="R789" s="101" t="inlineStr">
        <is>
          <t>❌ N/A</t>
        </is>
      </c>
      <c r="S789" s="101" t="inlineStr">
        <is>
          <t>❌ N/A</t>
        </is>
      </c>
      <c r="T789" s="101" t="inlineStr">
        <is>
          <t>❌ Missing Data</t>
        </is>
      </c>
      <c r="U789" s="102" t="inlineStr">
        <is>
          <t>MISSING</t>
        </is>
      </c>
    </row>
    <row r="790" ht="16" customHeight="1">
      <c r="A790" s="98" t="n">
        <v>786</v>
      </c>
      <c r="B790" s="99" t="inlineStr">
        <is>
          <t>Choice Nifty 50 Index Fund - Regular Plan Growth</t>
        </is>
      </c>
      <c r="C790" s="99" t="inlineStr">
        <is>
          <t>Choice Mutual Fund</t>
        </is>
      </c>
      <c r="D790" s="99" t="inlineStr">
        <is>
          <t>Index Funds</t>
        </is>
      </c>
      <c r="E790" s="99" t="inlineStr">
        <is>
          <t>Index Fund</t>
        </is>
      </c>
      <c r="F790" s="103" t="n">
        <v>-0.72</v>
      </c>
      <c r="G790" s="100" t="n">
        <v>2.7</v>
      </c>
      <c r="H790" s="100" t="n">
        <v>0</v>
      </c>
      <c r="I790" s="100" t="n">
        <v>0</v>
      </c>
      <c r="J790" s="100" t="n">
        <v>0</v>
      </c>
      <c r="K790" s="100" t="n">
        <v>0</v>
      </c>
      <c r="L790" s="37" t="n">
        <v>0</v>
      </c>
      <c r="M790" s="18" t="n">
        <v>0</v>
      </c>
      <c r="N790" s="19" t="n">
        <v>0</v>
      </c>
      <c r="O790" s="108">
        <f>COUNTIFS($E:$E,$E790,$L:$L,"&gt;"&amp;$L790)+1</f>
        <v/>
      </c>
      <c r="P790" s="108">
        <f>COUNTIFS($E:$E,$E790,$M:$M,"&gt;"&amp;$M790)+1</f>
        <v/>
      </c>
      <c r="Q790" s="108">
        <f>COUNTIFS($E:$E,$E790,$N:$N,"&gt;"&amp;$N790)+1</f>
        <v/>
      </c>
      <c r="R790" s="101" t="inlineStr">
        <is>
          <t>❌ N/A</t>
        </is>
      </c>
      <c r="S790" s="101" t="inlineStr">
        <is>
          <t>❌ N/A</t>
        </is>
      </c>
      <c r="T790" s="101" t="inlineStr">
        <is>
          <t>❌ Missing Data</t>
        </is>
      </c>
      <c r="U790" s="102" t="inlineStr">
        <is>
          <t>MISSING</t>
        </is>
      </c>
    </row>
    <row r="791" ht="16" customHeight="1">
      <c r="A791" s="98" t="n">
        <v>787</v>
      </c>
      <c r="B791" s="99" t="inlineStr">
        <is>
          <t>Choice Nifty Next 50 Index Fund - Regular Plan Growth</t>
        </is>
      </c>
      <c r="C791" s="99" t="inlineStr">
        <is>
          <t>Choice Mutual Fund</t>
        </is>
      </c>
      <c r="D791" s="99" t="inlineStr">
        <is>
          <t>Index Funds</t>
        </is>
      </c>
      <c r="E791" s="99" t="inlineStr">
        <is>
          <t>Index Fund</t>
        </is>
      </c>
      <c r="F791" s="100" t="n">
        <v>3.63</v>
      </c>
      <c r="G791" s="100" t="n">
        <v>7.6</v>
      </c>
      <c r="H791" s="100" t="n">
        <v>0</v>
      </c>
      <c r="I791" s="100" t="n">
        <v>0</v>
      </c>
      <c r="J791" s="100" t="n">
        <v>0</v>
      </c>
      <c r="K791" s="100" t="n">
        <v>0</v>
      </c>
      <c r="L791" s="37" t="n">
        <v>0</v>
      </c>
      <c r="M791" s="18" t="n">
        <v>0</v>
      </c>
      <c r="N791" s="19" t="n">
        <v>0</v>
      </c>
      <c r="O791" s="108">
        <f>COUNTIFS($E:$E,$E791,$L:$L,"&gt;"&amp;$L791)+1</f>
        <v/>
      </c>
      <c r="P791" s="108">
        <f>COUNTIFS($E:$E,$E791,$M:$M,"&gt;"&amp;$M791)+1</f>
        <v/>
      </c>
      <c r="Q791" s="108">
        <f>COUNTIFS($E:$E,$E791,$N:$N,"&gt;"&amp;$N791)+1</f>
        <v/>
      </c>
      <c r="R791" s="101" t="inlineStr">
        <is>
          <t>❌ N/A</t>
        </is>
      </c>
      <c r="S791" s="101" t="inlineStr">
        <is>
          <t>❌ N/A</t>
        </is>
      </c>
      <c r="T791" s="101" t="inlineStr">
        <is>
          <t>❌ Missing Data</t>
        </is>
      </c>
      <c r="U791" s="102" t="inlineStr">
        <is>
          <t>MISSING</t>
        </is>
      </c>
    </row>
    <row r="792" ht="16" customHeight="1">
      <c r="A792" s="98" t="n">
        <v>788</v>
      </c>
      <c r="B792" s="99" t="inlineStr">
        <is>
          <t>Mirae Asset Nifty Metal ETF FOF - Regular Plan - Growth</t>
        </is>
      </c>
      <c r="C792" s="99" t="inlineStr">
        <is>
          <t>Mirae Asset Mutual Fund</t>
        </is>
      </c>
      <c r="D792" s="99" t="inlineStr">
        <is>
          <t>Fof Domestic</t>
        </is>
      </c>
      <c r="E792" s="99" t="inlineStr">
        <is>
          <t>Commodities</t>
        </is>
      </c>
      <c r="F792" s="100" t="n">
        <v>4.95</v>
      </c>
      <c r="G792" s="103" t="n">
        <v>-1.04</v>
      </c>
      <c r="H792" s="100" t="n">
        <v>0</v>
      </c>
      <c r="I792" s="100" t="n">
        <v>0</v>
      </c>
      <c r="J792" s="100" t="n">
        <v>0</v>
      </c>
      <c r="K792" s="100" t="n">
        <v>0</v>
      </c>
      <c r="L792" s="37" t="n">
        <v>0</v>
      </c>
      <c r="M792" s="18" t="n">
        <v>0</v>
      </c>
      <c r="N792" s="19" t="n">
        <v>0</v>
      </c>
      <c r="O792" s="108">
        <f>COUNTIFS($E:$E,$E792,$L:$L,"&gt;"&amp;$L792)+1</f>
        <v/>
      </c>
      <c r="P792" s="108">
        <f>COUNTIFS($E:$E,$E792,$M:$M,"&gt;"&amp;$M792)+1</f>
        <v/>
      </c>
      <c r="Q792" s="108">
        <f>COUNTIFS($E:$E,$E792,$N:$N,"&gt;"&amp;$N792)+1</f>
        <v/>
      </c>
      <c r="R792" s="101" t="inlineStr">
        <is>
          <t>❌ N/A</t>
        </is>
      </c>
      <c r="S792" s="101" t="inlineStr">
        <is>
          <t>❌ N/A</t>
        </is>
      </c>
      <c r="T792" s="101" t="inlineStr">
        <is>
          <t>❌ Missing Data</t>
        </is>
      </c>
      <c r="U792" s="102" t="inlineStr">
        <is>
          <t>MISSING</t>
        </is>
      </c>
    </row>
    <row r="793" ht="16" customHeight="1">
      <c r="A793" s="98" t="n">
        <v>789</v>
      </c>
      <c r="B793" s="99" t="inlineStr">
        <is>
          <t>ICICI Prudential Diversified Equity All Cap Active FOF - Growth</t>
        </is>
      </c>
      <c r="C793" s="99" t="inlineStr">
        <is>
          <t>ICICI Prudential Mutual Fund</t>
        </is>
      </c>
      <c r="D793" s="99" t="inlineStr">
        <is>
          <t>Fof Domestic</t>
        </is>
      </c>
      <c r="E793" s="99" t="inlineStr">
        <is>
          <t>Standard Equity/Debt</t>
        </is>
      </c>
      <c r="F793" s="100" t="n">
        <v>1.51</v>
      </c>
      <c r="G793" s="100" t="n">
        <v>5.46</v>
      </c>
      <c r="H793" s="100" t="n">
        <v>0</v>
      </c>
      <c r="I793" s="100" t="n">
        <v>0</v>
      </c>
      <c r="J793" s="100" t="n">
        <v>0</v>
      </c>
      <c r="K793" s="100" t="n">
        <v>0</v>
      </c>
      <c r="L793" s="37" t="n">
        <v>0</v>
      </c>
      <c r="M793" s="18" t="n">
        <v>0</v>
      </c>
      <c r="N793" s="19" t="n">
        <v>0</v>
      </c>
      <c r="O793" s="108">
        <f>COUNTIFS($E:$E,$E793,$L:$L,"&gt;"&amp;$L793)+1</f>
        <v/>
      </c>
      <c r="P793" s="108">
        <f>COUNTIFS($E:$E,$E793,$M:$M,"&gt;"&amp;$M793)+1</f>
        <v/>
      </c>
      <c r="Q793" s="108">
        <f>COUNTIFS($E:$E,$E793,$N:$N,"&gt;"&amp;$N793)+1</f>
        <v/>
      </c>
      <c r="R793" s="101" t="inlineStr">
        <is>
          <t>❌ N/A</t>
        </is>
      </c>
      <c r="S793" s="101" t="inlineStr">
        <is>
          <t>❌ N/A</t>
        </is>
      </c>
      <c r="T793" s="101" t="inlineStr">
        <is>
          <t>❌ Missing Data</t>
        </is>
      </c>
      <c r="U793" s="102" t="inlineStr">
        <is>
          <t>MISSING</t>
        </is>
      </c>
    </row>
    <row r="794" ht="16" customHeight="1">
      <c r="A794" s="98" t="n">
        <v>790</v>
      </c>
      <c r="B794" s="99" t="inlineStr">
        <is>
          <t>Mirae Asset Silver ETF FOF - Regular Plan - Growth</t>
        </is>
      </c>
      <c r="C794" s="99" t="inlineStr">
        <is>
          <t>Mirae Asset Mutual Fund</t>
        </is>
      </c>
      <c r="D794" s="99" t="inlineStr">
        <is>
          <t>Fof Domestic</t>
        </is>
      </c>
      <c r="E794" s="99" t="inlineStr">
        <is>
          <t>Silver</t>
        </is>
      </c>
      <c r="F794" s="100" t="n">
        <v>8.300000000000001</v>
      </c>
      <c r="G794" s="103" t="n">
        <v>-12.6</v>
      </c>
      <c r="H794" s="100" t="n">
        <v>0</v>
      </c>
      <c r="I794" s="100" t="n">
        <v>0</v>
      </c>
      <c r="J794" s="100" t="n">
        <v>0</v>
      </c>
      <c r="K794" s="100" t="n">
        <v>0</v>
      </c>
      <c r="L794" s="37" t="n">
        <v>0</v>
      </c>
      <c r="M794" s="18" t="n">
        <v>0</v>
      </c>
      <c r="N794" s="19" t="n">
        <v>0</v>
      </c>
      <c r="O794" s="108">
        <f>COUNTIFS($E:$E,$E794,$L:$L,"&gt;"&amp;$L794)+1</f>
        <v/>
      </c>
      <c r="P794" s="108">
        <f>COUNTIFS($E:$E,$E794,$M:$M,"&gt;"&amp;$M794)+1</f>
        <v/>
      </c>
      <c r="Q794" s="108">
        <f>COUNTIFS($E:$E,$E794,$N:$N,"&gt;"&amp;$N794)+1</f>
        <v/>
      </c>
      <c r="R794" s="101" t="inlineStr">
        <is>
          <t>❌ N/A</t>
        </is>
      </c>
      <c r="S794" s="101" t="inlineStr">
        <is>
          <t>❌ N/A</t>
        </is>
      </c>
      <c r="T794" s="101" t="inlineStr">
        <is>
          <t>❌ Missing Data</t>
        </is>
      </c>
      <c r="U794" s="102" t="inlineStr">
        <is>
          <t>MISSING</t>
        </is>
      </c>
    </row>
    <row r="795" ht="16" customHeight="1">
      <c r="A795" s="98" t="n">
        <v>791</v>
      </c>
      <c r="B795" s="99" t="inlineStr">
        <is>
          <t>Nippon India CRISIL-IBX Financial Services 3-6 Months Debt Index Fund- Regular Plan- Growth Option</t>
        </is>
      </c>
      <c r="C795" s="99" t="inlineStr">
        <is>
          <t>Nippon India Mutual Fund</t>
        </is>
      </c>
      <c r="D795" s="99" t="inlineStr">
        <is>
          <t>Index Funds</t>
        </is>
      </c>
      <c r="E795" s="99" t="inlineStr">
        <is>
          <t>Banking/Financial</t>
        </is>
      </c>
      <c r="F795" s="100" t="n">
        <v>0.68</v>
      </c>
      <c r="G795" s="100" t="n">
        <v>1.99</v>
      </c>
      <c r="H795" s="100" t="n">
        <v>0</v>
      </c>
      <c r="I795" s="100" t="n">
        <v>0</v>
      </c>
      <c r="J795" s="100" t="n">
        <v>0</v>
      </c>
      <c r="K795" s="100" t="n">
        <v>0</v>
      </c>
      <c r="L795" s="37" t="n">
        <v>0</v>
      </c>
      <c r="M795" s="18" t="n">
        <v>0</v>
      </c>
      <c r="N795" s="19" t="n">
        <v>0</v>
      </c>
      <c r="O795" s="108">
        <f>COUNTIFS($E:$E,$E795,$L:$L,"&gt;"&amp;$L795)+1</f>
        <v/>
      </c>
      <c r="P795" s="108">
        <f>COUNTIFS($E:$E,$E795,$M:$M,"&gt;"&amp;$M795)+1</f>
        <v/>
      </c>
      <c r="Q795" s="108">
        <f>COUNTIFS($E:$E,$E795,$N:$N,"&gt;"&amp;$N795)+1</f>
        <v/>
      </c>
      <c r="R795" s="101" t="inlineStr">
        <is>
          <t>❌ N/A</t>
        </is>
      </c>
      <c r="S795" s="101" t="inlineStr">
        <is>
          <t>❌ N/A</t>
        </is>
      </c>
      <c r="T795" s="101" t="inlineStr">
        <is>
          <t>❌ Missing Data</t>
        </is>
      </c>
      <c r="U795" s="102" t="inlineStr">
        <is>
          <t>MISSING</t>
        </is>
      </c>
    </row>
    <row r="796" ht="16" customHeight="1">
      <c r="A796" s="98" t="n">
        <v>792</v>
      </c>
      <c r="B796" s="99" t="inlineStr">
        <is>
          <t>Kotak Multi Factor Passive FOF - Regular- Growth</t>
        </is>
      </c>
      <c r="C796" s="99" t="inlineStr">
        <is>
          <t>Kotak Mahindra Mutual Fund</t>
        </is>
      </c>
      <c r="D796" s="99" t="inlineStr">
        <is>
          <t>Fof Domestic</t>
        </is>
      </c>
      <c r="E796" s="99" t="inlineStr">
        <is>
          <t>Standard Equity/Debt</t>
        </is>
      </c>
      <c r="F796" s="100" t="n">
        <v>1.03</v>
      </c>
      <c r="G796" s="100" t="n">
        <v>3.16</v>
      </c>
      <c r="H796" s="100" t="n">
        <v>0</v>
      </c>
      <c r="I796" s="100" t="n">
        <v>0</v>
      </c>
      <c r="J796" s="100" t="n">
        <v>0</v>
      </c>
      <c r="K796" s="100" t="n">
        <v>0</v>
      </c>
      <c r="L796" s="37" t="n">
        <v>0</v>
      </c>
      <c r="M796" s="18" t="n">
        <v>0</v>
      </c>
      <c r="N796" s="19" t="n">
        <v>0</v>
      </c>
      <c r="O796" s="108">
        <f>COUNTIFS($E:$E,$E796,$L:$L,"&gt;"&amp;$L796)+1</f>
        <v/>
      </c>
      <c r="P796" s="108">
        <f>COUNTIFS($E:$E,$E796,$M:$M,"&gt;"&amp;$M796)+1</f>
        <v/>
      </c>
      <c r="Q796" s="108">
        <f>COUNTIFS($E:$E,$E796,$N:$N,"&gt;"&amp;$N796)+1</f>
        <v/>
      </c>
      <c r="R796" s="101" t="inlineStr">
        <is>
          <t>❌ N/A</t>
        </is>
      </c>
      <c r="S796" s="101" t="inlineStr">
        <is>
          <t>❌ N/A</t>
        </is>
      </c>
      <c r="T796" s="101" t="inlineStr">
        <is>
          <t>❌ Missing Data</t>
        </is>
      </c>
      <c r="U796" s="102" t="inlineStr">
        <is>
          <t>MISSING</t>
        </is>
      </c>
    </row>
    <row r="797" ht="16" customHeight="1">
      <c r="A797" s="98" t="n">
        <v>793</v>
      </c>
      <c r="B797" s="99" t="inlineStr">
        <is>
          <t>ANGEL ONE SILVER ETF FOF -REGULAR GROWTH</t>
        </is>
      </c>
      <c r="C797" s="99" t="inlineStr">
        <is>
          <t>Angel One Mutual Fund</t>
        </is>
      </c>
      <c r="D797" s="99" t="inlineStr">
        <is>
          <t>Fof Domestic</t>
        </is>
      </c>
      <c r="E797" s="99" t="inlineStr">
        <is>
          <t>Silver</t>
        </is>
      </c>
      <c r="F797" s="100" t="n">
        <v>7.93</v>
      </c>
      <c r="G797" s="103" t="n">
        <v>-12.7</v>
      </c>
      <c r="H797" s="100" t="n">
        <v>0</v>
      </c>
      <c r="I797" s="100" t="n">
        <v>0</v>
      </c>
      <c r="J797" s="100" t="n">
        <v>0</v>
      </c>
      <c r="K797" s="100" t="n">
        <v>0</v>
      </c>
      <c r="L797" s="37" t="n">
        <v>0</v>
      </c>
      <c r="M797" s="18" t="n">
        <v>0</v>
      </c>
      <c r="N797" s="19" t="n">
        <v>0</v>
      </c>
      <c r="O797" s="108">
        <f>COUNTIFS($E:$E,$E797,$L:$L,"&gt;"&amp;$L797)+1</f>
        <v/>
      </c>
      <c r="P797" s="108">
        <f>COUNTIFS($E:$E,$E797,$M:$M,"&gt;"&amp;$M797)+1</f>
        <v/>
      </c>
      <c r="Q797" s="108">
        <f>COUNTIFS($E:$E,$E797,$N:$N,"&gt;"&amp;$N797)+1</f>
        <v/>
      </c>
      <c r="R797" s="101" t="inlineStr">
        <is>
          <t>❌ N/A</t>
        </is>
      </c>
      <c r="S797" s="101" t="inlineStr">
        <is>
          <t>❌ N/A</t>
        </is>
      </c>
      <c r="T797" s="101" t="inlineStr">
        <is>
          <t>❌ Missing Data</t>
        </is>
      </c>
      <c r="U797" s="102" t="inlineStr">
        <is>
          <t>MISSING</t>
        </is>
      </c>
    </row>
    <row r="798" ht="16" customHeight="1">
      <c r="A798" s="98" t="n">
        <v>794</v>
      </c>
      <c r="B798" s="99" t="inlineStr">
        <is>
          <t>UTI Nifty500 Shariah Index Fund - Regular Plan Growth Option</t>
        </is>
      </c>
      <c r="C798" s="99" t="inlineStr">
        <is>
          <t>UTI Mutual Fund</t>
        </is>
      </c>
      <c r="D798" s="99" t="inlineStr">
        <is>
          <t>Index Funds</t>
        </is>
      </c>
      <c r="E798" s="99" t="inlineStr">
        <is>
          <t>Index Fund</t>
        </is>
      </c>
      <c r="F798" s="100" t="n">
        <v>1.76</v>
      </c>
      <c r="G798" s="100" t="n">
        <v>2.77</v>
      </c>
      <c r="H798" s="100" t="n">
        <v>0</v>
      </c>
      <c r="I798" s="100" t="n">
        <v>0</v>
      </c>
      <c r="J798" s="100" t="n">
        <v>0</v>
      </c>
      <c r="K798" s="100" t="n">
        <v>0</v>
      </c>
      <c r="L798" s="37" t="n">
        <v>0</v>
      </c>
      <c r="M798" s="18" t="n">
        <v>0</v>
      </c>
      <c r="N798" s="19" t="n">
        <v>0</v>
      </c>
      <c r="O798" s="108">
        <f>COUNTIFS($E:$E,$E798,$L:$L,"&gt;"&amp;$L798)+1</f>
        <v/>
      </c>
      <c r="P798" s="108">
        <f>COUNTIFS($E:$E,$E798,$M:$M,"&gt;"&amp;$M798)+1</f>
        <v/>
      </c>
      <c r="Q798" s="108">
        <f>COUNTIFS($E:$E,$E798,$N:$N,"&gt;"&amp;$N798)+1</f>
        <v/>
      </c>
      <c r="R798" s="101" t="inlineStr">
        <is>
          <t>❌ N/A</t>
        </is>
      </c>
      <c r="S798" s="101" t="inlineStr">
        <is>
          <t>❌ N/A</t>
        </is>
      </c>
      <c r="T798" s="101" t="inlineStr">
        <is>
          <t>❌ Missing Data</t>
        </is>
      </c>
      <c r="U798" s="102" t="inlineStr">
        <is>
          <t>MISSING</t>
        </is>
      </c>
    </row>
    <row r="799" ht="16" customHeight="1">
      <c r="A799" s="98" t="n">
        <v>795</v>
      </c>
      <c r="B799" s="99" t="inlineStr">
        <is>
          <t>Mirae Asset BSE India Defence ETF FOF - Regular Plan - Growth</t>
        </is>
      </c>
      <c r="C799" s="99" t="inlineStr">
        <is>
          <t>Mirae Asset Mutual Fund</t>
        </is>
      </c>
      <c r="D799" s="99" t="inlineStr">
        <is>
          <t>Fof Domestic</t>
        </is>
      </c>
      <c r="E799" s="99" t="inlineStr">
        <is>
          <t>Index Fund</t>
        </is>
      </c>
      <c r="F799" s="100" t="n">
        <v>7.14</v>
      </c>
      <c r="G799" s="100" t="n">
        <v>12.82</v>
      </c>
      <c r="H799" s="100" t="n">
        <v>0</v>
      </c>
      <c r="I799" s="100" t="n">
        <v>0</v>
      </c>
      <c r="J799" s="100" t="n">
        <v>0</v>
      </c>
      <c r="K799" s="100" t="n">
        <v>0</v>
      </c>
      <c r="L799" s="37" t="n">
        <v>0</v>
      </c>
      <c r="M799" s="18" t="n">
        <v>0</v>
      </c>
      <c r="N799" s="19" t="n">
        <v>0</v>
      </c>
      <c r="O799" s="108">
        <f>COUNTIFS($E:$E,$E799,$L:$L,"&gt;"&amp;$L799)+1</f>
        <v/>
      </c>
      <c r="P799" s="108">
        <f>COUNTIFS($E:$E,$E799,$M:$M,"&gt;"&amp;$M799)+1</f>
        <v/>
      </c>
      <c r="Q799" s="108">
        <f>COUNTIFS($E:$E,$E799,$N:$N,"&gt;"&amp;$N799)+1</f>
        <v/>
      </c>
      <c r="R799" s="101" t="inlineStr">
        <is>
          <t>❌ N/A</t>
        </is>
      </c>
      <c r="S799" s="101" t="inlineStr">
        <is>
          <t>❌ N/A</t>
        </is>
      </c>
      <c r="T799" s="101" t="inlineStr">
        <is>
          <t>❌ Missing Data</t>
        </is>
      </c>
      <c r="U799" s="102" t="inlineStr">
        <is>
          <t>MISSING</t>
        </is>
      </c>
    </row>
  </sheetData>
  <autoFilter ref="A4:U799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2026-10-02T23:57:43Z</dcterms:created>
  <dcterms:modified xsi:type="dcterms:W3CDTF">2026-10-02T23:57:47Z</dcterms:modified>
</cp:coreProperties>
</file>